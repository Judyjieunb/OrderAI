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1001\.cursor\Order\style_tag\"/>
    </mc:Choice>
  </mc:AlternateContent>
  <xr:revisionPtr revIDLastSave="0" documentId="8_{FD05DFE7-950C-4A72-A457-E15E2516D806}" xr6:coauthVersionLast="47" xr6:coauthVersionMax="47" xr10:uidLastSave="{00000000-0000-0000-0000-000000000000}"/>
  <bookViews>
    <workbookView xWindow="28680" yWindow="-3465" windowWidth="29040" windowHeight="15720" xr2:uid="{4B56156D-0D93-4D87-8F68-43B2C6A164E9}"/>
  </bookViews>
  <sheets>
    <sheet name="LIST_DX" sheetId="4" r:id="rId1"/>
    <sheet name="RAW_DX(DJ)" sheetId="3" r:id="rId2"/>
    <sheet name="DJ 2024 FW" sheetId="1" r:id="rId3"/>
    <sheet name="DJ 2025 FW" sheetId="2" r:id="rId4"/>
  </sheets>
  <definedNames>
    <definedName name="_xlnm._FilterDatabase" localSheetId="2" hidden="1">'DJ 2024 FW'!$A$4:$AT$4</definedName>
    <definedName name="_xlnm._FilterDatabase" localSheetId="3" hidden="1">'DJ 2025 FW'!$A$4:$AU$263</definedName>
    <definedName name="_xlnm._FilterDatabase" localSheetId="1" hidden="1">'RAW_DX(DJ)'!$A$4:$AR$4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03" i="3" l="1"/>
  <c r="AL603" i="3"/>
  <c r="AR603" i="3" s="1"/>
  <c r="J603" i="3"/>
  <c r="F603" i="3"/>
  <c r="E603" i="3"/>
  <c r="C603" i="3"/>
  <c r="AQ602" i="3"/>
  <c r="AL602" i="3"/>
  <c r="AR602" i="3" s="1"/>
  <c r="J602" i="3"/>
  <c r="F602" i="3"/>
  <c r="E602" i="3"/>
  <c r="C602" i="3"/>
  <c r="AQ601" i="3"/>
  <c r="AL601" i="3"/>
  <c r="AR601" i="3" s="1"/>
  <c r="J601" i="3"/>
  <c r="F601" i="3"/>
  <c r="E601" i="3"/>
  <c r="C601" i="3"/>
  <c r="AQ600" i="3"/>
  <c r="AL600" i="3"/>
  <c r="AR600" i="3" s="1"/>
  <c r="J600" i="3"/>
  <c r="F600" i="3"/>
  <c r="E600" i="3"/>
  <c r="C600" i="3"/>
  <c r="AQ599" i="3"/>
  <c r="AL599" i="3"/>
  <c r="AR599" i="3" s="1"/>
  <c r="J599" i="3"/>
  <c r="F599" i="3"/>
  <c r="E599" i="3"/>
  <c r="C599" i="3"/>
  <c r="AQ598" i="3"/>
  <c r="AL598" i="3"/>
  <c r="AR598" i="3" s="1"/>
  <c r="J598" i="3"/>
  <c r="F598" i="3"/>
  <c r="E598" i="3"/>
  <c r="C598" i="3"/>
  <c r="AQ597" i="3"/>
  <c r="AL597" i="3"/>
  <c r="AR597" i="3" s="1"/>
  <c r="J597" i="3"/>
  <c r="F597" i="3"/>
  <c r="E597" i="3"/>
  <c r="C597" i="3"/>
  <c r="AQ596" i="3"/>
  <c r="AL596" i="3"/>
  <c r="AR596" i="3" s="1"/>
  <c r="J596" i="3"/>
  <c r="F596" i="3"/>
  <c r="E596" i="3"/>
  <c r="C596" i="3"/>
  <c r="AQ595" i="3"/>
  <c r="AL595" i="3"/>
  <c r="AR595" i="3" s="1"/>
  <c r="J595" i="3"/>
  <c r="F595" i="3"/>
  <c r="E595" i="3"/>
  <c r="C595" i="3"/>
  <c r="AQ594" i="3"/>
  <c r="AL594" i="3"/>
  <c r="AR594" i="3" s="1"/>
  <c r="J594" i="3"/>
  <c r="F594" i="3"/>
  <c r="E594" i="3"/>
  <c r="C594" i="3"/>
  <c r="AQ593" i="3"/>
  <c r="AL593" i="3"/>
  <c r="AR593" i="3" s="1"/>
  <c r="J593" i="3"/>
  <c r="F593" i="3"/>
  <c r="E593" i="3"/>
  <c r="C593" i="3"/>
  <c r="AQ592" i="3"/>
  <c r="AL592" i="3"/>
  <c r="AR592" i="3" s="1"/>
  <c r="J592" i="3"/>
  <c r="F592" i="3"/>
  <c r="E592" i="3"/>
  <c r="C592" i="3"/>
  <c r="AQ591" i="3"/>
  <c r="AL591" i="3"/>
  <c r="AR591" i="3" s="1"/>
  <c r="J591" i="3"/>
  <c r="F591" i="3"/>
  <c r="E591" i="3"/>
  <c r="C591" i="3"/>
  <c r="AQ590" i="3"/>
  <c r="AL590" i="3"/>
  <c r="AR590" i="3" s="1"/>
  <c r="J590" i="3"/>
  <c r="F590" i="3"/>
  <c r="E590" i="3"/>
  <c r="C590" i="3"/>
  <c r="AQ589" i="3"/>
  <c r="AL589" i="3"/>
  <c r="AR589" i="3" s="1"/>
  <c r="J589" i="3"/>
  <c r="F589" i="3"/>
  <c r="E589" i="3"/>
  <c r="C589" i="3"/>
  <c r="AQ588" i="3"/>
  <c r="AL588" i="3"/>
  <c r="AR588" i="3" s="1"/>
  <c r="J588" i="3"/>
  <c r="F588" i="3"/>
  <c r="E588" i="3"/>
  <c r="C588" i="3"/>
  <c r="AQ587" i="3"/>
  <c r="AL587" i="3"/>
  <c r="AR587" i="3" s="1"/>
  <c r="J587" i="3"/>
  <c r="F587" i="3"/>
  <c r="E587" i="3"/>
  <c r="C587" i="3"/>
  <c r="AQ586" i="3"/>
  <c r="AL586" i="3"/>
  <c r="AR586" i="3" s="1"/>
  <c r="J586" i="3"/>
  <c r="F586" i="3"/>
  <c r="E586" i="3"/>
  <c r="C586" i="3"/>
  <c r="AQ585" i="3"/>
  <c r="AL585" i="3"/>
  <c r="AR585" i="3" s="1"/>
  <c r="J585" i="3"/>
  <c r="F585" i="3"/>
  <c r="E585" i="3"/>
  <c r="C585" i="3"/>
  <c r="AQ584" i="3"/>
  <c r="AL584" i="3"/>
  <c r="AR584" i="3" s="1"/>
  <c r="J584" i="3"/>
  <c r="F584" i="3"/>
  <c r="E584" i="3"/>
  <c r="C584" i="3"/>
  <c r="AQ583" i="3"/>
  <c r="AL583" i="3"/>
  <c r="AR583" i="3" s="1"/>
  <c r="J583" i="3"/>
  <c r="F583" i="3"/>
  <c r="E583" i="3"/>
  <c r="C583" i="3"/>
  <c r="AQ582" i="3"/>
  <c r="AL582" i="3"/>
  <c r="AR582" i="3" s="1"/>
  <c r="J582" i="3"/>
  <c r="F582" i="3"/>
  <c r="E582" i="3"/>
  <c r="C582" i="3"/>
  <c r="AQ581" i="3"/>
  <c r="AL581" i="3"/>
  <c r="AR581" i="3" s="1"/>
  <c r="J581" i="3"/>
  <c r="F581" i="3"/>
  <c r="E581" i="3"/>
  <c r="C581" i="3"/>
  <c r="AQ580" i="3"/>
  <c r="AL580" i="3"/>
  <c r="AR580" i="3" s="1"/>
  <c r="J580" i="3"/>
  <c r="F580" i="3"/>
  <c r="E580" i="3"/>
  <c r="C580" i="3"/>
  <c r="AQ579" i="3"/>
  <c r="AL579" i="3"/>
  <c r="AR579" i="3" s="1"/>
  <c r="J579" i="3"/>
  <c r="F579" i="3"/>
  <c r="E579" i="3"/>
  <c r="C579" i="3"/>
  <c r="AQ578" i="3"/>
  <c r="AL578" i="3"/>
  <c r="AR578" i="3" s="1"/>
  <c r="J578" i="3"/>
  <c r="F578" i="3"/>
  <c r="E578" i="3"/>
  <c r="C578" i="3"/>
  <c r="AQ577" i="3"/>
  <c r="AL577" i="3"/>
  <c r="AR577" i="3" s="1"/>
  <c r="J577" i="3"/>
  <c r="F577" i="3"/>
  <c r="E577" i="3"/>
  <c r="C577" i="3"/>
  <c r="AQ576" i="3"/>
  <c r="AL576" i="3"/>
  <c r="AR576" i="3" s="1"/>
  <c r="J576" i="3"/>
  <c r="F576" i="3"/>
  <c r="E576" i="3"/>
  <c r="C576" i="3"/>
  <c r="AQ575" i="3"/>
  <c r="AL575" i="3"/>
  <c r="AR575" i="3" s="1"/>
  <c r="J575" i="3"/>
  <c r="F575" i="3"/>
  <c r="E575" i="3"/>
  <c r="C575" i="3"/>
  <c r="AQ574" i="3"/>
  <c r="AL574" i="3"/>
  <c r="AR574" i="3" s="1"/>
  <c r="J574" i="3"/>
  <c r="F574" i="3"/>
  <c r="E574" i="3"/>
  <c r="C574" i="3"/>
  <c r="AQ573" i="3"/>
  <c r="AL573" i="3"/>
  <c r="AR573" i="3" s="1"/>
  <c r="J573" i="3"/>
  <c r="F573" i="3"/>
  <c r="E573" i="3"/>
  <c r="C573" i="3"/>
  <c r="AQ572" i="3"/>
  <c r="AL572" i="3"/>
  <c r="AR572" i="3" s="1"/>
  <c r="J572" i="3"/>
  <c r="F572" i="3"/>
  <c r="E572" i="3"/>
  <c r="C572" i="3"/>
  <c r="AQ571" i="3"/>
  <c r="AL571" i="3"/>
  <c r="AR571" i="3" s="1"/>
  <c r="J571" i="3"/>
  <c r="F571" i="3"/>
  <c r="E571" i="3"/>
  <c r="C571" i="3"/>
  <c r="AQ570" i="3"/>
  <c r="AL570" i="3"/>
  <c r="AR570" i="3" s="1"/>
  <c r="J570" i="3"/>
  <c r="F570" i="3"/>
  <c r="E570" i="3"/>
  <c r="C570" i="3"/>
  <c r="AQ569" i="3"/>
  <c r="AL569" i="3"/>
  <c r="AR569" i="3" s="1"/>
  <c r="J569" i="3"/>
  <c r="F569" i="3"/>
  <c r="E569" i="3"/>
  <c r="C569" i="3"/>
  <c r="AQ568" i="3"/>
  <c r="AL568" i="3"/>
  <c r="AR568" i="3" s="1"/>
  <c r="J568" i="3"/>
  <c r="F568" i="3"/>
  <c r="E568" i="3"/>
  <c r="C568" i="3"/>
  <c r="AQ567" i="3"/>
  <c r="AL567" i="3"/>
  <c r="AR567" i="3" s="1"/>
  <c r="J567" i="3"/>
  <c r="F567" i="3"/>
  <c r="E567" i="3"/>
  <c r="C567" i="3"/>
  <c r="AQ566" i="3"/>
  <c r="AL566" i="3"/>
  <c r="AR566" i="3" s="1"/>
  <c r="J566" i="3"/>
  <c r="F566" i="3"/>
  <c r="E566" i="3"/>
  <c r="C566" i="3"/>
  <c r="AQ565" i="3"/>
  <c r="AL565" i="3"/>
  <c r="AR565" i="3" s="1"/>
  <c r="J565" i="3"/>
  <c r="F565" i="3"/>
  <c r="E565" i="3"/>
  <c r="C565" i="3"/>
  <c r="AQ564" i="3"/>
  <c r="AL564" i="3"/>
  <c r="AR564" i="3" s="1"/>
  <c r="J564" i="3"/>
  <c r="F564" i="3"/>
  <c r="E564" i="3"/>
  <c r="C564" i="3"/>
  <c r="AQ563" i="3"/>
  <c r="AL563" i="3"/>
  <c r="AR563" i="3" s="1"/>
  <c r="J563" i="3"/>
  <c r="F563" i="3"/>
  <c r="E563" i="3"/>
  <c r="C563" i="3"/>
  <c r="AQ562" i="3"/>
  <c r="AL562" i="3"/>
  <c r="AR562" i="3" s="1"/>
  <c r="J562" i="3"/>
  <c r="F562" i="3"/>
  <c r="E562" i="3"/>
  <c r="C562" i="3"/>
  <c r="AQ561" i="3"/>
  <c r="AL561" i="3"/>
  <c r="AR561" i="3" s="1"/>
  <c r="J561" i="3"/>
  <c r="F561" i="3"/>
  <c r="E561" i="3"/>
  <c r="C561" i="3"/>
  <c r="AQ560" i="3"/>
  <c r="AL560" i="3"/>
  <c r="AR560" i="3" s="1"/>
  <c r="J560" i="3"/>
  <c r="F560" i="3"/>
  <c r="E560" i="3"/>
  <c r="C560" i="3"/>
  <c r="AQ559" i="3"/>
  <c r="AL559" i="3"/>
  <c r="AR559" i="3" s="1"/>
  <c r="J559" i="3"/>
  <c r="F559" i="3"/>
  <c r="E559" i="3"/>
  <c r="C559" i="3"/>
  <c r="AQ558" i="3"/>
  <c r="AL558" i="3"/>
  <c r="AR558" i="3" s="1"/>
  <c r="J558" i="3"/>
  <c r="F558" i="3"/>
  <c r="E558" i="3"/>
  <c r="C558" i="3"/>
  <c r="AQ557" i="3"/>
  <c r="AL557" i="3"/>
  <c r="AR557" i="3" s="1"/>
  <c r="J557" i="3"/>
  <c r="F557" i="3"/>
  <c r="E557" i="3"/>
  <c r="C557" i="3"/>
  <c r="AQ556" i="3"/>
  <c r="AL556" i="3"/>
  <c r="AR556" i="3" s="1"/>
  <c r="J556" i="3"/>
  <c r="F556" i="3"/>
  <c r="E556" i="3"/>
  <c r="C556" i="3"/>
  <c r="AQ555" i="3"/>
  <c r="AL555" i="3"/>
  <c r="AR555" i="3" s="1"/>
  <c r="J555" i="3"/>
  <c r="F555" i="3"/>
  <c r="E555" i="3"/>
  <c r="C555" i="3"/>
  <c r="AQ554" i="3"/>
  <c r="AL554" i="3"/>
  <c r="AR554" i="3" s="1"/>
  <c r="J554" i="3"/>
  <c r="F554" i="3"/>
  <c r="E554" i="3"/>
  <c r="C554" i="3"/>
  <c r="AQ553" i="3"/>
  <c r="AL553" i="3"/>
  <c r="AR553" i="3" s="1"/>
  <c r="J553" i="3"/>
  <c r="F553" i="3"/>
  <c r="E553" i="3"/>
  <c r="C553" i="3"/>
  <c r="AQ552" i="3"/>
  <c r="AL552" i="3"/>
  <c r="AR552" i="3" s="1"/>
  <c r="J552" i="3"/>
  <c r="F552" i="3"/>
  <c r="E552" i="3"/>
  <c r="C552" i="3"/>
  <c r="AQ551" i="3"/>
  <c r="AL551" i="3"/>
  <c r="AR551" i="3" s="1"/>
  <c r="J551" i="3"/>
  <c r="F551" i="3"/>
  <c r="E551" i="3"/>
  <c r="C551" i="3"/>
  <c r="AQ550" i="3"/>
  <c r="AL550" i="3"/>
  <c r="AR550" i="3" s="1"/>
  <c r="J550" i="3"/>
  <c r="F550" i="3"/>
  <c r="E550" i="3"/>
  <c r="C550" i="3"/>
  <c r="AQ549" i="3"/>
  <c r="AL549" i="3"/>
  <c r="AR549" i="3" s="1"/>
  <c r="J549" i="3"/>
  <c r="F549" i="3"/>
  <c r="E549" i="3"/>
  <c r="C549" i="3"/>
  <c r="AQ548" i="3"/>
  <c r="AL548" i="3"/>
  <c r="AR548" i="3" s="1"/>
  <c r="J548" i="3"/>
  <c r="F548" i="3"/>
  <c r="E548" i="3"/>
  <c r="C548" i="3"/>
  <c r="AQ547" i="3"/>
  <c r="AL547" i="3"/>
  <c r="AR547" i="3" s="1"/>
  <c r="J547" i="3"/>
  <c r="F547" i="3"/>
  <c r="E547" i="3"/>
  <c r="C547" i="3"/>
  <c r="AQ546" i="3"/>
  <c r="AL546" i="3"/>
  <c r="AR546" i="3" s="1"/>
  <c r="J546" i="3"/>
  <c r="F546" i="3"/>
  <c r="E546" i="3"/>
  <c r="C546" i="3"/>
  <c r="AQ545" i="3"/>
  <c r="AL545" i="3"/>
  <c r="AR545" i="3" s="1"/>
  <c r="J545" i="3"/>
  <c r="F545" i="3"/>
  <c r="E545" i="3"/>
  <c r="C545" i="3"/>
  <c r="AQ544" i="3"/>
  <c r="AL544" i="3"/>
  <c r="AR544" i="3" s="1"/>
  <c r="J544" i="3"/>
  <c r="F544" i="3"/>
  <c r="E544" i="3"/>
  <c r="C544" i="3"/>
  <c r="AQ543" i="3"/>
  <c r="AL543" i="3"/>
  <c r="AR543" i="3" s="1"/>
  <c r="J543" i="3"/>
  <c r="F543" i="3"/>
  <c r="E543" i="3"/>
  <c r="C543" i="3"/>
  <c r="AQ542" i="3"/>
  <c r="AL542" i="3"/>
  <c r="AR542" i="3" s="1"/>
  <c r="J542" i="3"/>
  <c r="F542" i="3"/>
  <c r="E542" i="3"/>
  <c r="C542" i="3"/>
  <c r="AQ541" i="3"/>
  <c r="AL541" i="3"/>
  <c r="AR541" i="3" s="1"/>
  <c r="J541" i="3"/>
  <c r="F541" i="3"/>
  <c r="E541" i="3"/>
  <c r="C541" i="3"/>
  <c r="AQ540" i="3"/>
  <c r="AL540" i="3"/>
  <c r="AR540" i="3" s="1"/>
  <c r="J540" i="3"/>
  <c r="F540" i="3"/>
  <c r="E540" i="3"/>
  <c r="C540" i="3"/>
  <c r="AQ539" i="3"/>
  <c r="AL539" i="3"/>
  <c r="AR539" i="3" s="1"/>
  <c r="J539" i="3"/>
  <c r="F539" i="3"/>
  <c r="E539" i="3"/>
  <c r="C539" i="3"/>
  <c r="AQ538" i="3"/>
  <c r="AL538" i="3"/>
  <c r="AR538" i="3" s="1"/>
  <c r="J538" i="3"/>
  <c r="F538" i="3"/>
  <c r="E538" i="3"/>
  <c r="C538" i="3"/>
  <c r="AQ537" i="3"/>
  <c r="AL537" i="3"/>
  <c r="AR537" i="3" s="1"/>
  <c r="J537" i="3"/>
  <c r="F537" i="3"/>
  <c r="E537" i="3"/>
  <c r="C537" i="3"/>
  <c r="AQ536" i="3"/>
  <c r="AL536" i="3"/>
  <c r="AR536" i="3" s="1"/>
  <c r="J536" i="3"/>
  <c r="F536" i="3"/>
  <c r="E536" i="3"/>
  <c r="C536" i="3"/>
  <c r="AQ535" i="3"/>
  <c r="AL535" i="3"/>
  <c r="AR535" i="3" s="1"/>
  <c r="J535" i="3"/>
  <c r="F535" i="3"/>
  <c r="E535" i="3"/>
  <c r="C535" i="3"/>
  <c r="AQ534" i="3"/>
  <c r="AL534" i="3"/>
  <c r="AR534" i="3" s="1"/>
  <c r="J534" i="3"/>
  <c r="F534" i="3"/>
  <c r="E534" i="3"/>
  <c r="C534" i="3"/>
  <c r="AQ533" i="3"/>
  <c r="AL533" i="3"/>
  <c r="AR533" i="3" s="1"/>
  <c r="J533" i="3"/>
  <c r="F533" i="3"/>
  <c r="E533" i="3"/>
  <c r="C533" i="3"/>
  <c r="AQ532" i="3"/>
  <c r="AL532" i="3"/>
  <c r="AR532" i="3" s="1"/>
  <c r="J532" i="3"/>
  <c r="F532" i="3"/>
  <c r="E532" i="3"/>
  <c r="C532" i="3"/>
  <c r="AQ531" i="3"/>
  <c r="AL531" i="3"/>
  <c r="AR531" i="3" s="1"/>
  <c r="J531" i="3"/>
  <c r="F531" i="3"/>
  <c r="E531" i="3"/>
  <c r="C531" i="3"/>
  <c r="AQ530" i="3"/>
  <c r="AL530" i="3"/>
  <c r="AR530" i="3" s="1"/>
  <c r="J530" i="3"/>
  <c r="F530" i="3"/>
  <c r="E530" i="3"/>
  <c r="C530" i="3"/>
  <c r="AQ529" i="3"/>
  <c r="AL529" i="3"/>
  <c r="AR529" i="3" s="1"/>
  <c r="J529" i="3"/>
  <c r="F529" i="3"/>
  <c r="E529" i="3"/>
  <c r="C529" i="3"/>
  <c r="AQ528" i="3"/>
  <c r="AL528" i="3"/>
  <c r="AR528" i="3" s="1"/>
  <c r="J528" i="3"/>
  <c r="F528" i="3"/>
  <c r="E528" i="3"/>
  <c r="C528" i="3"/>
  <c r="AQ527" i="3"/>
  <c r="AL527" i="3"/>
  <c r="AR527" i="3" s="1"/>
  <c r="J527" i="3"/>
  <c r="F527" i="3"/>
  <c r="E527" i="3"/>
  <c r="C527" i="3"/>
  <c r="AQ526" i="3"/>
  <c r="AL526" i="3"/>
  <c r="AR526" i="3" s="1"/>
  <c r="J526" i="3"/>
  <c r="F526" i="3"/>
  <c r="E526" i="3"/>
  <c r="C526" i="3"/>
  <c r="AQ525" i="3"/>
  <c r="AL525" i="3"/>
  <c r="AR525" i="3" s="1"/>
  <c r="J525" i="3"/>
  <c r="F525" i="3"/>
  <c r="E525" i="3"/>
  <c r="C525" i="3"/>
  <c r="AQ524" i="3"/>
  <c r="AL524" i="3"/>
  <c r="AR524" i="3" s="1"/>
  <c r="J524" i="3"/>
  <c r="F524" i="3"/>
  <c r="E524" i="3"/>
  <c r="C524" i="3"/>
  <c r="AQ523" i="3"/>
  <c r="AL523" i="3"/>
  <c r="AR523" i="3" s="1"/>
  <c r="J523" i="3"/>
  <c r="F523" i="3"/>
  <c r="E523" i="3"/>
  <c r="C523" i="3"/>
  <c r="AQ522" i="3"/>
  <c r="AL522" i="3"/>
  <c r="AR522" i="3" s="1"/>
  <c r="J522" i="3"/>
  <c r="F522" i="3"/>
  <c r="E522" i="3"/>
  <c r="C522" i="3"/>
  <c r="AQ521" i="3"/>
  <c r="AL521" i="3"/>
  <c r="AR521" i="3" s="1"/>
  <c r="J521" i="3"/>
  <c r="F521" i="3"/>
  <c r="E521" i="3"/>
  <c r="C521" i="3"/>
  <c r="AQ520" i="3"/>
  <c r="AL520" i="3"/>
  <c r="AR520" i="3" s="1"/>
  <c r="J520" i="3"/>
  <c r="F520" i="3"/>
  <c r="E520" i="3"/>
  <c r="C520" i="3"/>
  <c r="AQ519" i="3"/>
  <c r="AL519" i="3"/>
  <c r="AR519" i="3" s="1"/>
  <c r="J519" i="3"/>
  <c r="F519" i="3"/>
  <c r="E519" i="3"/>
  <c r="C519" i="3"/>
  <c r="AQ518" i="3"/>
  <c r="AL518" i="3"/>
  <c r="AR518" i="3" s="1"/>
  <c r="J518" i="3"/>
  <c r="F518" i="3"/>
  <c r="E518" i="3"/>
  <c r="C518" i="3"/>
  <c r="AQ517" i="3"/>
  <c r="AL517" i="3"/>
  <c r="AR517" i="3" s="1"/>
  <c r="J517" i="3"/>
  <c r="F517" i="3"/>
  <c r="E517" i="3"/>
  <c r="C517" i="3"/>
  <c r="AQ516" i="3"/>
  <c r="AL516" i="3"/>
  <c r="AR516" i="3" s="1"/>
  <c r="J516" i="3"/>
  <c r="F516" i="3"/>
  <c r="E516" i="3"/>
  <c r="C516" i="3"/>
  <c r="AQ515" i="3"/>
  <c r="AL515" i="3"/>
  <c r="AR515" i="3" s="1"/>
  <c r="J515" i="3"/>
  <c r="F515" i="3"/>
  <c r="E515" i="3"/>
  <c r="C515" i="3"/>
  <c r="AQ514" i="3"/>
  <c r="AL514" i="3"/>
  <c r="AR514" i="3" s="1"/>
  <c r="J514" i="3"/>
  <c r="F514" i="3"/>
  <c r="E514" i="3"/>
  <c r="C514" i="3"/>
  <c r="AQ513" i="3"/>
  <c r="AL513" i="3"/>
  <c r="AR513" i="3" s="1"/>
  <c r="J513" i="3"/>
  <c r="F513" i="3"/>
  <c r="E513" i="3"/>
  <c r="C513" i="3"/>
  <c r="AQ512" i="3"/>
  <c r="AL512" i="3"/>
  <c r="AR512" i="3" s="1"/>
  <c r="J512" i="3"/>
  <c r="F512" i="3"/>
  <c r="E512" i="3"/>
  <c r="C512" i="3"/>
  <c r="AQ511" i="3"/>
  <c r="AL511" i="3"/>
  <c r="AR511" i="3" s="1"/>
  <c r="J511" i="3"/>
  <c r="F511" i="3"/>
  <c r="E511" i="3"/>
  <c r="C511" i="3"/>
  <c r="AQ510" i="3"/>
  <c r="AL510" i="3"/>
  <c r="AR510" i="3" s="1"/>
  <c r="J510" i="3"/>
  <c r="F510" i="3"/>
  <c r="E510" i="3"/>
  <c r="C510" i="3"/>
  <c r="AQ509" i="3"/>
  <c r="AL509" i="3"/>
  <c r="AR509" i="3" s="1"/>
  <c r="J509" i="3"/>
  <c r="F509" i="3"/>
  <c r="E509" i="3"/>
  <c r="C509" i="3"/>
  <c r="AQ508" i="3"/>
  <c r="AL508" i="3"/>
  <c r="AR508" i="3" s="1"/>
  <c r="J508" i="3"/>
  <c r="F508" i="3"/>
  <c r="E508" i="3"/>
  <c r="C508" i="3"/>
  <c r="AQ507" i="3"/>
  <c r="AL507" i="3"/>
  <c r="AR507" i="3" s="1"/>
  <c r="J507" i="3"/>
  <c r="F507" i="3"/>
  <c r="E507" i="3"/>
  <c r="C507" i="3"/>
  <c r="AQ506" i="3"/>
  <c r="AL506" i="3"/>
  <c r="AR506" i="3" s="1"/>
  <c r="J506" i="3"/>
  <c r="F506" i="3"/>
  <c r="E506" i="3"/>
  <c r="C506" i="3"/>
  <c r="AQ505" i="3"/>
  <c r="AL505" i="3"/>
  <c r="AR505" i="3" s="1"/>
  <c r="J505" i="3"/>
  <c r="F505" i="3"/>
  <c r="E505" i="3"/>
  <c r="C505" i="3"/>
  <c r="AK504" i="3"/>
  <c r="J504" i="3"/>
  <c r="F504" i="3"/>
  <c r="E504" i="3"/>
  <c r="C504" i="3"/>
  <c r="AQ503" i="3"/>
  <c r="AL503" i="3"/>
  <c r="AR503" i="3" s="1"/>
  <c r="J503" i="3"/>
  <c r="F503" i="3"/>
  <c r="E503" i="3"/>
  <c r="C503" i="3"/>
  <c r="AK502" i="3"/>
  <c r="J502" i="3"/>
  <c r="F502" i="3"/>
  <c r="E502" i="3"/>
  <c r="C502" i="3"/>
  <c r="AQ501" i="3"/>
  <c r="AL501" i="3"/>
  <c r="AR501" i="3" s="1"/>
  <c r="J501" i="3"/>
  <c r="F501" i="3"/>
  <c r="E501" i="3"/>
  <c r="C501" i="3"/>
  <c r="AQ500" i="3"/>
  <c r="AL500" i="3"/>
  <c r="AR500" i="3" s="1"/>
  <c r="J500" i="3"/>
  <c r="F500" i="3"/>
  <c r="E500" i="3"/>
  <c r="C500" i="3"/>
  <c r="AK499" i="3"/>
  <c r="J499" i="3"/>
  <c r="F499" i="3"/>
  <c r="E499" i="3"/>
  <c r="C499" i="3"/>
  <c r="AQ498" i="3"/>
  <c r="AL498" i="3"/>
  <c r="AR498" i="3" s="1"/>
  <c r="J498" i="3"/>
  <c r="F498" i="3"/>
  <c r="E498" i="3"/>
  <c r="C498" i="3"/>
  <c r="AQ497" i="3"/>
  <c r="AL497" i="3"/>
  <c r="AR497" i="3" s="1"/>
  <c r="J497" i="3"/>
  <c r="F497" i="3"/>
  <c r="E497" i="3"/>
  <c r="C497" i="3"/>
  <c r="AQ496" i="3"/>
  <c r="AL496" i="3"/>
  <c r="AR496" i="3" s="1"/>
  <c r="J496" i="3"/>
  <c r="F496" i="3"/>
  <c r="E496" i="3"/>
  <c r="C496" i="3"/>
  <c r="AQ495" i="3"/>
  <c r="AL495" i="3"/>
  <c r="AR495" i="3" s="1"/>
  <c r="J495" i="3"/>
  <c r="F495" i="3"/>
  <c r="E495" i="3"/>
  <c r="C495" i="3"/>
  <c r="AQ494" i="3"/>
  <c r="AL494" i="3"/>
  <c r="AR494" i="3" s="1"/>
  <c r="J494" i="3"/>
  <c r="F494" i="3"/>
  <c r="E494" i="3"/>
  <c r="C494" i="3"/>
  <c r="AQ493" i="3"/>
  <c r="AL493" i="3"/>
  <c r="AR493" i="3" s="1"/>
  <c r="J493" i="3"/>
  <c r="F493" i="3"/>
  <c r="E493" i="3"/>
  <c r="C493" i="3"/>
  <c r="AQ492" i="3"/>
  <c r="AL492" i="3"/>
  <c r="AR492" i="3" s="1"/>
  <c r="J492" i="3"/>
  <c r="F492" i="3"/>
  <c r="E492" i="3"/>
  <c r="C492" i="3"/>
  <c r="AQ491" i="3"/>
  <c r="AL491" i="3"/>
  <c r="AR491" i="3" s="1"/>
  <c r="J491" i="3"/>
  <c r="F491" i="3"/>
  <c r="E491" i="3"/>
  <c r="C491" i="3"/>
  <c r="AQ490" i="3"/>
  <c r="AL490" i="3"/>
  <c r="AR490" i="3" s="1"/>
  <c r="J490" i="3"/>
  <c r="F490" i="3"/>
  <c r="E490" i="3"/>
  <c r="C490" i="3"/>
  <c r="AQ489" i="3"/>
  <c r="AL489" i="3"/>
  <c r="AR489" i="3" s="1"/>
  <c r="J489" i="3"/>
  <c r="F489" i="3"/>
  <c r="E489" i="3"/>
  <c r="C489" i="3"/>
  <c r="AQ488" i="3"/>
  <c r="AL488" i="3"/>
  <c r="AR488" i="3" s="1"/>
  <c r="J488" i="3"/>
  <c r="F488" i="3"/>
  <c r="E488" i="3"/>
  <c r="C488" i="3"/>
  <c r="AQ487" i="3"/>
  <c r="AL487" i="3"/>
  <c r="AR487" i="3" s="1"/>
  <c r="J487" i="3"/>
  <c r="F487" i="3"/>
  <c r="E487" i="3"/>
  <c r="C487" i="3"/>
  <c r="AQ486" i="3"/>
  <c r="AL486" i="3"/>
  <c r="AR486" i="3" s="1"/>
  <c r="J486" i="3"/>
  <c r="F486" i="3"/>
  <c r="E486" i="3"/>
  <c r="C486" i="3"/>
  <c r="AQ485" i="3"/>
  <c r="AL485" i="3"/>
  <c r="AR485" i="3" s="1"/>
  <c r="J485" i="3"/>
  <c r="F485" i="3"/>
  <c r="E485" i="3"/>
  <c r="C485" i="3"/>
  <c r="AQ484" i="3"/>
  <c r="AL484" i="3"/>
  <c r="AR484" i="3" s="1"/>
  <c r="J484" i="3"/>
  <c r="F484" i="3"/>
  <c r="E484" i="3"/>
  <c r="C484" i="3"/>
  <c r="AQ483" i="3"/>
  <c r="AL483" i="3"/>
  <c r="AR483" i="3" s="1"/>
  <c r="J483" i="3"/>
  <c r="F483" i="3"/>
  <c r="E483" i="3"/>
  <c r="C483" i="3"/>
  <c r="AQ482" i="3"/>
  <c r="AL482" i="3"/>
  <c r="AR482" i="3" s="1"/>
  <c r="J482" i="3"/>
  <c r="F482" i="3"/>
  <c r="E482" i="3"/>
  <c r="C482" i="3"/>
  <c r="AQ481" i="3"/>
  <c r="AL481" i="3"/>
  <c r="AR481" i="3" s="1"/>
  <c r="J481" i="3"/>
  <c r="F481" i="3"/>
  <c r="E481" i="3"/>
  <c r="C481" i="3"/>
  <c r="AQ480" i="3"/>
  <c r="AL480" i="3"/>
  <c r="AR480" i="3" s="1"/>
  <c r="J480" i="3"/>
  <c r="F480" i="3"/>
  <c r="E480" i="3"/>
  <c r="C480" i="3"/>
  <c r="AR479" i="3"/>
  <c r="AQ479" i="3"/>
  <c r="AL479" i="3"/>
  <c r="J479" i="3"/>
  <c r="F479" i="3"/>
  <c r="E479" i="3"/>
  <c r="C479" i="3"/>
  <c r="AQ478" i="3"/>
  <c r="AL478" i="3"/>
  <c r="AR478" i="3" s="1"/>
  <c r="J478" i="3"/>
  <c r="F478" i="3"/>
  <c r="E478" i="3"/>
  <c r="C478" i="3"/>
  <c r="AQ477" i="3"/>
  <c r="AL477" i="3"/>
  <c r="AR477" i="3" s="1"/>
  <c r="J477" i="3"/>
  <c r="F477" i="3"/>
  <c r="E477" i="3"/>
  <c r="C477" i="3"/>
  <c r="AQ476" i="3"/>
  <c r="AL476" i="3"/>
  <c r="AR476" i="3" s="1"/>
  <c r="J476" i="3"/>
  <c r="F476" i="3"/>
  <c r="E476" i="3"/>
  <c r="C476" i="3"/>
  <c r="AQ475" i="3"/>
  <c r="AL475" i="3"/>
  <c r="AR475" i="3" s="1"/>
  <c r="J475" i="3"/>
  <c r="F475" i="3"/>
  <c r="E475" i="3"/>
  <c r="C475" i="3"/>
  <c r="AR474" i="3"/>
  <c r="AQ474" i="3"/>
  <c r="AL474" i="3"/>
  <c r="J474" i="3"/>
  <c r="F474" i="3"/>
  <c r="E474" i="3"/>
  <c r="C474" i="3"/>
  <c r="AQ473" i="3"/>
  <c r="AL473" i="3"/>
  <c r="AR473" i="3" s="1"/>
  <c r="J473" i="3"/>
  <c r="F473" i="3"/>
  <c r="E473" i="3"/>
  <c r="C473" i="3"/>
  <c r="AQ472" i="3"/>
  <c r="AL472" i="3"/>
  <c r="AR472" i="3" s="1"/>
  <c r="J472" i="3"/>
  <c r="F472" i="3"/>
  <c r="E472" i="3"/>
  <c r="C472" i="3"/>
  <c r="AQ471" i="3"/>
  <c r="AL471" i="3"/>
  <c r="AR471" i="3" s="1"/>
  <c r="J471" i="3"/>
  <c r="F471" i="3"/>
  <c r="E471" i="3"/>
  <c r="C471" i="3"/>
  <c r="AQ470" i="3"/>
  <c r="AL470" i="3"/>
  <c r="AR470" i="3" s="1"/>
  <c r="J470" i="3"/>
  <c r="F470" i="3"/>
  <c r="E470" i="3"/>
  <c r="C470" i="3"/>
  <c r="AQ469" i="3"/>
  <c r="AL469" i="3"/>
  <c r="AR469" i="3" s="1"/>
  <c r="J469" i="3"/>
  <c r="F469" i="3"/>
  <c r="E469" i="3"/>
  <c r="C469" i="3"/>
  <c r="AQ468" i="3"/>
  <c r="AL468" i="3"/>
  <c r="AR468" i="3" s="1"/>
  <c r="J468" i="3"/>
  <c r="F468" i="3"/>
  <c r="E468" i="3"/>
  <c r="C468" i="3"/>
  <c r="AQ467" i="3"/>
  <c r="AL467" i="3"/>
  <c r="AR467" i="3" s="1"/>
  <c r="J467" i="3"/>
  <c r="F467" i="3"/>
  <c r="E467" i="3"/>
  <c r="C467" i="3"/>
  <c r="AQ466" i="3"/>
  <c r="AL466" i="3"/>
  <c r="AR466" i="3" s="1"/>
  <c r="J466" i="3"/>
  <c r="F466" i="3"/>
  <c r="E466" i="3"/>
  <c r="C466" i="3"/>
  <c r="AQ465" i="3"/>
  <c r="AL465" i="3"/>
  <c r="AR465" i="3" s="1"/>
  <c r="J465" i="3"/>
  <c r="F465" i="3"/>
  <c r="E465" i="3"/>
  <c r="C465" i="3"/>
  <c r="AQ464" i="3"/>
  <c r="AL464" i="3"/>
  <c r="AR464" i="3" s="1"/>
  <c r="J464" i="3"/>
  <c r="F464" i="3"/>
  <c r="E464" i="3"/>
  <c r="C464" i="3"/>
  <c r="AQ463" i="3"/>
  <c r="AL463" i="3"/>
  <c r="AR463" i="3" s="1"/>
  <c r="J463" i="3"/>
  <c r="F463" i="3"/>
  <c r="E463" i="3"/>
  <c r="C463" i="3"/>
  <c r="AQ462" i="3"/>
  <c r="AL462" i="3"/>
  <c r="AR462" i="3" s="1"/>
  <c r="J462" i="3"/>
  <c r="F462" i="3"/>
  <c r="E462" i="3"/>
  <c r="C462" i="3"/>
  <c r="AQ461" i="3"/>
  <c r="AL461" i="3"/>
  <c r="AR461" i="3" s="1"/>
  <c r="J461" i="3"/>
  <c r="F461" i="3"/>
  <c r="E461" i="3"/>
  <c r="C461" i="3"/>
  <c r="AQ460" i="3"/>
  <c r="AL460" i="3"/>
  <c r="AR460" i="3" s="1"/>
  <c r="J460" i="3"/>
  <c r="F460" i="3"/>
  <c r="E460" i="3"/>
  <c r="C460" i="3"/>
  <c r="AQ459" i="3"/>
  <c r="AL459" i="3"/>
  <c r="AR459" i="3" s="1"/>
  <c r="J459" i="3"/>
  <c r="F459" i="3"/>
  <c r="E459" i="3"/>
  <c r="C459" i="3"/>
  <c r="AQ458" i="3"/>
  <c r="AL458" i="3"/>
  <c r="AR458" i="3" s="1"/>
  <c r="J458" i="3"/>
  <c r="F458" i="3"/>
  <c r="E458" i="3"/>
  <c r="C458" i="3"/>
  <c r="AQ457" i="3"/>
  <c r="AL457" i="3"/>
  <c r="AR457" i="3" s="1"/>
  <c r="J457" i="3"/>
  <c r="F457" i="3"/>
  <c r="E457" i="3"/>
  <c r="C457" i="3"/>
  <c r="AQ456" i="3"/>
  <c r="AL456" i="3"/>
  <c r="AR456" i="3" s="1"/>
  <c r="J456" i="3"/>
  <c r="F456" i="3"/>
  <c r="E456" i="3"/>
  <c r="C456" i="3"/>
  <c r="AQ455" i="3"/>
  <c r="AL455" i="3"/>
  <c r="AR455" i="3" s="1"/>
  <c r="J455" i="3"/>
  <c r="F455" i="3"/>
  <c r="E455" i="3"/>
  <c r="C455" i="3"/>
  <c r="AQ454" i="3"/>
  <c r="AL454" i="3"/>
  <c r="AR454" i="3" s="1"/>
  <c r="J454" i="3"/>
  <c r="F454" i="3"/>
  <c r="E454" i="3"/>
  <c r="C454" i="3"/>
  <c r="AQ453" i="3"/>
  <c r="AL453" i="3"/>
  <c r="AR453" i="3" s="1"/>
  <c r="J453" i="3"/>
  <c r="F453" i="3"/>
  <c r="E453" i="3"/>
  <c r="C453" i="3"/>
  <c r="AQ452" i="3"/>
  <c r="AL452" i="3"/>
  <c r="AR452" i="3" s="1"/>
  <c r="J452" i="3"/>
  <c r="F452" i="3"/>
  <c r="E452" i="3"/>
  <c r="C452" i="3"/>
  <c r="AQ451" i="3"/>
  <c r="AL451" i="3"/>
  <c r="AR451" i="3" s="1"/>
  <c r="J451" i="3"/>
  <c r="F451" i="3"/>
  <c r="E451" i="3"/>
  <c r="C451" i="3"/>
  <c r="AQ450" i="3"/>
  <c r="AL450" i="3"/>
  <c r="AR450" i="3" s="1"/>
  <c r="J450" i="3"/>
  <c r="F450" i="3"/>
  <c r="E450" i="3"/>
  <c r="C450" i="3"/>
  <c r="AQ449" i="3"/>
  <c r="AL449" i="3"/>
  <c r="AR449" i="3" s="1"/>
  <c r="J449" i="3"/>
  <c r="F449" i="3"/>
  <c r="E449" i="3"/>
  <c r="C449" i="3"/>
  <c r="AQ448" i="3"/>
  <c r="AL448" i="3"/>
  <c r="AR448" i="3" s="1"/>
  <c r="J448" i="3"/>
  <c r="F448" i="3"/>
  <c r="E448" i="3"/>
  <c r="C448" i="3"/>
  <c r="AQ447" i="3"/>
  <c r="AL447" i="3"/>
  <c r="AR447" i="3" s="1"/>
  <c r="J447" i="3"/>
  <c r="F447" i="3"/>
  <c r="E447" i="3"/>
  <c r="C447" i="3"/>
  <c r="AQ446" i="3"/>
  <c r="AL446" i="3"/>
  <c r="AR446" i="3" s="1"/>
  <c r="J446" i="3"/>
  <c r="F446" i="3"/>
  <c r="E446" i="3"/>
  <c r="C446" i="3"/>
  <c r="AQ445" i="3"/>
  <c r="AL445" i="3"/>
  <c r="AR445" i="3" s="1"/>
  <c r="J445" i="3"/>
  <c r="F445" i="3"/>
  <c r="E445" i="3"/>
  <c r="C445" i="3"/>
  <c r="AQ444" i="3"/>
  <c r="AL444" i="3"/>
  <c r="AR444" i="3" s="1"/>
  <c r="J444" i="3"/>
  <c r="F444" i="3"/>
  <c r="E444" i="3"/>
  <c r="C444" i="3"/>
  <c r="AQ443" i="3"/>
  <c r="AL443" i="3"/>
  <c r="AR443" i="3" s="1"/>
  <c r="J443" i="3"/>
  <c r="F443" i="3"/>
  <c r="E443" i="3"/>
  <c r="C443" i="3"/>
  <c r="AQ442" i="3"/>
  <c r="AL442" i="3"/>
  <c r="AR442" i="3" s="1"/>
  <c r="J442" i="3"/>
  <c r="F442" i="3"/>
  <c r="E442" i="3"/>
  <c r="C442" i="3"/>
  <c r="AQ441" i="3"/>
  <c r="AL441" i="3"/>
  <c r="AR441" i="3" s="1"/>
  <c r="J441" i="3"/>
  <c r="F441" i="3"/>
  <c r="E441" i="3"/>
  <c r="C441" i="3"/>
  <c r="AQ440" i="3"/>
  <c r="AL440" i="3"/>
  <c r="AR440" i="3" s="1"/>
  <c r="J440" i="3"/>
  <c r="F440" i="3"/>
  <c r="E440" i="3"/>
  <c r="C440" i="3"/>
  <c r="AQ439" i="3"/>
  <c r="AL439" i="3"/>
  <c r="AR439" i="3" s="1"/>
  <c r="J439" i="3"/>
  <c r="F439" i="3"/>
  <c r="E439" i="3"/>
  <c r="C439" i="3"/>
  <c r="AQ438" i="3"/>
  <c r="AL438" i="3"/>
  <c r="AR438" i="3" s="1"/>
  <c r="J438" i="3"/>
  <c r="F438" i="3"/>
  <c r="E438" i="3"/>
  <c r="C438" i="3"/>
  <c r="AQ437" i="3"/>
  <c r="AL437" i="3"/>
  <c r="AR437" i="3" s="1"/>
  <c r="J437" i="3"/>
  <c r="F437" i="3"/>
  <c r="E437" i="3"/>
  <c r="C437" i="3"/>
  <c r="AQ436" i="3"/>
  <c r="AL436" i="3"/>
  <c r="AR436" i="3" s="1"/>
  <c r="J436" i="3"/>
  <c r="F436" i="3"/>
  <c r="E436" i="3"/>
  <c r="C436" i="3"/>
  <c r="AQ435" i="3"/>
  <c r="AL435" i="3"/>
  <c r="AR435" i="3" s="1"/>
  <c r="J435" i="3"/>
  <c r="F435" i="3"/>
  <c r="E435" i="3"/>
  <c r="C435" i="3"/>
  <c r="AQ434" i="3"/>
  <c r="AL434" i="3"/>
  <c r="AR434" i="3" s="1"/>
  <c r="J434" i="3"/>
  <c r="F434" i="3"/>
  <c r="E434" i="3"/>
  <c r="C434" i="3"/>
  <c r="AQ433" i="3"/>
  <c r="AL433" i="3"/>
  <c r="AR433" i="3" s="1"/>
  <c r="J433" i="3"/>
  <c r="F433" i="3"/>
  <c r="E433" i="3"/>
  <c r="C433" i="3"/>
  <c r="AQ432" i="3"/>
  <c r="AL432" i="3"/>
  <c r="AR432" i="3" s="1"/>
  <c r="J432" i="3"/>
  <c r="F432" i="3"/>
  <c r="E432" i="3"/>
  <c r="C432" i="3"/>
  <c r="AQ431" i="3"/>
  <c r="AL431" i="3"/>
  <c r="AR431" i="3" s="1"/>
  <c r="J431" i="3"/>
  <c r="F431" i="3"/>
  <c r="E431" i="3"/>
  <c r="C431" i="3"/>
  <c r="AQ430" i="3"/>
  <c r="AL430" i="3"/>
  <c r="AR430" i="3" s="1"/>
  <c r="J430" i="3"/>
  <c r="F430" i="3"/>
  <c r="E430" i="3"/>
  <c r="C430" i="3"/>
  <c r="AQ429" i="3"/>
  <c r="AL429" i="3"/>
  <c r="AR429" i="3" s="1"/>
  <c r="J429" i="3"/>
  <c r="F429" i="3"/>
  <c r="E429" i="3"/>
  <c r="C429" i="3"/>
  <c r="AQ428" i="3"/>
  <c r="AL428" i="3"/>
  <c r="AR428" i="3" s="1"/>
  <c r="J428" i="3"/>
  <c r="F428" i="3"/>
  <c r="E428" i="3"/>
  <c r="C428" i="3"/>
  <c r="AQ427" i="3"/>
  <c r="AL427" i="3"/>
  <c r="AR427" i="3" s="1"/>
  <c r="J427" i="3"/>
  <c r="F427" i="3"/>
  <c r="E427" i="3"/>
  <c r="C427" i="3"/>
  <c r="AQ426" i="3"/>
  <c r="AL426" i="3"/>
  <c r="AR426" i="3" s="1"/>
  <c r="J426" i="3"/>
  <c r="F426" i="3"/>
  <c r="E426" i="3"/>
  <c r="C426" i="3"/>
  <c r="AQ425" i="3"/>
  <c r="AL425" i="3"/>
  <c r="AR425" i="3" s="1"/>
  <c r="J425" i="3"/>
  <c r="F425" i="3"/>
  <c r="E425" i="3"/>
  <c r="C425" i="3"/>
  <c r="AQ424" i="3"/>
  <c r="AL424" i="3"/>
  <c r="AR424" i="3" s="1"/>
  <c r="J424" i="3"/>
  <c r="F424" i="3"/>
  <c r="E424" i="3"/>
  <c r="C424" i="3"/>
  <c r="AQ423" i="3"/>
  <c r="AL423" i="3"/>
  <c r="AR423" i="3" s="1"/>
  <c r="J423" i="3"/>
  <c r="F423" i="3"/>
  <c r="E423" i="3"/>
  <c r="C423" i="3"/>
  <c r="AQ422" i="3"/>
  <c r="AL422" i="3"/>
  <c r="AR422" i="3" s="1"/>
  <c r="J422" i="3"/>
  <c r="F422" i="3"/>
  <c r="E422" i="3"/>
  <c r="C422" i="3"/>
  <c r="AQ421" i="3"/>
  <c r="AL421" i="3"/>
  <c r="AR421" i="3" s="1"/>
  <c r="J421" i="3"/>
  <c r="F421" i="3"/>
  <c r="E421" i="3"/>
  <c r="C421" i="3"/>
  <c r="AQ420" i="3"/>
  <c r="AL420" i="3"/>
  <c r="AR420" i="3" s="1"/>
  <c r="J420" i="3"/>
  <c r="F420" i="3"/>
  <c r="E420" i="3"/>
  <c r="C420" i="3"/>
  <c r="AQ419" i="3"/>
  <c r="AL419" i="3"/>
  <c r="AR419" i="3" s="1"/>
  <c r="J419" i="3"/>
  <c r="F419" i="3"/>
  <c r="E419" i="3"/>
  <c r="C419" i="3"/>
  <c r="AQ418" i="3"/>
  <c r="AL418" i="3"/>
  <c r="AR418" i="3" s="1"/>
  <c r="J418" i="3"/>
  <c r="F418" i="3"/>
  <c r="E418" i="3"/>
  <c r="C418" i="3"/>
  <c r="AQ417" i="3"/>
  <c r="AL417" i="3"/>
  <c r="AR417" i="3" s="1"/>
  <c r="J417" i="3"/>
  <c r="F417" i="3"/>
  <c r="E417" i="3"/>
  <c r="C417" i="3"/>
  <c r="AQ416" i="3"/>
  <c r="AL416" i="3"/>
  <c r="AR416" i="3" s="1"/>
  <c r="J416" i="3"/>
  <c r="F416" i="3"/>
  <c r="E416" i="3"/>
  <c r="C416" i="3"/>
  <c r="AQ415" i="3"/>
  <c r="AL415" i="3"/>
  <c r="AR415" i="3" s="1"/>
  <c r="J415" i="3"/>
  <c r="F415" i="3"/>
  <c r="E415" i="3"/>
  <c r="C415" i="3"/>
  <c r="AR414" i="3"/>
  <c r="AQ414" i="3"/>
  <c r="AL414" i="3"/>
  <c r="J414" i="3"/>
  <c r="F414" i="3"/>
  <c r="E414" i="3"/>
  <c r="C414" i="3"/>
  <c r="AQ413" i="3"/>
  <c r="AL413" i="3"/>
  <c r="AR413" i="3" s="1"/>
  <c r="J413" i="3"/>
  <c r="F413" i="3"/>
  <c r="E413" i="3"/>
  <c r="C413" i="3"/>
  <c r="AQ412" i="3"/>
  <c r="AL412" i="3"/>
  <c r="AR412" i="3" s="1"/>
  <c r="J412" i="3"/>
  <c r="F412" i="3"/>
  <c r="E412" i="3"/>
  <c r="C412" i="3"/>
  <c r="AQ411" i="3"/>
  <c r="AL411" i="3"/>
  <c r="AR411" i="3" s="1"/>
  <c r="J411" i="3"/>
  <c r="F411" i="3"/>
  <c r="E411" i="3"/>
  <c r="C411" i="3"/>
  <c r="AQ410" i="3"/>
  <c r="AL410" i="3"/>
  <c r="AR410" i="3" s="1"/>
  <c r="J410" i="3"/>
  <c r="F410" i="3"/>
  <c r="E410" i="3"/>
  <c r="C410" i="3"/>
  <c r="AQ409" i="3"/>
  <c r="AL409" i="3"/>
  <c r="AR409" i="3" s="1"/>
  <c r="J409" i="3"/>
  <c r="F409" i="3"/>
  <c r="E409" i="3"/>
  <c r="C409" i="3"/>
  <c r="AQ408" i="3"/>
  <c r="AL408" i="3"/>
  <c r="AR408" i="3" s="1"/>
  <c r="J408" i="3"/>
  <c r="F408" i="3"/>
  <c r="E408" i="3"/>
  <c r="C408" i="3"/>
  <c r="AQ407" i="3"/>
  <c r="AL407" i="3"/>
  <c r="AR407" i="3" s="1"/>
  <c r="J407" i="3"/>
  <c r="F407" i="3"/>
  <c r="E407" i="3"/>
  <c r="C407" i="3"/>
  <c r="AQ406" i="3"/>
  <c r="AL406" i="3"/>
  <c r="AR406" i="3" s="1"/>
  <c r="J406" i="3"/>
  <c r="F406" i="3"/>
  <c r="E406" i="3"/>
  <c r="C406" i="3"/>
  <c r="AQ405" i="3"/>
  <c r="AL405" i="3"/>
  <c r="AR405" i="3" s="1"/>
  <c r="J405" i="3"/>
  <c r="F405" i="3"/>
  <c r="E405" i="3"/>
  <c r="C405" i="3"/>
  <c r="AR404" i="3"/>
  <c r="AQ404" i="3"/>
  <c r="AL404" i="3"/>
  <c r="J404" i="3"/>
  <c r="F404" i="3"/>
  <c r="E404" i="3"/>
  <c r="C404" i="3"/>
  <c r="AQ403" i="3"/>
  <c r="AL403" i="3"/>
  <c r="AR403" i="3" s="1"/>
  <c r="J403" i="3"/>
  <c r="F403" i="3"/>
  <c r="E403" i="3"/>
  <c r="C403" i="3"/>
  <c r="AQ402" i="3"/>
  <c r="AL402" i="3"/>
  <c r="AR402" i="3" s="1"/>
  <c r="J402" i="3"/>
  <c r="F402" i="3"/>
  <c r="E402" i="3"/>
  <c r="C402" i="3"/>
  <c r="AQ401" i="3"/>
  <c r="AL401" i="3"/>
  <c r="AR401" i="3" s="1"/>
  <c r="J401" i="3"/>
  <c r="F401" i="3"/>
  <c r="E401" i="3"/>
  <c r="C401" i="3"/>
  <c r="AQ400" i="3"/>
  <c r="AL400" i="3"/>
  <c r="AR400" i="3" s="1"/>
  <c r="J400" i="3"/>
  <c r="F400" i="3"/>
  <c r="E400" i="3"/>
  <c r="C400" i="3"/>
  <c r="AQ399" i="3"/>
  <c r="AL399" i="3"/>
  <c r="AR399" i="3" s="1"/>
  <c r="J399" i="3"/>
  <c r="F399" i="3"/>
  <c r="E399" i="3"/>
  <c r="C399" i="3"/>
  <c r="AQ398" i="3"/>
  <c r="AL398" i="3"/>
  <c r="AR398" i="3" s="1"/>
  <c r="J398" i="3"/>
  <c r="F398" i="3"/>
  <c r="E398" i="3"/>
  <c r="C398" i="3"/>
  <c r="AQ397" i="3"/>
  <c r="AL397" i="3"/>
  <c r="AR397" i="3" s="1"/>
  <c r="J397" i="3"/>
  <c r="F397" i="3"/>
  <c r="E397" i="3"/>
  <c r="C397" i="3"/>
  <c r="AQ396" i="3"/>
  <c r="AL396" i="3"/>
  <c r="AR396" i="3" s="1"/>
  <c r="J396" i="3"/>
  <c r="F396" i="3"/>
  <c r="E396" i="3"/>
  <c r="C396" i="3"/>
  <c r="AQ395" i="3"/>
  <c r="AL395" i="3"/>
  <c r="AR395" i="3" s="1"/>
  <c r="J395" i="3"/>
  <c r="F395" i="3"/>
  <c r="E395" i="3"/>
  <c r="C395" i="3"/>
  <c r="AQ394" i="3"/>
  <c r="AL394" i="3"/>
  <c r="AR394" i="3" s="1"/>
  <c r="J394" i="3"/>
  <c r="F394" i="3"/>
  <c r="E394" i="3"/>
  <c r="C394" i="3"/>
  <c r="AQ393" i="3"/>
  <c r="AL393" i="3"/>
  <c r="AR393" i="3" s="1"/>
  <c r="J393" i="3"/>
  <c r="F393" i="3"/>
  <c r="E393" i="3"/>
  <c r="C393" i="3"/>
  <c r="AQ392" i="3"/>
  <c r="AL392" i="3"/>
  <c r="AR392" i="3" s="1"/>
  <c r="J392" i="3"/>
  <c r="F392" i="3"/>
  <c r="E392" i="3"/>
  <c r="C392" i="3"/>
  <c r="AQ391" i="3"/>
  <c r="AL391" i="3"/>
  <c r="AR391" i="3" s="1"/>
  <c r="J391" i="3"/>
  <c r="F391" i="3"/>
  <c r="E391" i="3"/>
  <c r="C391" i="3"/>
  <c r="AQ390" i="3"/>
  <c r="AL390" i="3"/>
  <c r="AR390" i="3" s="1"/>
  <c r="J390" i="3"/>
  <c r="F390" i="3"/>
  <c r="E390" i="3"/>
  <c r="C390" i="3"/>
  <c r="AQ389" i="3"/>
  <c r="AL389" i="3"/>
  <c r="AR389" i="3" s="1"/>
  <c r="J389" i="3"/>
  <c r="F389" i="3"/>
  <c r="E389" i="3"/>
  <c r="C389" i="3"/>
  <c r="AK388" i="3"/>
  <c r="J388" i="3"/>
  <c r="F388" i="3"/>
  <c r="E388" i="3"/>
  <c r="C388" i="3"/>
  <c r="AK387" i="3"/>
  <c r="J387" i="3"/>
  <c r="F387" i="3"/>
  <c r="E387" i="3"/>
  <c r="C387" i="3"/>
  <c r="AQ386" i="3"/>
  <c r="AL386" i="3"/>
  <c r="AR386" i="3" s="1"/>
  <c r="J386" i="3"/>
  <c r="F386" i="3"/>
  <c r="E386" i="3"/>
  <c r="C386" i="3"/>
  <c r="AK385" i="3"/>
  <c r="J385" i="3"/>
  <c r="F385" i="3"/>
  <c r="E385" i="3"/>
  <c r="C385" i="3"/>
  <c r="AQ384" i="3"/>
  <c r="AL384" i="3"/>
  <c r="AR384" i="3" s="1"/>
  <c r="J384" i="3"/>
  <c r="F384" i="3"/>
  <c r="E384" i="3"/>
  <c r="C384" i="3"/>
  <c r="AQ383" i="3"/>
  <c r="AL383" i="3"/>
  <c r="AR383" i="3" s="1"/>
  <c r="J383" i="3"/>
  <c r="F383" i="3"/>
  <c r="E383" i="3"/>
  <c r="C383" i="3"/>
  <c r="AQ382" i="3"/>
  <c r="AL382" i="3"/>
  <c r="AR382" i="3" s="1"/>
  <c r="J382" i="3"/>
  <c r="F382" i="3"/>
  <c r="E382" i="3"/>
  <c r="C382" i="3"/>
  <c r="AQ381" i="3"/>
  <c r="AL381" i="3"/>
  <c r="AR381" i="3" s="1"/>
  <c r="J381" i="3"/>
  <c r="F381" i="3"/>
  <c r="E381" i="3"/>
  <c r="C381" i="3"/>
  <c r="AQ380" i="3"/>
  <c r="AL380" i="3"/>
  <c r="AR380" i="3" s="1"/>
  <c r="J380" i="3"/>
  <c r="F380" i="3"/>
  <c r="E380" i="3"/>
  <c r="C380" i="3"/>
  <c r="AQ379" i="3"/>
  <c r="AL379" i="3"/>
  <c r="AR379" i="3" s="1"/>
  <c r="J379" i="3"/>
  <c r="F379" i="3"/>
  <c r="E379" i="3"/>
  <c r="C379" i="3"/>
  <c r="AQ378" i="3"/>
  <c r="AL378" i="3"/>
  <c r="AR378" i="3" s="1"/>
  <c r="J378" i="3"/>
  <c r="F378" i="3"/>
  <c r="E378" i="3"/>
  <c r="C378" i="3"/>
  <c r="AK377" i="3"/>
  <c r="J377" i="3"/>
  <c r="F377" i="3"/>
  <c r="E377" i="3"/>
  <c r="C377" i="3"/>
  <c r="AQ376" i="3"/>
  <c r="AL376" i="3"/>
  <c r="AR376" i="3" s="1"/>
  <c r="J376" i="3"/>
  <c r="F376" i="3"/>
  <c r="E376" i="3"/>
  <c r="C376" i="3"/>
  <c r="AQ375" i="3"/>
  <c r="AL375" i="3"/>
  <c r="AR375" i="3" s="1"/>
  <c r="J375" i="3"/>
  <c r="F375" i="3"/>
  <c r="E375" i="3"/>
  <c r="C375" i="3"/>
  <c r="AQ374" i="3"/>
  <c r="AL374" i="3"/>
  <c r="AR374" i="3" s="1"/>
  <c r="J374" i="3"/>
  <c r="F374" i="3"/>
  <c r="E374" i="3"/>
  <c r="C374" i="3"/>
  <c r="AQ373" i="3"/>
  <c r="AL373" i="3"/>
  <c r="AR373" i="3" s="1"/>
  <c r="J373" i="3"/>
  <c r="F373" i="3"/>
  <c r="E373" i="3"/>
  <c r="C373" i="3"/>
  <c r="AQ372" i="3"/>
  <c r="AL372" i="3"/>
  <c r="AR372" i="3" s="1"/>
  <c r="J372" i="3"/>
  <c r="F372" i="3"/>
  <c r="E372" i="3"/>
  <c r="C372" i="3"/>
  <c r="AQ371" i="3"/>
  <c r="AL371" i="3"/>
  <c r="AR371" i="3" s="1"/>
  <c r="J371" i="3"/>
  <c r="F371" i="3"/>
  <c r="E371" i="3"/>
  <c r="C371" i="3"/>
  <c r="AK370" i="3"/>
  <c r="J370" i="3"/>
  <c r="F370" i="3"/>
  <c r="E370" i="3"/>
  <c r="C370" i="3"/>
  <c r="AQ369" i="3"/>
  <c r="AL369" i="3"/>
  <c r="AR369" i="3" s="1"/>
  <c r="J369" i="3"/>
  <c r="F369" i="3"/>
  <c r="E369" i="3"/>
  <c r="C369" i="3"/>
  <c r="AK368" i="3"/>
  <c r="J368" i="3"/>
  <c r="F368" i="3"/>
  <c r="E368" i="3"/>
  <c r="C368" i="3"/>
  <c r="AQ367" i="3"/>
  <c r="AL367" i="3"/>
  <c r="AR367" i="3" s="1"/>
  <c r="J367" i="3"/>
  <c r="F367" i="3"/>
  <c r="E367" i="3"/>
  <c r="C367" i="3"/>
  <c r="AQ366" i="3"/>
  <c r="AL366" i="3"/>
  <c r="AR366" i="3" s="1"/>
  <c r="J366" i="3"/>
  <c r="F366" i="3"/>
  <c r="E366" i="3"/>
  <c r="C366" i="3"/>
  <c r="AQ365" i="3"/>
  <c r="AL365" i="3"/>
  <c r="AR365" i="3" s="1"/>
  <c r="J365" i="3"/>
  <c r="F365" i="3"/>
  <c r="E365" i="3"/>
  <c r="C365" i="3"/>
  <c r="AQ364" i="3"/>
  <c r="AL364" i="3"/>
  <c r="AR364" i="3" s="1"/>
  <c r="J364" i="3"/>
  <c r="F364" i="3"/>
  <c r="E364" i="3"/>
  <c r="C364" i="3"/>
  <c r="AQ363" i="3"/>
  <c r="AL363" i="3"/>
  <c r="AR363" i="3" s="1"/>
  <c r="J363" i="3"/>
  <c r="F363" i="3"/>
  <c r="E363" i="3"/>
  <c r="C363" i="3"/>
  <c r="AQ362" i="3"/>
  <c r="AL362" i="3"/>
  <c r="AR362" i="3" s="1"/>
  <c r="J362" i="3"/>
  <c r="F362" i="3"/>
  <c r="E362" i="3"/>
  <c r="C362" i="3"/>
  <c r="AK361" i="3"/>
  <c r="J361" i="3"/>
  <c r="F361" i="3"/>
  <c r="E361" i="3"/>
  <c r="C361" i="3"/>
  <c r="AQ360" i="3"/>
  <c r="AL360" i="3"/>
  <c r="AR360" i="3" s="1"/>
  <c r="J360" i="3"/>
  <c r="F360" i="3"/>
  <c r="E360" i="3"/>
  <c r="C360" i="3"/>
  <c r="AQ359" i="3"/>
  <c r="AL359" i="3"/>
  <c r="AR359" i="3" s="1"/>
  <c r="J359" i="3"/>
  <c r="F359" i="3"/>
  <c r="E359" i="3"/>
  <c r="C359" i="3"/>
  <c r="AQ358" i="3"/>
  <c r="AL358" i="3"/>
  <c r="AR358" i="3" s="1"/>
  <c r="J358" i="3"/>
  <c r="F358" i="3"/>
  <c r="E358" i="3"/>
  <c r="C358" i="3"/>
  <c r="AQ357" i="3"/>
  <c r="AL357" i="3"/>
  <c r="AR357" i="3" s="1"/>
  <c r="J357" i="3"/>
  <c r="F357" i="3"/>
  <c r="E357" i="3"/>
  <c r="C357" i="3"/>
  <c r="AQ356" i="3"/>
  <c r="AL356" i="3"/>
  <c r="AR356" i="3" s="1"/>
  <c r="J356" i="3"/>
  <c r="F356" i="3"/>
  <c r="E356" i="3"/>
  <c r="C356" i="3"/>
  <c r="AQ355" i="3"/>
  <c r="AL355" i="3"/>
  <c r="AR355" i="3" s="1"/>
  <c r="J355" i="3"/>
  <c r="F355" i="3"/>
  <c r="E355" i="3"/>
  <c r="C355" i="3"/>
  <c r="AQ354" i="3"/>
  <c r="AL354" i="3"/>
  <c r="AR354" i="3" s="1"/>
  <c r="J354" i="3"/>
  <c r="F354" i="3"/>
  <c r="E354" i="3"/>
  <c r="C354" i="3"/>
  <c r="AQ353" i="3"/>
  <c r="AL353" i="3"/>
  <c r="AR353" i="3" s="1"/>
  <c r="J353" i="3"/>
  <c r="F353" i="3"/>
  <c r="E353" i="3"/>
  <c r="C353" i="3"/>
  <c r="AQ352" i="3"/>
  <c r="AL352" i="3"/>
  <c r="AR352" i="3" s="1"/>
  <c r="J352" i="3"/>
  <c r="F352" i="3"/>
  <c r="E352" i="3"/>
  <c r="C352" i="3"/>
  <c r="AQ351" i="3"/>
  <c r="AL351" i="3"/>
  <c r="AR351" i="3" s="1"/>
  <c r="J351" i="3"/>
  <c r="F351" i="3"/>
  <c r="E351" i="3"/>
  <c r="C351" i="3"/>
  <c r="AQ350" i="3"/>
  <c r="AL350" i="3"/>
  <c r="AR350" i="3" s="1"/>
  <c r="J350" i="3"/>
  <c r="F350" i="3"/>
  <c r="E350" i="3"/>
  <c r="C350" i="3"/>
  <c r="AQ349" i="3"/>
  <c r="AL349" i="3"/>
  <c r="AR349" i="3" s="1"/>
  <c r="J349" i="3"/>
  <c r="F349" i="3"/>
  <c r="E349" i="3"/>
  <c r="C349" i="3"/>
  <c r="AQ348" i="3"/>
  <c r="AL348" i="3"/>
  <c r="AR348" i="3" s="1"/>
  <c r="J348" i="3"/>
  <c r="F348" i="3"/>
  <c r="E348" i="3"/>
  <c r="C348" i="3"/>
  <c r="AQ347" i="3"/>
  <c r="AL347" i="3"/>
  <c r="AR347" i="3" s="1"/>
  <c r="J347" i="3"/>
  <c r="F347" i="3"/>
  <c r="E347" i="3"/>
  <c r="C347" i="3"/>
  <c r="AQ346" i="3"/>
  <c r="AL346" i="3"/>
  <c r="AR346" i="3" s="1"/>
  <c r="J346" i="3"/>
  <c r="F346" i="3"/>
  <c r="E346" i="3"/>
  <c r="C346" i="3"/>
  <c r="AK345" i="3"/>
  <c r="F345" i="3"/>
  <c r="E345" i="3"/>
  <c r="C345" i="3"/>
  <c r="D3" i="4" a="1"/>
  <c r="AS344" i="3"/>
  <c r="J344" i="3"/>
  <c r="F344" i="3"/>
  <c r="E344" i="3"/>
  <c r="C344" i="3"/>
  <c r="AS343" i="3"/>
  <c r="J343" i="3"/>
  <c r="F343" i="3"/>
  <c r="E343" i="3"/>
  <c r="C343" i="3"/>
  <c r="AS342" i="3"/>
  <c r="J342" i="3"/>
  <c r="F342" i="3"/>
  <c r="E342" i="3"/>
  <c r="C342" i="3"/>
  <c r="AS341" i="3"/>
  <c r="J341" i="3"/>
  <c r="F341" i="3"/>
  <c r="E341" i="3"/>
  <c r="C341" i="3"/>
  <c r="AS340" i="3"/>
  <c r="J340" i="3"/>
  <c r="F340" i="3"/>
  <c r="E340" i="3"/>
  <c r="C340" i="3"/>
  <c r="AS339" i="3"/>
  <c r="J339" i="3"/>
  <c r="F339" i="3"/>
  <c r="E339" i="3"/>
  <c r="C339" i="3"/>
  <c r="AS338" i="3"/>
  <c r="J338" i="3"/>
  <c r="F338" i="3"/>
  <c r="E338" i="3"/>
  <c r="C338" i="3"/>
  <c r="AS337" i="3"/>
  <c r="AD337" i="3"/>
  <c r="J337" i="3"/>
  <c r="F337" i="3"/>
  <c r="E337" i="3"/>
  <c r="C337" i="3"/>
  <c r="AS336" i="3"/>
  <c r="AD336" i="3"/>
  <c r="J336" i="3"/>
  <c r="F336" i="3"/>
  <c r="E336" i="3"/>
  <c r="C336" i="3"/>
  <c r="AS335" i="3"/>
  <c r="AD335" i="3"/>
  <c r="J335" i="3"/>
  <c r="F335" i="3"/>
  <c r="E335" i="3"/>
  <c r="C335" i="3"/>
  <c r="AS334" i="3"/>
  <c r="AD334" i="3"/>
  <c r="J334" i="3"/>
  <c r="F334" i="3"/>
  <c r="E334" i="3"/>
  <c r="C334" i="3"/>
  <c r="AS333" i="3"/>
  <c r="AD333" i="3"/>
  <c r="J333" i="3"/>
  <c r="F333" i="3"/>
  <c r="E333" i="3"/>
  <c r="C333" i="3"/>
  <c r="AS332" i="3"/>
  <c r="AD332" i="3"/>
  <c r="J332" i="3"/>
  <c r="F332" i="3"/>
  <c r="E332" i="3"/>
  <c r="C332" i="3"/>
  <c r="AS331" i="3"/>
  <c r="AD331" i="3"/>
  <c r="J331" i="3"/>
  <c r="F331" i="3"/>
  <c r="E331" i="3"/>
  <c r="C331" i="3"/>
  <c r="AS330" i="3"/>
  <c r="AD330" i="3"/>
  <c r="J330" i="3"/>
  <c r="F330" i="3"/>
  <c r="E330" i="3"/>
  <c r="C330" i="3"/>
  <c r="AS329" i="3"/>
  <c r="AD329" i="3"/>
  <c r="J329" i="3"/>
  <c r="F329" i="3"/>
  <c r="E329" i="3"/>
  <c r="C329" i="3"/>
  <c r="AS328" i="3"/>
  <c r="AD328" i="3"/>
  <c r="J328" i="3"/>
  <c r="F328" i="3"/>
  <c r="E328" i="3"/>
  <c r="C328" i="3"/>
  <c r="AS327" i="3"/>
  <c r="J327" i="3"/>
  <c r="F327" i="3"/>
  <c r="E327" i="3"/>
  <c r="C327" i="3"/>
  <c r="AS326" i="3"/>
  <c r="J326" i="3"/>
  <c r="F326" i="3"/>
  <c r="E326" i="3"/>
  <c r="C326" i="3"/>
  <c r="AS325" i="3"/>
  <c r="J325" i="3"/>
  <c r="F325" i="3"/>
  <c r="E325" i="3"/>
  <c r="C325" i="3"/>
  <c r="AS324" i="3"/>
  <c r="J324" i="3"/>
  <c r="F324" i="3"/>
  <c r="E324" i="3"/>
  <c r="C324" i="3"/>
  <c r="AS323" i="3"/>
  <c r="J323" i="3"/>
  <c r="F323" i="3"/>
  <c r="E323" i="3"/>
  <c r="C323" i="3"/>
  <c r="AS322" i="3"/>
  <c r="J322" i="3"/>
  <c r="F322" i="3"/>
  <c r="E322" i="3"/>
  <c r="C322" i="3"/>
  <c r="AS321" i="3"/>
  <c r="J321" i="3"/>
  <c r="F321" i="3"/>
  <c r="E321" i="3"/>
  <c r="C321" i="3"/>
  <c r="AS320" i="3"/>
  <c r="J320" i="3"/>
  <c r="F320" i="3"/>
  <c r="E320" i="3"/>
  <c r="C320" i="3"/>
  <c r="AS319" i="3"/>
  <c r="J319" i="3"/>
  <c r="F319" i="3"/>
  <c r="E319" i="3"/>
  <c r="C319" i="3"/>
  <c r="AS318" i="3"/>
  <c r="J318" i="3"/>
  <c r="F318" i="3"/>
  <c r="E318" i="3"/>
  <c r="C318" i="3"/>
  <c r="AS317" i="3"/>
  <c r="J317" i="3"/>
  <c r="F317" i="3"/>
  <c r="E317" i="3"/>
  <c r="C317" i="3"/>
  <c r="AS316" i="3"/>
  <c r="J316" i="3"/>
  <c r="F316" i="3"/>
  <c r="E316" i="3"/>
  <c r="C316" i="3"/>
  <c r="AS315" i="3"/>
  <c r="J315" i="3"/>
  <c r="F315" i="3"/>
  <c r="E315" i="3"/>
  <c r="C315" i="3"/>
  <c r="AS314" i="3"/>
  <c r="J314" i="3"/>
  <c r="F314" i="3"/>
  <c r="E314" i="3"/>
  <c r="C314" i="3"/>
  <c r="AS313" i="3"/>
  <c r="J313" i="3"/>
  <c r="F313" i="3"/>
  <c r="E313" i="3"/>
  <c r="C313" i="3"/>
  <c r="AS312" i="3"/>
  <c r="J312" i="3"/>
  <c r="F312" i="3"/>
  <c r="E312" i="3"/>
  <c r="C312" i="3"/>
  <c r="AS311" i="3"/>
  <c r="J311" i="3"/>
  <c r="F311" i="3"/>
  <c r="E311" i="3"/>
  <c r="C311" i="3"/>
  <c r="AS310" i="3"/>
  <c r="J310" i="3"/>
  <c r="F310" i="3"/>
  <c r="E310" i="3"/>
  <c r="C310" i="3"/>
  <c r="AS309" i="3"/>
  <c r="J309" i="3"/>
  <c r="F309" i="3"/>
  <c r="E309" i="3"/>
  <c r="C309" i="3"/>
  <c r="AS308" i="3"/>
  <c r="J308" i="3"/>
  <c r="F308" i="3"/>
  <c r="E308" i="3"/>
  <c r="C308" i="3"/>
  <c r="AS307" i="3"/>
  <c r="J307" i="3"/>
  <c r="F307" i="3"/>
  <c r="E307" i="3"/>
  <c r="C307" i="3"/>
  <c r="AS306" i="3"/>
  <c r="J306" i="3"/>
  <c r="F306" i="3"/>
  <c r="E306" i="3"/>
  <c r="C306" i="3"/>
  <c r="AS305" i="3"/>
  <c r="J305" i="3"/>
  <c r="F305" i="3"/>
  <c r="E305" i="3"/>
  <c r="C305" i="3"/>
  <c r="AS304" i="3"/>
  <c r="J304" i="3"/>
  <c r="F304" i="3"/>
  <c r="E304" i="3"/>
  <c r="C304" i="3"/>
  <c r="AS303" i="3"/>
  <c r="J303" i="3"/>
  <c r="F303" i="3"/>
  <c r="E303" i="3"/>
  <c r="C303" i="3"/>
  <c r="AS302" i="3"/>
  <c r="J302" i="3"/>
  <c r="F302" i="3"/>
  <c r="E302" i="3"/>
  <c r="C302" i="3"/>
  <c r="AS301" i="3"/>
  <c r="J301" i="3"/>
  <c r="F301" i="3"/>
  <c r="E301" i="3"/>
  <c r="C301" i="3"/>
  <c r="AS300" i="3"/>
  <c r="J300" i="3"/>
  <c r="F300" i="3"/>
  <c r="E300" i="3"/>
  <c r="C300" i="3"/>
  <c r="AS299" i="3"/>
  <c r="J299" i="3"/>
  <c r="F299" i="3"/>
  <c r="E299" i="3"/>
  <c r="C299" i="3"/>
  <c r="AS298" i="3"/>
  <c r="J298" i="3"/>
  <c r="F298" i="3"/>
  <c r="E298" i="3"/>
  <c r="C298" i="3"/>
  <c r="AS297" i="3"/>
  <c r="J297" i="3"/>
  <c r="F297" i="3"/>
  <c r="E297" i="3"/>
  <c r="C297" i="3"/>
  <c r="AS296" i="3"/>
  <c r="J296" i="3"/>
  <c r="F296" i="3"/>
  <c r="E296" i="3"/>
  <c r="C296" i="3"/>
  <c r="AS295" i="3"/>
  <c r="J295" i="3"/>
  <c r="F295" i="3"/>
  <c r="E295" i="3"/>
  <c r="C295" i="3"/>
  <c r="AS294" i="3"/>
  <c r="J294" i="3"/>
  <c r="F294" i="3"/>
  <c r="E294" i="3"/>
  <c r="C294" i="3"/>
  <c r="AS293" i="3"/>
  <c r="J293" i="3"/>
  <c r="F293" i="3"/>
  <c r="E293" i="3"/>
  <c r="C293" i="3"/>
  <c r="AS292" i="3"/>
  <c r="J292" i="3"/>
  <c r="F292" i="3"/>
  <c r="E292" i="3"/>
  <c r="C292" i="3"/>
  <c r="AS291" i="3"/>
  <c r="J291" i="3"/>
  <c r="F291" i="3"/>
  <c r="E291" i="3"/>
  <c r="C291" i="3"/>
  <c r="AS290" i="3"/>
  <c r="J290" i="3"/>
  <c r="F290" i="3"/>
  <c r="E290" i="3"/>
  <c r="C290" i="3"/>
  <c r="AS289" i="3"/>
  <c r="J289" i="3"/>
  <c r="F289" i="3"/>
  <c r="E289" i="3"/>
  <c r="C289" i="3"/>
  <c r="AS288" i="3"/>
  <c r="J288" i="3"/>
  <c r="F288" i="3"/>
  <c r="E288" i="3"/>
  <c r="C288" i="3"/>
  <c r="AS287" i="3"/>
  <c r="J287" i="3"/>
  <c r="F287" i="3"/>
  <c r="E287" i="3"/>
  <c r="C287" i="3"/>
  <c r="AS286" i="3"/>
  <c r="J286" i="3"/>
  <c r="F286" i="3"/>
  <c r="E286" i="3"/>
  <c r="C286" i="3"/>
  <c r="AS285" i="3"/>
  <c r="J285" i="3"/>
  <c r="F285" i="3"/>
  <c r="E285" i="3"/>
  <c r="C285" i="3"/>
  <c r="AS284" i="3"/>
  <c r="J284" i="3"/>
  <c r="F284" i="3"/>
  <c r="E284" i="3"/>
  <c r="C284" i="3"/>
  <c r="AS283" i="3"/>
  <c r="J283" i="3"/>
  <c r="F283" i="3"/>
  <c r="E283" i="3"/>
  <c r="C283" i="3"/>
  <c r="AS282" i="3"/>
  <c r="J282" i="3"/>
  <c r="F282" i="3"/>
  <c r="E282" i="3"/>
  <c r="C282" i="3"/>
  <c r="AS281" i="3"/>
  <c r="J281" i="3"/>
  <c r="F281" i="3"/>
  <c r="E281" i="3"/>
  <c r="C281" i="3"/>
  <c r="AS280" i="3"/>
  <c r="J280" i="3"/>
  <c r="F280" i="3"/>
  <c r="E280" i="3"/>
  <c r="C280" i="3"/>
  <c r="AS279" i="3"/>
  <c r="J279" i="3"/>
  <c r="F279" i="3"/>
  <c r="E279" i="3"/>
  <c r="C279" i="3"/>
  <c r="AS278" i="3"/>
  <c r="J278" i="3"/>
  <c r="F278" i="3"/>
  <c r="E278" i="3"/>
  <c r="C278" i="3"/>
  <c r="AS277" i="3"/>
  <c r="J277" i="3"/>
  <c r="F277" i="3"/>
  <c r="E277" i="3"/>
  <c r="C277" i="3"/>
  <c r="AS276" i="3"/>
  <c r="J276" i="3"/>
  <c r="F276" i="3"/>
  <c r="E276" i="3"/>
  <c r="C276" i="3"/>
  <c r="AS275" i="3"/>
  <c r="J275" i="3"/>
  <c r="F275" i="3"/>
  <c r="E275" i="3"/>
  <c r="C275" i="3"/>
  <c r="AS274" i="3"/>
  <c r="J274" i="3"/>
  <c r="F274" i="3"/>
  <c r="E274" i="3"/>
  <c r="C274" i="3"/>
  <c r="AS273" i="3"/>
  <c r="J273" i="3"/>
  <c r="F273" i="3"/>
  <c r="E273" i="3"/>
  <c r="C273" i="3"/>
  <c r="AS272" i="3"/>
  <c r="J272" i="3"/>
  <c r="F272" i="3"/>
  <c r="E272" i="3"/>
  <c r="C272" i="3"/>
  <c r="AS271" i="3"/>
  <c r="J271" i="3"/>
  <c r="F271" i="3"/>
  <c r="E271" i="3"/>
  <c r="C271" i="3"/>
  <c r="AS270" i="3"/>
  <c r="J270" i="3"/>
  <c r="F270" i="3"/>
  <c r="E270" i="3"/>
  <c r="C270" i="3"/>
  <c r="AS269" i="3"/>
  <c r="J269" i="3"/>
  <c r="F269" i="3"/>
  <c r="E269" i="3"/>
  <c r="C269" i="3"/>
  <c r="AS268" i="3"/>
  <c r="J268" i="3"/>
  <c r="F268" i="3"/>
  <c r="E268" i="3"/>
  <c r="C268" i="3"/>
  <c r="AS267" i="3"/>
  <c r="J267" i="3"/>
  <c r="F267" i="3"/>
  <c r="E267" i="3"/>
  <c r="C267" i="3"/>
  <c r="AS266" i="3"/>
  <c r="J266" i="3"/>
  <c r="F266" i="3"/>
  <c r="E266" i="3"/>
  <c r="C266" i="3"/>
  <c r="AS265" i="3"/>
  <c r="J265" i="3"/>
  <c r="F265" i="3"/>
  <c r="E265" i="3"/>
  <c r="C265" i="3"/>
  <c r="AS264" i="3"/>
  <c r="J264" i="3"/>
  <c r="F264" i="3"/>
  <c r="E264" i="3"/>
  <c r="C264" i="3"/>
  <c r="AS263" i="3"/>
  <c r="J263" i="3"/>
  <c r="F263" i="3"/>
  <c r="E263" i="3"/>
  <c r="C263" i="3"/>
  <c r="AS262" i="3"/>
  <c r="J262" i="3"/>
  <c r="F262" i="3"/>
  <c r="E262" i="3"/>
  <c r="C262" i="3"/>
  <c r="AS261" i="3"/>
  <c r="J261" i="3"/>
  <c r="F261" i="3"/>
  <c r="E261" i="3"/>
  <c r="C261" i="3"/>
  <c r="AS260" i="3"/>
  <c r="J260" i="3"/>
  <c r="F260" i="3"/>
  <c r="E260" i="3"/>
  <c r="C260" i="3"/>
  <c r="AS259" i="3"/>
  <c r="J259" i="3"/>
  <c r="F259" i="3"/>
  <c r="E259" i="3"/>
  <c r="C259" i="3"/>
  <c r="AS258" i="3"/>
  <c r="J258" i="3"/>
  <c r="F258" i="3"/>
  <c r="E258" i="3"/>
  <c r="C258" i="3"/>
  <c r="AS257" i="3"/>
  <c r="J257" i="3"/>
  <c r="F257" i="3"/>
  <c r="E257" i="3"/>
  <c r="C257" i="3"/>
  <c r="AS256" i="3"/>
  <c r="J256" i="3"/>
  <c r="F256" i="3"/>
  <c r="E256" i="3"/>
  <c r="C256" i="3"/>
  <c r="AS255" i="3"/>
  <c r="J255" i="3"/>
  <c r="F255" i="3"/>
  <c r="E255" i="3"/>
  <c r="C255" i="3"/>
  <c r="AS254" i="3"/>
  <c r="J254" i="3"/>
  <c r="F254" i="3"/>
  <c r="E254" i="3"/>
  <c r="C254" i="3"/>
  <c r="AS253" i="3"/>
  <c r="J253" i="3"/>
  <c r="F253" i="3"/>
  <c r="E253" i="3"/>
  <c r="C253" i="3"/>
  <c r="AS252" i="3"/>
  <c r="J252" i="3"/>
  <c r="F252" i="3"/>
  <c r="E252" i="3"/>
  <c r="C252" i="3"/>
  <c r="AS251" i="3"/>
  <c r="AD251" i="3"/>
  <c r="J251" i="3"/>
  <c r="F251" i="3"/>
  <c r="E251" i="3"/>
  <c r="C251" i="3"/>
  <c r="AS250" i="3"/>
  <c r="AD250" i="3"/>
  <c r="J250" i="3"/>
  <c r="F250" i="3"/>
  <c r="E250" i="3"/>
  <c r="C250" i="3"/>
  <c r="AS249" i="3"/>
  <c r="AD249" i="3"/>
  <c r="J249" i="3"/>
  <c r="F249" i="3"/>
  <c r="E249" i="3"/>
  <c r="C249" i="3"/>
  <c r="AS248" i="3"/>
  <c r="AD248" i="3"/>
  <c r="J248" i="3"/>
  <c r="F248" i="3"/>
  <c r="E248" i="3"/>
  <c r="C248" i="3"/>
  <c r="AS247" i="3"/>
  <c r="AD247" i="3"/>
  <c r="J247" i="3"/>
  <c r="F247" i="3"/>
  <c r="E247" i="3"/>
  <c r="C247" i="3"/>
  <c r="AS246" i="3"/>
  <c r="AD246" i="3"/>
  <c r="J246" i="3"/>
  <c r="F246" i="3"/>
  <c r="E246" i="3"/>
  <c r="C246" i="3"/>
  <c r="AS245" i="3"/>
  <c r="AD245" i="3"/>
  <c r="J245" i="3"/>
  <c r="F245" i="3"/>
  <c r="E245" i="3"/>
  <c r="C245" i="3"/>
  <c r="AS244" i="3"/>
  <c r="AD244" i="3"/>
  <c r="J244" i="3"/>
  <c r="F244" i="3"/>
  <c r="E244" i="3"/>
  <c r="C244" i="3"/>
  <c r="AS243" i="3"/>
  <c r="AD243" i="3"/>
  <c r="J243" i="3"/>
  <c r="F243" i="3"/>
  <c r="E243" i="3"/>
  <c r="C243" i="3"/>
  <c r="AS242" i="3"/>
  <c r="J242" i="3"/>
  <c r="F242" i="3"/>
  <c r="E242" i="3"/>
  <c r="C242" i="3"/>
  <c r="AS241" i="3"/>
  <c r="J241" i="3"/>
  <c r="F241" i="3"/>
  <c r="E241" i="3"/>
  <c r="C241" i="3"/>
  <c r="AS240" i="3"/>
  <c r="J240" i="3"/>
  <c r="F240" i="3"/>
  <c r="E240" i="3"/>
  <c r="C240" i="3"/>
  <c r="AS239" i="3"/>
  <c r="J239" i="3"/>
  <c r="F239" i="3"/>
  <c r="E239" i="3"/>
  <c r="C239" i="3"/>
  <c r="AS238" i="3"/>
  <c r="J238" i="3"/>
  <c r="F238" i="3"/>
  <c r="E238" i="3"/>
  <c r="C238" i="3"/>
  <c r="AS237" i="3"/>
  <c r="J237" i="3"/>
  <c r="F237" i="3"/>
  <c r="E237" i="3"/>
  <c r="C237" i="3"/>
  <c r="AS236" i="3"/>
  <c r="J236" i="3"/>
  <c r="F236" i="3"/>
  <c r="E236" i="3"/>
  <c r="C236" i="3"/>
  <c r="AS235" i="3"/>
  <c r="J235" i="3"/>
  <c r="F235" i="3"/>
  <c r="E235" i="3"/>
  <c r="C235" i="3"/>
  <c r="AS234" i="3"/>
  <c r="J234" i="3"/>
  <c r="F234" i="3"/>
  <c r="E234" i="3"/>
  <c r="C234" i="3"/>
  <c r="AS233" i="3"/>
  <c r="AD233" i="3"/>
  <c r="J233" i="3"/>
  <c r="F233" i="3"/>
  <c r="E233" i="3"/>
  <c r="C233" i="3"/>
  <c r="AS232" i="3"/>
  <c r="AD232" i="3"/>
  <c r="J232" i="3"/>
  <c r="F232" i="3"/>
  <c r="E232" i="3"/>
  <c r="C232" i="3"/>
  <c r="AS231" i="3"/>
  <c r="AD231" i="3"/>
  <c r="J231" i="3"/>
  <c r="F231" i="3"/>
  <c r="E231" i="3"/>
  <c r="C231" i="3"/>
  <c r="AS230" i="3"/>
  <c r="AD230" i="3"/>
  <c r="J230" i="3"/>
  <c r="F230" i="3"/>
  <c r="E230" i="3"/>
  <c r="C230" i="3"/>
  <c r="AS229" i="3"/>
  <c r="AD229" i="3"/>
  <c r="J229" i="3"/>
  <c r="F229" i="3"/>
  <c r="E229" i="3"/>
  <c r="C229" i="3"/>
  <c r="AS228" i="3"/>
  <c r="AD228" i="3"/>
  <c r="J228" i="3"/>
  <c r="F228" i="3"/>
  <c r="E228" i="3"/>
  <c r="C228" i="3"/>
  <c r="AS227" i="3"/>
  <c r="AD227" i="3"/>
  <c r="J227" i="3"/>
  <c r="F227" i="3"/>
  <c r="E227" i="3"/>
  <c r="C227" i="3"/>
  <c r="AS226" i="3"/>
  <c r="AD226" i="3"/>
  <c r="J226" i="3"/>
  <c r="F226" i="3"/>
  <c r="E226" i="3"/>
  <c r="C226" i="3"/>
  <c r="AS225" i="3"/>
  <c r="AD225" i="3"/>
  <c r="AA225" i="3"/>
  <c r="V225" i="3"/>
  <c r="T225" i="3"/>
  <c r="Q225" i="3"/>
  <c r="O225" i="3"/>
  <c r="M225" i="3"/>
  <c r="J225" i="3"/>
  <c r="F225" i="3"/>
  <c r="E225" i="3"/>
  <c r="C225" i="3"/>
  <c r="AS224" i="3"/>
  <c r="AD224" i="3"/>
  <c r="J224" i="3"/>
  <c r="F224" i="3"/>
  <c r="E224" i="3"/>
  <c r="C224" i="3"/>
  <c r="AS223" i="3"/>
  <c r="AD223" i="3"/>
  <c r="J223" i="3"/>
  <c r="F223" i="3"/>
  <c r="E223" i="3"/>
  <c r="C223" i="3"/>
  <c r="AS222" i="3"/>
  <c r="AD222" i="3"/>
  <c r="J222" i="3"/>
  <c r="F222" i="3"/>
  <c r="E222" i="3"/>
  <c r="C222" i="3"/>
  <c r="AS221" i="3"/>
  <c r="AD221" i="3"/>
  <c r="J221" i="3"/>
  <c r="F221" i="3"/>
  <c r="E221" i="3"/>
  <c r="C221" i="3"/>
  <c r="AS220" i="3"/>
  <c r="AD220" i="3"/>
  <c r="J220" i="3"/>
  <c r="F220" i="3"/>
  <c r="E220" i="3"/>
  <c r="C220" i="3"/>
  <c r="AS219" i="3"/>
  <c r="AD219" i="3"/>
  <c r="J219" i="3"/>
  <c r="F219" i="3"/>
  <c r="E219" i="3"/>
  <c r="C219" i="3"/>
  <c r="AS218" i="3"/>
  <c r="AD218" i="3"/>
  <c r="J218" i="3"/>
  <c r="F218" i="3"/>
  <c r="E218" i="3"/>
  <c r="C218" i="3"/>
  <c r="AS217" i="3"/>
  <c r="AD217" i="3"/>
  <c r="J217" i="3"/>
  <c r="F217" i="3"/>
  <c r="E217" i="3"/>
  <c r="C217" i="3"/>
  <c r="AS216" i="3"/>
  <c r="AD216" i="3"/>
  <c r="J216" i="3"/>
  <c r="F216" i="3"/>
  <c r="E216" i="3"/>
  <c r="C216" i="3"/>
  <c r="AS215" i="3"/>
  <c r="AD215" i="3"/>
  <c r="J215" i="3"/>
  <c r="F215" i="3"/>
  <c r="E215" i="3"/>
  <c r="C215" i="3"/>
  <c r="AS214" i="3"/>
  <c r="AD214" i="3"/>
  <c r="J214" i="3"/>
  <c r="F214" i="3"/>
  <c r="E214" i="3"/>
  <c r="C214" i="3"/>
  <c r="AS213" i="3"/>
  <c r="AD213" i="3"/>
  <c r="J213" i="3"/>
  <c r="F213" i="3"/>
  <c r="E213" i="3"/>
  <c r="C213" i="3"/>
  <c r="AS212" i="3"/>
  <c r="AD212" i="3"/>
  <c r="J212" i="3"/>
  <c r="F212" i="3"/>
  <c r="E212" i="3"/>
  <c r="C212" i="3"/>
  <c r="AS211" i="3"/>
  <c r="AD211" i="3"/>
  <c r="J211" i="3"/>
  <c r="F211" i="3"/>
  <c r="E211" i="3"/>
  <c r="C211" i="3"/>
  <c r="AS210" i="3"/>
  <c r="AD210" i="3"/>
  <c r="J210" i="3"/>
  <c r="F210" i="3"/>
  <c r="E210" i="3"/>
  <c r="C210" i="3"/>
  <c r="AS209" i="3"/>
  <c r="AD209" i="3"/>
  <c r="J209" i="3"/>
  <c r="F209" i="3"/>
  <c r="E209" i="3"/>
  <c r="C209" i="3"/>
  <c r="AS208" i="3"/>
  <c r="AD208" i="3"/>
  <c r="J208" i="3"/>
  <c r="F208" i="3"/>
  <c r="E208" i="3"/>
  <c r="C208" i="3"/>
  <c r="AS207" i="3"/>
  <c r="AD207" i="3"/>
  <c r="J207" i="3"/>
  <c r="F207" i="3"/>
  <c r="E207" i="3"/>
  <c r="C207" i="3"/>
  <c r="AS206" i="3"/>
  <c r="AD206" i="3"/>
  <c r="J206" i="3"/>
  <c r="F206" i="3"/>
  <c r="E206" i="3"/>
  <c r="C206" i="3"/>
  <c r="AS205" i="3"/>
  <c r="AD205" i="3"/>
  <c r="J205" i="3"/>
  <c r="F205" i="3"/>
  <c r="E205" i="3"/>
  <c r="C205" i="3"/>
  <c r="AS204" i="3"/>
  <c r="J204" i="3"/>
  <c r="F204" i="3"/>
  <c r="E204" i="3"/>
  <c r="C204" i="3"/>
  <c r="AS203" i="3"/>
  <c r="J203" i="3"/>
  <c r="F203" i="3"/>
  <c r="E203" i="3"/>
  <c r="C203" i="3"/>
  <c r="AS202" i="3"/>
  <c r="J202" i="3"/>
  <c r="F202" i="3"/>
  <c r="E202" i="3"/>
  <c r="C202" i="3"/>
  <c r="AS201" i="3"/>
  <c r="J201" i="3"/>
  <c r="F201" i="3"/>
  <c r="E201" i="3"/>
  <c r="C201" i="3"/>
  <c r="AS200" i="3"/>
  <c r="J200" i="3"/>
  <c r="F200" i="3"/>
  <c r="E200" i="3"/>
  <c r="C200" i="3"/>
  <c r="AS199" i="3"/>
  <c r="J199" i="3"/>
  <c r="F199" i="3"/>
  <c r="E199" i="3"/>
  <c r="C199" i="3"/>
  <c r="AS198" i="3"/>
  <c r="J198" i="3"/>
  <c r="F198" i="3"/>
  <c r="E198" i="3"/>
  <c r="C198" i="3"/>
  <c r="AS197" i="3"/>
  <c r="J197" i="3"/>
  <c r="F197" i="3"/>
  <c r="E197" i="3"/>
  <c r="C197" i="3"/>
  <c r="AS196" i="3"/>
  <c r="J196" i="3"/>
  <c r="F196" i="3"/>
  <c r="E196" i="3"/>
  <c r="C196" i="3"/>
  <c r="AS195" i="3"/>
  <c r="J195" i="3"/>
  <c r="F195" i="3"/>
  <c r="E195" i="3"/>
  <c r="C195" i="3"/>
  <c r="AS194" i="3"/>
  <c r="J194" i="3"/>
  <c r="F194" i="3"/>
  <c r="E194" i="3"/>
  <c r="C194" i="3"/>
  <c r="AS193" i="3"/>
  <c r="J193" i="3"/>
  <c r="F193" i="3"/>
  <c r="E193" i="3"/>
  <c r="C193" i="3"/>
  <c r="AS192" i="3"/>
  <c r="J192" i="3"/>
  <c r="F192" i="3"/>
  <c r="E192" i="3"/>
  <c r="C192" i="3"/>
  <c r="AS191" i="3"/>
  <c r="J191" i="3"/>
  <c r="F191" i="3"/>
  <c r="E191" i="3"/>
  <c r="C191" i="3"/>
  <c r="AS190" i="3"/>
  <c r="J190" i="3"/>
  <c r="F190" i="3"/>
  <c r="E190" i="3"/>
  <c r="C190" i="3"/>
  <c r="AS189" i="3"/>
  <c r="J189" i="3"/>
  <c r="F189" i="3"/>
  <c r="E189" i="3"/>
  <c r="C189" i="3"/>
  <c r="AS188" i="3"/>
  <c r="J188" i="3"/>
  <c r="F188" i="3"/>
  <c r="E188" i="3"/>
  <c r="C188" i="3"/>
  <c r="AS187" i="3"/>
  <c r="J187" i="3"/>
  <c r="F187" i="3"/>
  <c r="E187" i="3"/>
  <c r="C187" i="3"/>
  <c r="AS186" i="3"/>
  <c r="J186" i="3"/>
  <c r="F186" i="3"/>
  <c r="E186" i="3"/>
  <c r="C186" i="3"/>
  <c r="AS185" i="3"/>
  <c r="J185" i="3"/>
  <c r="F185" i="3"/>
  <c r="E185" i="3"/>
  <c r="C185" i="3"/>
  <c r="AS184" i="3"/>
  <c r="J184" i="3"/>
  <c r="F184" i="3"/>
  <c r="E184" i="3"/>
  <c r="C184" i="3"/>
  <c r="AS183" i="3"/>
  <c r="J183" i="3"/>
  <c r="F183" i="3"/>
  <c r="E183" i="3"/>
  <c r="C183" i="3"/>
  <c r="AS182" i="3"/>
  <c r="J182" i="3"/>
  <c r="F182" i="3"/>
  <c r="E182" i="3"/>
  <c r="C182" i="3"/>
  <c r="AS181" i="3"/>
  <c r="J181" i="3"/>
  <c r="F181" i="3"/>
  <c r="E181" i="3"/>
  <c r="C181" i="3"/>
  <c r="AS180" i="3"/>
  <c r="J180" i="3"/>
  <c r="F180" i="3"/>
  <c r="E180" i="3"/>
  <c r="C180" i="3"/>
  <c r="AS179" i="3"/>
  <c r="J179" i="3"/>
  <c r="F179" i="3"/>
  <c r="E179" i="3"/>
  <c r="C179" i="3"/>
  <c r="AS178" i="3"/>
  <c r="J178" i="3"/>
  <c r="F178" i="3"/>
  <c r="E178" i="3"/>
  <c r="C178" i="3"/>
  <c r="AS177" i="3"/>
  <c r="J177" i="3"/>
  <c r="F177" i="3"/>
  <c r="E177" i="3"/>
  <c r="C177" i="3"/>
  <c r="AS176" i="3"/>
  <c r="J176" i="3"/>
  <c r="F176" i="3"/>
  <c r="E176" i="3"/>
  <c r="C176" i="3"/>
  <c r="AS175" i="3"/>
  <c r="J175" i="3"/>
  <c r="F175" i="3"/>
  <c r="E175" i="3"/>
  <c r="C175" i="3"/>
  <c r="AS174" i="3"/>
  <c r="J174" i="3"/>
  <c r="F174" i="3"/>
  <c r="E174" i="3"/>
  <c r="C174" i="3"/>
  <c r="AS173" i="3"/>
  <c r="J173" i="3"/>
  <c r="F173" i="3"/>
  <c r="E173" i="3"/>
  <c r="C173" i="3"/>
  <c r="AS172" i="3"/>
  <c r="J172" i="3"/>
  <c r="F172" i="3"/>
  <c r="E172" i="3"/>
  <c r="C172" i="3"/>
  <c r="AS171" i="3"/>
  <c r="J171" i="3"/>
  <c r="F171" i="3"/>
  <c r="E171" i="3"/>
  <c r="C171" i="3"/>
  <c r="AS170" i="3"/>
  <c r="J170" i="3"/>
  <c r="F170" i="3"/>
  <c r="E170" i="3"/>
  <c r="C170" i="3"/>
  <c r="AS169" i="3"/>
  <c r="J169" i="3"/>
  <c r="F169" i="3"/>
  <c r="E169" i="3"/>
  <c r="C169" i="3"/>
  <c r="AS168" i="3"/>
  <c r="J168" i="3"/>
  <c r="F168" i="3"/>
  <c r="E168" i="3"/>
  <c r="C168" i="3"/>
  <c r="AS167" i="3"/>
  <c r="J167" i="3"/>
  <c r="F167" i="3"/>
  <c r="E167" i="3"/>
  <c r="C167" i="3"/>
  <c r="AS166" i="3"/>
  <c r="J166" i="3"/>
  <c r="F166" i="3"/>
  <c r="E166" i="3"/>
  <c r="C166" i="3"/>
  <c r="AS165" i="3"/>
  <c r="J165" i="3"/>
  <c r="F165" i="3"/>
  <c r="E165" i="3"/>
  <c r="C165" i="3"/>
  <c r="AS164" i="3"/>
  <c r="J164" i="3"/>
  <c r="F164" i="3"/>
  <c r="E164" i="3"/>
  <c r="C164" i="3"/>
  <c r="AS163" i="3"/>
  <c r="J163" i="3"/>
  <c r="F163" i="3"/>
  <c r="E163" i="3"/>
  <c r="C163" i="3"/>
  <c r="AS162" i="3"/>
  <c r="J162" i="3"/>
  <c r="F162" i="3"/>
  <c r="E162" i="3"/>
  <c r="C162" i="3"/>
  <c r="AS161" i="3"/>
  <c r="J161" i="3"/>
  <c r="F161" i="3"/>
  <c r="E161" i="3"/>
  <c r="C161" i="3"/>
  <c r="AS160" i="3"/>
  <c r="J160" i="3"/>
  <c r="F160" i="3"/>
  <c r="E160" i="3"/>
  <c r="C160" i="3"/>
  <c r="AS159" i="3"/>
  <c r="J159" i="3"/>
  <c r="F159" i="3"/>
  <c r="E159" i="3"/>
  <c r="C159" i="3"/>
  <c r="AS158" i="3"/>
  <c r="J158" i="3"/>
  <c r="F158" i="3"/>
  <c r="E158" i="3"/>
  <c r="C158" i="3"/>
  <c r="AS157" i="3"/>
  <c r="J157" i="3"/>
  <c r="F157" i="3"/>
  <c r="E157" i="3"/>
  <c r="C157" i="3"/>
  <c r="AS156" i="3"/>
  <c r="J156" i="3"/>
  <c r="F156" i="3"/>
  <c r="E156" i="3"/>
  <c r="C156" i="3"/>
  <c r="AS155" i="3"/>
  <c r="J155" i="3"/>
  <c r="F155" i="3"/>
  <c r="E155" i="3"/>
  <c r="C155" i="3"/>
  <c r="AS154" i="3"/>
  <c r="J154" i="3"/>
  <c r="F154" i="3"/>
  <c r="E154" i="3"/>
  <c r="C154" i="3"/>
  <c r="AS153" i="3"/>
  <c r="J153" i="3"/>
  <c r="F153" i="3"/>
  <c r="E153" i="3"/>
  <c r="C153" i="3"/>
  <c r="AS152" i="3"/>
  <c r="J152" i="3"/>
  <c r="F152" i="3"/>
  <c r="E152" i="3"/>
  <c r="C152" i="3"/>
  <c r="AS151" i="3"/>
  <c r="J151" i="3"/>
  <c r="F151" i="3"/>
  <c r="E151" i="3"/>
  <c r="C151" i="3"/>
  <c r="AS150" i="3"/>
  <c r="J150" i="3"/>
  <c r="F150" i="3"/>
  <c r="E150" i="3"/>
  <c r="C150" i="3"/>
  <c r="AS149" i="3"/>
  <c r="J149" i="3"/>
  <c r="F149" i="3"/>
  <c r="E149" i="3"/>
  <c r="C149" i="3"/>
  <c r="AS148" i="3"/>
  <c r="J148" i="3"/>
  <c r="F148" i="3"/>
  <c r="E148" i="3"/>
  <c r="C148" i="3"/>
  <c r="AS147" i="3"/>
  <c r="J147" i="3"/>
  <c r="F147" i="3"/>
  <c r="E147" i="3"/>
  <c r="C147" i="3"/>
  <c r="AS146" i="3"/>
  <c r="J146" i="3"/>
  <c r="F146" i="3"/>
  <c r="E146" i="3"/>
  <c r="C146" i="3"/>
  <c r="AS145" i="3"/>
  <c r="J145" i="3"/>
  <c r="F145" i="3"/>
  <c r="E145" i="3"/>
  <c r="C145" i="3"/>
  <c r="AS144" i="3"/>
  <c r="J144" i="3"/>
  <c r="F144" i="3"/>
  <c r="E144" i="3"/>
  <c r="C144" i="3"/>
  <c r="AS143" i="3"/>
  <c r="J143" i="3"/>
  <c r="F143" i="3"/>
  <c r="E143" i="3"/>
  <c r="C143" i="3"/>
  <c r="AS142" i="3"/>
  <c r="J142" i="3"/>
  <c r="F142" i="3"/>
  <c r="E142" i="3"/>
  <c r="C142" i="3"/>
  <c r="AS141" i="3"/>
  <c r="J141" i="3"/>
  <c r="F141" i="3"/>
  <c r="E141" i="3"/>
  <c r="C141" i="3"/>
  <c r="AS140" i="3"/>
  <c r="J140" i="3"/>
  <c r="F140" i="3"/>
  <c r="E140" i="3"/>
  <c r="C140" i="3"/>
  <c r="AS139" i="3"/>
  <c r="J139" i="3"/>
  <c r="F139" i="3"/>
  <c r="E139" i="3"/>
  <c r="C139" i="3"/>
  <c r="AS138" i="3"/>
  <c r="J138" i="3"/>
  <c r="F138" i="3"/>
  <c r="E138" i="3"/>
  <c r="C138" i="3"/>
  <c r="AS137" i="3"/>
  <c r="J137" i="3"/>
  <c r="F137" i="3"/>
  <c r="E137" i="3"/>
  <c r="C137" i="3"/>
  <c r="AS136" i="3"/>
  <c r="J136" i="3"/>
  <c r="F136" i="3"/>
  <c r="E136" i="3"/>
  <c r="C136" i="3"/>
  <c r="AS135" i="3"/>
  <c r="J135" i="3"/>
  <c r="F135" i="3"/>
  <c r="E135" i="3"/>
  <c r="C135" i="3"/>
  <c r="AS134" i="3"/>
  <c r="J134" i="3"/>
  <c r="F134" i="3"/>
  <c r="E134" i="3"/>
  <c r="C134" i="3"/>
  <c r="AS133" i="3"/>
  <c r="J133" i="3"/>
  <c r="F133" i="3"/>
  <c r="E133" i="3"/>
  <c r="C133" i="3"/>
  <c r="AS132" i="3"/>
  <c r="J132" i="3"/>
  <c r="F132" i="3"/>
  <c r="E132" i="3"/>
  <c r="C132" i="3"/>
  <c r="AS131" i="3"/>
  <c r="J131" i="3"/>
  <c r="F131" i="3"/>
  <c r="E131" i="3"/>
  <c r="C131" i="3"/>
  <c r="AS130" i="3"/>
  <c r="J130" i="3"/>
  <c r="F130" i="3"/>
  <c r="E130" i="3"/>
  <c r="C130" i="3"/>
  <c r="AS129" i="3"/>
  <c r="J129" i="3"/>
  <c r="F129" i="3"/>
  <c r="E129" i="3"/>
  <c r="C129" i="3"/>
  <c r="AS128" i="3"/>
  <c r="J128" i="3"/>
  <c r="F128" i="3"/>
  <c r="E128" i="3"/>
  <c r="C128" i="3"/>
  <c r="AS127" i="3"/>
  <c r="J127" i="3"/>
  <c r="F127" i="3"/>
  <c r="E127" i="3"/>
  <c r="C127" i="3"/>
  <c r="AS126" i="3"/>
  <c r="J126" i="3"/>
  <c r="F126" i="3"/>
  <c r="E126" i="3"/>
  <c r="C126" i="3"/>
  <c r="AS125" i="3"/>
  <c r="J125" i="3"/>
  <c r="F125" i="3"/>
  <c r="E125" i="3"/>
  <c r="C125" i="3"/>
  <c r="AS124" i="3"/>
  <c r="J124" i="3"/>
  <c r="F124" i="3"/>
  <c r="E124" i="3"/>
  <c r="C124" i="3"/>
  <c r="AS123" i="3"/>
  <c r="J123" i="3"/>
  <c r="F123" i="3"/>
  <c r="E123" i="3"/>
  <c r="C123" i="3"/>
  <c r="AS122" i="3"/>
  <c r="J122" i="3"/>
  <c r="F122" i="3"/>
  <c r="E122" i="3"/>
  <c r="C122" i="3"/>
  <c r="AS121" i="3"/>
  <c r="J121" i="3"/>
  <c r="F121" i="3"/>
  <c r="E121" i="3"/>
  <c r="C121" i="3"/>
  <c r="AS120" i="3"/>
  <c r="J120" i="3"/>
  <c r="F120" i="3"/>
  <c r="E120" i="3"/>
  <c r="C120" i="3"/>
  <c r="AS119" i="3"/>
  <c r="J119" i="3"/>
  <c r="F119" i="3"/>
  <c r="E119" i="3"/>
  <c r="C119" i="3"/>
  <c r="AS118" i="3"/>
  <c r="J118" i="3"/>
  <c r="F118" i="3"/>
  <c r="E118" i="3"/>
  <c r="C118" i="3"/>
  <c r="AS117" i="3"/>
  <c r="J117" i="3"/>
  <c r="F117" i="3"/>
  <c r="E117" i="3"/>
  <c r="C117" i="3"/>
  <c r="AS116" i="3"/>
  <c r="J116" i="3"/>
  <c r="F116" i="3"/>
  <c r="E116" i="3"/>
  <c r="C116" i="3"/>
  <c r="AS115" i="3"/>
  <c r="J115" i="3"/>
  <c r="F115" i="3"/>
  <c r="E115" i="3"/>
  <c r="C115" i="3"/>
  <c r="AS114" i="3"/>
  <c r="J114" i="3"/>
  <c r="F114" i="3"/>
  <c r="E114" i="3"/>
  <c r="C114" i="3"/>
  <c r="AS113" i="3"/>
  <c r="J113" i="3"/>
  <c r="F113" i="3"/>
  <c r="E113" i="3"/>
  <c r="C113" i="3"/>
  <c r="AS112" i="3"/>
  <c r="J112" i="3"/>
  <c r="F112" i="3"/>
  <c r="E112" i="3"/>
  <c r="C112" i="3"/>
  <c r="AS111" i="3"/>
  <c r="J111" i="3"/>
  <c r="F111" i="3"/>
  <c r="E111" i="3"/>
  <c r="C111" i="3"/>
  <c r="AS110" i="3"/>
  <c r="J110" i="3"/>
  <c r="F110" i="3"/>
  <c r="E110" i="3"/>
  <c r="C110" i="3"/>
  <c r="AS109" i="3"/>
  <c r="J109" i="3"/>
  <c r="F109" i="3"/>
  <c r="E109" i="3"/>
  <c r="C109" i="3"/>
  <c r="AS108" i="3"/>
  <c r="J108" i="3"/>
  <c r="F108" i="3"/>
  <c r="E108" i="3"/>
  <c r="C108" i="3"/>
  <c r="AS107" i="3"/>
  <c r="J107" i="3"/>
  <c r="F107" i="3"/>
  <c r="E107" i="3"/>
  <c r="C107" i="3"/>
  <c r="AS106" i="3"/>
  <c r="J106" i="3"/>
  <c r="F106" i="3"/>
  <c r="E106" i="3"/>
  <c r="C106" i="3"/>
  <c r="AS105" i="3"/>
  <c r="J105" i="3"/>
  <c r="F105" i="3"/>
  <c r="E105" i="3"/>
  <c r="C105" i="3"/>
  <c r="AS104" i="3"/>
  <c r="J104" i="3"/>
  <c r="F104" i="3"/>
  <c r="E104" i="3"/>
  <c r="C104" i="3"/>
  <c r="AS103" i="3"/>
  <c r="J103" i="3"/>
  <c r="F103" i="3"/>
  <c r="E103" i="3"/>
  <c r="C103" i="3"/>
  <c r="AS102" i="3"/>
  <c r="J102" i="3"/>
  <c r="F102" i="3"/>
  <c r="E102" i="3"/>
  <c r="C102" i="3"/>
  <c r="AS101" i="3"/>
  <c r="AD101" i="3"/>
  <c r="J101" i="3"/>
  <c r="F101" i="3"/>
  <c r="E101" i="3"/>
  <c r="C101" i="3"/>
  <c r="AS100" i="3"/>
  <c r="AD100" i="3"/>
  <c r="J100" i="3"/>
  <c r="F100" i="3"/>
  <c r="E100" i="3"/>
  <c r="C100" i="3"/>
  <c r="AS99" i="3"/>
  <c r="AD99" i="3"/>
  <c r="J99" i="3"/>
  <c r="F99" i="3"/>
  <c r="E99" i="3"/>
  <c r="C99" i="3"/>
  <c r="AS98" i="3"/>
  <c r="AD98" i="3"/>
  <c r="J98" i="3"/>
  <c r="F98" i="3"/>
  <c r="E98" i="3"/>
  <c r="C98" i="3"/>
  <c r="AS97" i="3"/>
  <c r="AD97" i="3"/>
  <c r="J97" i="3"/>
  <c r="F97" i="3"/>
  <c r="E97" i="3"/>
  <c r="C97" i="3"/>
  <c r="AS96" i="3"/>
  <c r="AD96" i="3"/>
  <c r="J96" i="3"/>
  <c r="F96" i="3"/>
  <c r="E96" i="3"/>
  <c r="C96" i="3"/>
  <c r="AS95" i="3"/>
  <c r="AD95" i="3"/>
  <c r="J95" i="3"/>
  <c r="F95" i="3"/>
  <c r="E95" i="3"/>
  <c r="C95" i="3"/>
  <c r="AS94" i="3"/>
  <c r="AD94" i="3"/>
  <c r="J94" i="3"/>
  <c r="F94" i="3"/>
  <c r="E94" i="3"/>
  <c r="C94" i="3"/>
  <c r="AS93" i="3"/>
  <c r="J93" i="3"/>
  <c r="F93" i="3"/>
  <c r="E93" i="3"/>
  <c r="C93" i="3"/>
  <c r="AS92" i="3"/>
  <c r="J92" i="3"/>
  <c r="F92" i="3"/>
  <c r="E92" i="3"/>
  <c r="C92" i="3"/>
  <c r="AS91" i="3"/>
  <c r="F91" i="3"/>
  <c r="E91" i="3"/>
  <c r="C91" i="3"/>
  <c r="C3" i="4" a="1"/>
  <c r="E3" i="4" a="1"/>
  <c r="F3" i="4" a="1"/>
  <c r="G3" i="4" a="1"/>
  <c r="H3" i="4" a="1"/>
  <c r="I3" i="4" a="1"/>
  <c r="J3" i="4" a="1"/>
  <c r="K3" i="4" a="1"/>
  <c r="L3" i="4" a="1"/>
  <c r="M3" i="4" a="1"/>
  <c r="N3" i="4" a="1"/>
  <c r="Q3" i="4" a="1"/>
  <c r="R3" i="4" a="1"/>
  <c r="S3" i="4" a="1"/>
  <c r="T3" i="4" a="1"/>
  <c r="U3" i="4" a="1"/>
  <c r="V3" i="4" a="1"/>
  <c r="W3" i="4" a="1"/>
  <c r="X3" i="4" a="1"/>
  <c r="Y3" i="4" a="1"/>
  <c r="P3" i="4" a="1"/>
  <c r="O3" i="4" a="1"/>
  <c r="AK12" i="3"/>
  <c r="AK15" i="3"/>
  <c r="F53" i="3"/>
  <c r="E53" i="3"/>
  <c r="F52" i="3"/>
  <c r="E52" i="3"/>
  <c r="F17" i="3"/>
  <c r="E17" i="3"/>
  <c r="AN3" i="2"/>
  <c r="AM3" i="2"/>
  <c r="AN3" i="1"/>
  <c r="AM3" i="1"/>
  <c r="AM1" i="2"/>
  <c r="AN1" i="2"/>
  <c r="AO53" i="3"/>
  <c r="AM53" i="3"/>
  <c r="AL53" i="3"/>
  <c r="AO52" i="3"/>
  <c r="AM52" i="3"/>
  <c r="AL52" i="3"/>
  <c r="AK89" i="3"/>
  <c r="AO17" i="3"/>
  <c r="AM17" i="3"/>
  <c r="AL17" i="3"/>
  <c r="AN53" i="3"/>
  <c r="AN17" i="3"/>
  <c r="AN52" i="3"/>
  <c r="AO79" i="3"/>
  <c r="AM79" i="3"/>
  <c r="AL79" i="3"/>
  <c r="J79" i="3"/>
  <c r="F79" i="3"/>
  <c r="E79" i="3"/>
  <c r="C79" i="3"/>
  <c r="A79" i="3"/>
  <c r="AN79" i="3"/>
  <c r="J9" i="3"/>
  <c r="AD251" i="1"/>
  <c r="AD250" i="1"/>
  <c r="AD249" i="1"/>
  <c r="AD248" i="1"/>
  <c r="AD247" i="1"/>
  <c r="AD246" i="1"/>
  <c r="AD245" i="1"/>
  <c r="AD244" i="1"/>
  <c r="AD243" i="1"/>
  <c r="AD242" i="1"/>
  <c r="AD165" i="1"/>
  <c r="AD164" i="1"/>
  <c r="AD163" i="1"/>
  <c r="AD162" i="1"/>
  <c r="AD161" i="1"/>
  <c r="AD160" i="1"/>
  <c r="AD159" i="1"/>
  <c r="AD158" i="1"/>
  <c r="AD157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5" i="1"/>
  <c r="AD14" i="1"/>
  <c r="AD13" i="1"/>
  <c r="AD12" i="1"/>
  <c r="AD11" i="1"/>
  <c r="AD10" i="1"/>
  <c r="AD9" i="1"/>
  <c r="AD8" i="1"/>
  <c r="C17" i="3"/>
  <c r="A17" i="3"/>
  <c r="AO90" i="3"/>
  <c r="AO89" i="3"/>
  <c r="AO88" i="3"/>
  <c r="AO87" i="3"/>
  <c r="AO86" i="3"/>
  <c r="AO85" i="3"/>
  <c r="AO84" i="3"/>
  <c r="AO83" i="3"/>
  <c r="AO82" i="3"/>
  <c r="AO81" i="3"/>
  <c r="AO80" i="3"/>
  <c r="AO78" i="3"/>
  <c r="AO77" i="3"/>
  <c r="AO76" i="3"/>
  <c r="AO75" i="3"/>
  <c r="AO74" i="3"/>
  <c r="AO73" i="3"/>
  <c r="AO72" i="3"/>
  <c r="AO71" i="3"/>
  <c r="AO70" i="3"/>
  <c r="AO69" i="3"/>
  <c r="AO68" i="3"/>
  <c r="AO67" i="3"/>
  <c r="AO66" i="3"/>
  <c r="AO65" i="3"/>
  <c r="AO64" i="3"/>
  <c r="AO63" i="3"/>
  <c r="AO62" i="3"/>
  <c r="AO61" i="3"/>
  <c r="AO60" i="3"/>
  <c r="AO59" i="3"/>
  <c r="AO58" i="3"/>
  <c r="AO57" i="3"/>
  <c r="AO56" i="3"/>
  <c r="AO55" i="3"/>
  <c r="AO54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6" i="3"/>
  <c r="AO15" i="3"/>
  <c r="AO14" i="3"/>
  <c r="AO13" i="3"/>
  <c r="AO12" i="3"/>
  <c r="AO11" i="3"/>
  <c r="AO10" i="3"/>
  <c r="AO9" i="3"/>
  <c r="AO8" i="3"/>
  <c r="AO7" i="3"/>
  <c r="AO6" i="3"/>
  <c r="AK45" i="2"/>
  <c r="AK5" i="2"/>
  <c r="AK164" i="2"/>
  <c r="AK159" i="2"/>
  <c r="AK162" i="2"/>
  <c r="AK47" i="2"/>
  <c r="AK48" i="2"/>
  <c r="AL48" i="2"/>
  <c r="AL43" i="2"/>
  <c r="AK37" i="2"/>
  <c r="AK28" i="2"/>
  <c r="AK30" i="2"/>
  <c r="AK21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2" i="2"/>
  <c r="AL23" i="2"/>
  <c r="AL24" i="2"/>
  <c r="AL25" i="2"/>
  <c r="AL26" i="2"/>
  <c r="AL27" i="2"/>
  <c r="AL28" i="2"/>
  <c r="AL29" i="2"/>
  <c r="AL31" i="2"/>
  <c r="AL32" i="2"/>
  <c r="AL33" i="2"/>
  <c r="AL34" i="2"/>
  <c r="AL35" i="2"/>
  <c r="AL36" i="2"/>
  <c r="AL38" i="2"/>
  <c r="AL39" i="2"/>
  <c r="AL40" i="2"/>
  <c r="AL41" i="2"/>
  <c r="AL42" i="2"/>
  <c r="AL44" i="2"/>
  <c r="AL46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60" i="2"/>
  <c r="AL161" i="2"/>
  <c r="AL163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45" i="2"/>
  <c r="AL162" i="2"/>
  <c r="AL37" i="2"/>
  <c r="AL159" i="2"/>
  <c r="AL30" i="2"/>
  <c r="AL5" i="2"/>
  <c r="AQ45" i="2"/>
  <c r="AL21" i="2"/>
  <c r="AL164" i="2"/>
  <c r="AL47" i="2"/>
  <c r="AQ5" i="2"/>
  <c r="T88" i="3"/>
  <c r="AR5" i="2"/>
  <c r="AR45" i="2"/>
  <c r="J6" i="3"/>
  <c r="J90" i="3"/>
  <c r="J89" i="3"/>
  <c r="J88" i="3"/>
  <c r="J87" i="3"/>
  <c r="J86" i="3"/>
  <c r="J85" i="3"/>
  <c r="J84" i="3"/>
  <c r="J83" i="3"/>
  <c r="J82" i="3"/>
  <c r="J81" i="3"/>
  <c r="J80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6" i="3"/>
  <c r="J15" i="3"/>
  <c r="J7" i="3"/>
  <c r="J8" i="3"/>
  <c r="J10" i="3"/>
  <c r="J11" i="3"/>
  <c r="J12" i="3"/>
  <c r="J13" i="3"/>
  <c r="J14" i="3"/>
  <c r="M139" i="1"/>
  <c r="O139" i="1"/>
  <c r="Q139" i="1"/>
  <c r="T139" i="1"/>
  <c r="V139" i="1"/>
  <c r="AA139" i="1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5" i="1"/>
  <c r="AK90" i="3"/>
  <c r="AL89" i="3"/>
  <c r="I3" i="3"/>
  <c r="AL6" i="3"/>
  <c r="AL7" i="3"/>
  <c r="AL8" i="3"/>
  <c r="AL9" i="3"/>
  <c r="AL10" i="3"/>
  <c r="AL11" i="3"/>
  <c r="AL12" i="3"/>
  <c r="AL13" i="3"/>
  <c r="AL14" i="3"/>
  <c r="AL15" i="3"/>
  <c r="AL16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80" i="3"/>
  <c r="AL81" i="3"/>
  <c r="AL82" i="3"/>
  <c r="AL83" i="3"/>
  <c r="AL84" i="3"/>
  <c r="AL85" i="3"/>
  <c r="AL86" i="3"/>
  <c r="AL87" i="3"/>
  <c r="AL88" i="3"/>
  <c r="AL5" i="3"/>
  <c r="AL90" i="3"/>
  <c r="C5" i="3"/>
  <c r="C6" i="3"/>
  <c r="C7" i="3"/>
  <c r="C8" i="3"/>
  <c r="C9" i="3"/>
  <c r="C10" i="3"/>
  <c r="C11" i="3"/>
  <c r="C12" i="3"/>
  <c r="C13" i="3"/>
  <c r="C14" i="3"/>
  <c r="C15" i="3"/>
  <c r="C16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80" i="3"/>
  <c r="C81" i="3"/>
  <c r="C82" i="3"/>
  <c r="C83" i="3"/>
  <c r="C84" i="3"/>
  <c r="C85" i="3"/>
  <c r="C86" i="3"/>
  <c r="C87" i="3"/>
  <c r="C88" i="3"/>
  <c r="C89" i="3"/>
  <c r="C90" i="3"/>
  <c r="J168" i="2"/>
  <c r="AQ6" i="2"/>
  <c r="AP3" i="1"/>
  <c r="AO3" i="1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F263" i="2"/>
  <c r="E263" i="2"/>
  <c r="C263" i="2"/>
  <c r="F262" i="2"/>
  <c r="E262" i="2"/>
  <c r="C262" i="2"/>
  <c r="F261" i="2"/>
  <c r="E261" i="2"/>
  <c r="C261" i="2"/>
  <c r="F260" i="2"/>
  <c r="E260" i="2"/>
  <c r="C260" i="2"/>
  <c r="F259" i="2"/>
  <c r="E259" i="2"/>
  <c r="C259" i="2"/>
  <c r="F258" i="2"/>
  <c r="E258" i="2"/>
  <c r="C258" i="2"/>
  <c r="F257" i="2"/>
  <c r="E257" i="2"/>
  <c r="C257" i="2"/>
  <c r="F256" i="2"/>
  <c r="E256" i="2"/>
  <c r="C256" i="2"/>
  <c r="F255" i="2"/>
  <c r="E255" i="2"/>
  <c r="C255" i="2"/>
  <c r="F254" i="2"/>
  <c r="E254" i="2"/>
  <c r="C254" i="2"/>
  <c r="F253" i="2"/>
  <c r="E253" i="2"/>
  <c r="C253" i="2"/>
  <c r="F252" i="2"/>
  <c r="E252" i="2"/>
  <c r="C252" i="2"/>
  <c r="F251" i="2"/>
  <c r="E251" i="2"/>
  <c r="C251" i="2"/>
  <c r="F250" i="2"/>
  <c r="E250" i="2"/>
  <c r="C250" i="2"/>
  <c r="F249" i="2"/>
  <c r="E249" i="2"/>
  <c r="C249" i="2"/>
  <c r="F248" i="2"/>
  <c r="E248" i="2"/>
  <c r="C248" i="2"/>
  <c r="F247" i="2"/>
  <c r="E247" i="2"/>
  <c r="C247" i="2"/>
  <c r="F246" i="2"/>
  <c r="E246" i="2"/>
  <c r="C246" i="2"/>
  <c r="F245" i="2"/>
  <c r="E245" i="2"/>
  <c r="C245" i="2"/>
  <c r="F244" i="2"/>
  <c r="E244" i="2"/>
  <c r="C244" i="2"/>
  <c r="F243" i="2"/>
  <c r="E243" i="2"/>
  <c r="C243" i="2"/>
  <c r="F242" i="2"/>
  <c r="E242" i="2"/>
  <c r="C242" i="2"/>
  <c r="F241" i="2"/>
  <c r="E241" i="2"/>
  <c r="C241" i="2"/>
  <c r="F240" i="2"/>
  <c r="E240" i="2"/>
  <c r="C240" i="2"/>
  <c r="F239" i="2"/>
  <c r="E239" i="2"/>
  <c r="C239" i="2"/>
  <c r="F238" i="2"/>
  <c r="E238" i="2"/>
  <c r="C238" i="2"/>
  <c r="F237" i="2"/>
  <c r="E237" i="2"/>
  <c r="C237" i="2"/>
  <c r="F236" i="2"/>
  <c r="E236" i="2"/>
  <c r="C236" i="2"/>
  <c r="F235" i="2"/>
  <c r="E235" i="2"/>
  <c r="C235" i="2"/>
  <c r="F234" i="2"/>
  <c r="E234" i="2"/>
  <c r="C234" i="2"/>
  <c r="F233" i="2"/>
  <c r="E233" i="2"/>
  <c r="C233" i="2"/>
  <c r="F232" i="2"/>
  <c r="E232" i="2"/>
  <c r="C232" i="2"/>
  <c r="F231" i="2"/>
  <c r="E231" i="2"/>
  <c r="C231" i="2"/>
  <c r="F230" i="2"/>
  <c r="E230" i="2"/>
  <c r="C230" i="2"/>
  <c r="F229" i="2"/>
  <c r="E229" i="2"/>
  <c r="C229" i="2"/>
  <c r="F228" i="2"/>
  <c r="E228" i="2"/>
  <c r="C228" i="2"/>
  <c r="F227" i="2"/>
  <c r="E227" i="2"/>
  <c r="C227" i="2"/>
  <c r="F226" i="2"/>
  <c r="E226" i="2"/>
  <c r="C226" i="2"/>
  <c r="F225" i="2"/>
  <c r="E225" i="2"/>
  <c r="C225" i="2"/>
  <c r="F224" i="2"/>
  <c r="E224" i="2"/>
  <c r="C224" i="2"/>
  <c r="F223" i="2"/>
  <c r="E223" i="2"/>
  <c r="C223" i="2"/>
  <c r="F222" i="2"/>
  <c r="E222" i="2"/>
  <c r="C222" i="2"/>
  <c r="F221" i="2"/>
  <c r="E221" i="2"/>
  <c r="C221" i="2"/>
  <c r="F220" i="2"/>
  <c r="E220" i="2"/>
  <c r="C220" i="2"/>
  <c r="F219" i="2"/>
  <c r="E219" i="2"/>
  <c r="C219" i="2"/>
  <c r="F218" i="2"/>
  <c r="E218" i="2"/>
  <c r="C218" i="2"/>
  <c r="F217" i="2"/>
  <c r="E217" i="2"/>
  <c r="C217" i="2"/>
  <c r="F216" i="2"/>
  <c r="E216" i="2"/>
  <c r="C216" i="2"/>
  <c r="F215" i="2"/>
  <c r="E215" i="2"/>
  <c r="C215" i="2"/>
  <c r="F214" i="2"/>
  <c r="E214" i="2"/>
  <c r="C214" i="2"/>
  <c r="F213" i="2"/>
  <c r="E213" i="2"/>
  <c r="C213" i="2"/>
  <c r="F212" i="2"/>
  <c r="E212" i="2"/>
  <c r="C212" i="2"/>
  <c r="F211" i="2"/>
  <c r="E211" i="2"/>
  <c r="C211" i="2"/>
  <c r="F210" i="2"/>
  <c r="E210" i="2"/>
  <c r="C210" i="2"/>
  <c r="F209" i="2"/>
  <c r="E209" i="2"/>
  <c r="C209" i="2"/>
  <c r="F208" i="2"/>
  <c r="E208" i="2"/>
  <c r="C208" i="2"/>
  <c r="F207" i="2"/>
  <c r="E207" i="2"/>
  <c r="C207" i="2"/>
  <c r="F206" i="2"/>
  <c r="E206" i="2"/>
  <c r="C206" i="2"/>
  <c r="F205" i="2"/>
  <c r="E205" i="2"/>
  <c r="C205" i="2"/>
  <c r="F204" i="2"/>
  <c r="E204" i="2"/>
  <c r="C204" i="2"/>
  <c r="F203" i="2"/>
  <c r="E203" i="2"/>
  <c r="C203" i="2"/>
  <c r="F202" i="2"/>
  <c r="E202" i="2"/>
  <c r="C202" i="2"/>
  <c r="F201" i="2"/>
  <c r="E201" i="2"/>
  <c r="C201" i="2"/>
  <c r="F200" i="2"/>
  <c r="E200" i="2"/>
  <c r="C200" i="2"/>
  <c r="F199" i="2"/>
  <c r="E199" i="2"/>
  <c r="C199" i="2"/>
  <c r="F198" i="2"/>
  <c r="E198" i="2"/>
  <c r="C198" i="2"/>
  <c r="F197" i="2"/>
  <c r="E197" i="2"/>
  <c r="C197" i="2"/>
  <c r="F196" i="2"/>
  <c r="E196" i="2"/>
  <c r="C196" i="2"/>
  <c r="F195" i="2"/>
  <c r="E195" i="2"/>
  <c r="C195" i="2"/>
  <c r="F194" i="2"/>
  <c r="E194" i="2"/>
  <c r="C194" i="2"/>
  <c r="F193" i="2"/>
  <c r="E193" i="2"/>
  <c r="C193" i="2"/>
  <c r="F192" i="2"/>
  <c r="E192" i="2"/>
  <c r="C192" i="2"/>
  <c r="F191" i="2"/>
  <c r="E191" i="2"/>
  <c r="C191" i="2"/>
  <c r="F190" i="2"/>
  <c r="E190" i="2"/>
  <c r="C190" i="2"/>
  <c r="F189" i="2"/>
  <c r="E189" i="2"/>
  <c r="C189" i="2"/>
  <c r="F188" i="2"/>
  <c r="E188" i="2"/>
  <c r="C188" i="2"/>
  <c r="F187" i="2"/>
  <c r="E187" i="2"/>
  <c r="C187" i="2"/>
  <c r="F186" i="2"/>
  <c r="E186" i="2"/>
  <c r="C186" i="2"/>
  <c r="F185" i="2"/>
  <c r="E185" i="2"/>
  <c r="C185" i="2"/>
  <c r="F184" i="2"/>
  <c r="E184" i="2"/>
  <c r="C184" i="2"/>
  <c r="F183" i="2"/>
  <c r="E183" i="2"/>
  <c r="C183" i="2"/>
  <c r="F182" i="2"/>
  <c r="E182" i="2"/>
  <c r="C182" i="2"/>
  <c r="F181" i="2"/>
  <c r="E181" i="2"/>
  <c r="C181" i="2"/>
  <c r="F180" i="2"/>
  <c r="E180" i="2"/>
  <c r="C180" i="2"/>
  <c r="F179" i="2"/>
  <c r="E179" i="2"/>
  <c r="C179" i="2"/>
  <c r="F178" i="2"/>
  <c r="E178" i="2"/>
  <c r="C178" i="2"/>
  <c r="F177" i="2"/>
  <c r="E177" i="2"/>
  <c r="C177" i="2"/>
  <c r="F176" i="2"/>
  <c r="E176" i="2"/>
  <c r="C176" i="2"/>
  <c r="F175" i="2"/>
  <c r="E175" i="2"/>
  <c r="C175" i="2"/>
  <c r="F174" i="2"/>
  <c r="E174" i="2"/>
  <c r="C174" i="2"/>
  <c r="F173" i="2"/>
  <c r="E173" i="2"/>
  <c r="C173" i="2"/>
  <c r="F172" i="2"/>
  <c r="E172" i="2"/>
  <c r="C172" i="2"/>
  <c r="F171" i="2"/>
  <c r="E171" i="2"/>
  <c r="C171" i="2"/>
  <c r="F170" i="2"/>
  <c r="E170" i="2"/>
  <c r="C170" i="2"/>
  <c r="F169" i="2"/>
  <c r="E169" i="2"/>
  <c r="C169" i="2"/>
  <c r="F168" i="2"/>
  <c r="E168" i="2"/>
  <c r="C168" i="2"/>
  <c r="F167" i="2"/>
  <c r="E167" i="2"/>
  <c r="C167" i="2"/>
  <c r="F166" i="2"/>
  <c r="E166" i="2"/>
  <c r="C166" i="2"/>
  <c r="F165" i="2"/>
  <c r="E165" i="2"/>
  <c r="C165" i="2"/>
  <c r="F164" i="2"/>
  <c r="E164" i="2"/>
  <c r="C164" i="2"/>
  <c r="F163" i="2"/>
  <c r="E163" i="2"/>
  <c r="C163" i="2"/>
  <c r="F162" i="2"/>
  <c r="E162" i="2"/>
  <c r="C162" i="2"/>
  <c r="F161" i="2"/>
  <c r="E161" i="2"/>
  <c r="C161" i="2"/>
  <c r="F160" i="2"/>
  <c r="E160" i="2"/>
  <c r="C160" i="2"/>
  <c r="F159" i="2"/>
  <c r="E159" i="2"/>
  <c r="C159" i="2"/>
  <c r="F158" i="2"/>
  <c r="E158" i="2"/>
  <c r="C158" i="2"/>
  <c r="F157" i="2"/>
  <c r="E157" i="2"/>
  <c r="C157" i="2"/>
  <c r="F156" i="2"/>
  <c r="E156" i="2"/>
  <c r="C156" i="2"/>
  <c r="F155" i="2"/>
  <c r="E155" i="2"/>
  <c r="C155" i="2"/>
  <c r="AR6" i="2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AS258" i="1"/>
  <c r="AS257" i="1"/>
  <c r="AS256" i="1"/>
  <c r="AS255" i="1"/>
  <c r="AS254" i="1"/>
  <c r="AS253" i="1"/>
  <c r="AS252" i="1"/>
  <c r="AS251" i="1"/>
  <c r="AS250" i="1"/>
  <c r="AS249" i="1"/>
  <c r="AS248" i="1"/>
  <c r="AS247" i="1"/>
  <c r="AS246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229" i="1"/>
  <c r="AS228" i="1"/>
  <c r="AS227" i="1"/>
  <c r="AS226" i="1"/>
  <c r="AS225" i="1"/>
  <c r="AS224" i="1"/>
  <c r="AS223" i="1"/>
  <c r="AS222" i="1"/>
  <c r="AS221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AQ7" i="2"/>
  <c r="AR7" i="2"/>
  <c r="AR8" i="2"/>
  <c r="AQ8" i="2"/>
  <c r="AQ9" i="2"/>
  <c r="AR9" i="2"/>
  <c r="AM6" i="3"/>
  <c r="AM7" i="3"/>
  <c r="AM8" i="3"/>
  <c r="AM9" i="3"/>
  <c r="AM10" i="3"/>
  <c r="AM11" i="3"/>
  <c r="AM12" i="3"/>
  <c r="AM13" i="3"/>
  <c r="AM14" i="3"/>
  <c r="AM15" i="3"/>
  <c r="AM16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80" i="3"/>
  <c r="AM81" i="3"/>
  <c r="AM82" i="3"/>
  <c r="AM83" i="3"/>
  <c r="AM84" i="3"/>
  <c r="AM85" i="3"/>
  <c r="AM86" i="3"/>
  <c r="AM87" i="3"/>
  <c r="AM88" i="3"/>
  <c r="AM89" i="3"/>
  <c r="AM90" i="3"/>
  <c r="AM5" i="3"/>
  <c r="AN40" i="3"/>
  <c r="AN24" i="3"/>
  <c r="AN15" i="3"/>
  <c r="AN7" i="3"/>
  <c r="AN47" i="3"/>
  <c r="AN6" i="3"/>
  <c r="AN74" i="3"/>
  <c r="AN90" i="3"/>
  <c r="AN39" i="3"/>
  <c r="AN38" i="3"/>
  <c r="AN22" i="3"/>
  <c r="AN13" i="3"/>
  <c r="AN48" i="3"/>
  <c r="AN14" i="3"/>
  <c r="AN72" i="3"/>
  <c r="AN71" i="3"/>
  <c r="AN29" i="3"/>
  <c r="AN12" i="3"/>
  <c r="AN83" i="3"/>
  <c r="AN73" i="3"/>
  <c r="AN31" i="3"/>
  <c r="AN64" i="3"/>
  <c r="AN80" i="3"/>
  <c r="AN37" i="3"/>
  <c r="AN70" i="3"/>
  <c r="AN44" i="3"/>
  <c r="AN36" i="3"/>
  <c r="AN28" i="3"/>
  <c r="AN20" i="3"/>
  <c r="AN11" i="3"/>
  <c r="AN66" i="3"/>
  <c r="AN23" i="3"/>
  <c r="AN56" i="3"/>
  <c r="AN63" i="3"/>
  <c r="AN21" i="3"/>
  <c r="AN69" i="3"/>
  <c r="AN10" i="3"/>
  <c r="AN5" i="3"/>
  <c r="AN32" i="3"/>
  <c r="AN65" i="3"/>
  <c r="AN81" i="3"/>
  <c r="AN30" i="3"/>
  <c r="AN55" i="3"/>
  <c r="AN78" i="3"/>
  <c r="AN54" i="3"/>
  <c r="AN77" i="3"/>
  <c r="AN51" i="3"/>
  <c r="AN43" i="3"/>
  <c r="AN27" i="3"/>
  <c r="AN68" i="3"/>
  <c r="AN42" i="3"/>
  <c r="AN34" i="3"/>
  <c r="AN26" i="3"/>
  <c r="AN18" i="3"/>
  <c r="AN9" i="3"/>
  <c r="AN58" i="3"/>
  <c r="AN82" i="3"/>
  <c r="AN57" i="3"/>
  <c r="AN89" i="3"/>
  <c r="AN46" i="3"/>
  <c r="AN88" i="3"/>
  <c r="AN45" i="3"/>
  <c r="AN87" i="3"/>
  <c r="AN62" i="3"/>
  <c r="AN86" i="3"/>
  <c r="AN61" i="3"/>
  <c r="AN35" i="3"/>
  <c r="AN19" i="3"/>
  <c r="AN85" i="3"/>
  <c r="AN76" i="3"/>
  <c r="AN60" i="3"/>
  <c r="AN50" i="3"/>
  <c r="AN84" i="3"/>
  <c r="AN75" i="3"/>
  <c r="AN67" i="3"/>
  <c r="AN59" i="3"/>
  <c r="AN49" i="3"/>
  <c r="AN41" i="3"/>
  <c r="AN33" i="3"/>
  <c r="AN25" i="3"/>
  <c r="AN16" i="3"/>
  <c r="AN8" i="3"/>
  <c r="AQ10" i="2"/>
  <c r="AR10" i="2"/>
  <c r="AQ11" i="2"/>
  <c r="AR11" i="2"/>
  <c r="F90" i="3"/>
  <c r="E90" i="3"/>
  <c r="A90" i="3"/>
  <c r="F89" i="3"/>
  <c r="E89" i="3"/>
  <c r="A89" i="3"/>
  <c r="F88" i="3"/>
  <c r="E88" i="3"/>
  <c r="A88" i="3"/>
  <c r="F87" i="3"/>
  <c r="E87" i="3"/>
  <c r="A87" i="3"/>
  <c r="F86" i="3"/>
  <c r="E86" i="3"/>
  <c r="A86" i="3"/>
  <c r="F85" i="3"/>
  <c r="E85" i="3"/>
  <c r="A85" i="3"/>
  <c r="F84" i="3"/>
  <c r="E84" i="3"/>
  <c r="A84" i="3"/>
  <c r="F83" i="3"/>
  <c r="E83" i="3"/>
  <c r="A83" i="3"/>
  <c r="F82" i="3"/>
  <c r="E82" i="3"/>
  <c r="A82" i="3"/>
  <c r="F81" i="3"/>
  <c r="E81" i="3"/>
  <c r="A81" i="3"/>
  <c r="F80" i="3"/>
  <c r="E80" i="3"/>
  <c r="A80" i="3"/>
  <c r="F78" i="3"/>
  <c r="E78" i="3"/>
  <c r="A78" i="3"/>
  <c r="F77" i="3"/>
  <c r="E77" i="3"/>
  <c r="A77" i="3"/>
  <c r="F76" i="3"/>
  <c r="E76" i="3"/>
  <c r="A76" i="3"/>
  <c r="F75" i="3"/>
  <c r="E75" i="3"/>
  <c r="A75" i="3"/>
  <c r="F74" i="3"/>
  <c r="E74" i="3"/>
  <c r="A74" i="3"/>
  <c r="F73" i="3"/>
  <c r="E73" i="3"/>
  <c r="A73" i="3"/>
  <c r="F72" i="3"/>
  <c r="E72" i="3"/>
  <c r="A72" i="3"/>
  <c r="F71" i="3"/>
  <c r="E71" i="3"/>
  <c r="A71" i="3"/>
  <c r="F70" i="3"/>
  <c r="E70" i="3"/>
  <c r="A70" i="3"/>
  <c r="F69" i="3"/>
  <c r="E69" i="3"/>
  <c r="A69" i="3"/>
  <c r="F68" i="3"/>
  <c r="E68" i="3"/>
  <c r="A68" i="3"/>
  <c r="F67" i="3"/>
  <c r="E67" i="3"/>
  <c r="A67" i="3"/>
  <c r="F66" i="3"/>
  <c r="E66" i="3"/>
  <c r="A66" i="3"/>
  <c r="F65" i="3"/>
  <c r="E65" i="3"/>
  <c r="A65" i="3"/>
  <c r="F64" i="3"/>
  <c r="E64" i="3"/>
  <c r="A64" i="3"/>
  <c r="F63" i="3"/>
  <c r="E63" i="3"/>
  <c r="A63" i="3"/>
  <c r="F62" i="3"/>
  <c r="E62" i="3"/>
  <c r="A62" i="3"/>
  <c r="F61" i="3"/>
  <c r="E61" i="3"/>
  <c r="A61" i="3"/>
  <c r="F60" i="3"/>
  <c r="E60" i="3"/>
  <c r="A60" i="3"/>
  <c r="F59" i="3"/>
  <c r="E59" i="3"/>
  <c r="A59" i="3"/>
  <c r="F58" i="3"/>
  <c r="E58" i="3"/>
  <c r="A58" i="3"/>
  <c r="F57" i="3"/>
  <c r="E57" i="3"/>
  <c r="A57" i="3"/>
  <c r="F56" i="3"/>
  <c r="E56" i="3"/>
  <c r="A56" i="3"/>
  <c r="F55" i="3"/>
  <c r="E55" i="3"/>
  <c r="A55" i="3"/>
  <c r="F54" i="3"/>
  <c r="E54" i="3"/>
  <c r="A54" i="3"/>
  <c r="F51" i="3"/>
  <c r="E51" i="3"/>
  <c r="A51" i="3"/>
  <c r="F50" i="3"/>
  <c r="E50" i="3"/>
  <c r="A50" i="3"/>
  <c r="F49" i="3"/>
  <c r="E49" i="3"/>
  <c r="A49" i="3"/>
  <c r="F48" i="3"/>
  <c r="E48" i="3"/>
  <c r="A48" i="3"/>
  <c r="F47" i="3"/>
  <c r="E47" i="3"/>
  <c r="A47" i="3"/>
  <c r="F46" i="3"/>
  <c r="E46" i="3"/>
  <c r="A46" i="3"/>
  <c r="F45" i="3"/>
  <c r="E45" i="3"/>
  <c r="A45" i="3"/>
  <c r="F44" i="3"/>
  <c r="E44" i="3"/>
  <c r="A44" i="3"/>
  <c r="F43" i="3"/>
  <c r="E43" i="3"/>
  <c r="A43" i="3"/>
  <c r="F42" i="3"/>
  <c r="E42" i="3"/>
  <c r="A42" i="3"/>
  <c r="F41" i="3"/>
  <c r="E41" i="3"/>
  <c r="A41" i="3"/>
  <c r="F40" i="3"/>
  <c r="E40" i="3"/>
  <c r="A40" i="3"/>
  <c r="F39" i="3"/>
  <c r="E39" i="3"/>
  <c r="A39" i="3"/>
  <c r="F38" i="3"/>
  <c r="E38" i="3"/>
  <c r="A38" i="3"/>
  <c r="F37" i="3"/>
  <c r="E37" i="3"/>
  <c r="A37" i="3"/>
  <c r="F36" i="3"/>
  <c r="E36" i="3"/>
  <c r="A36" i="3"/>
  <c r="F35" i="3"/>
  <c r="E35" i="3"/>
  <c r="A35" i="3"/>
  <c r="F34" i="3"/>
  <c r="E34" i="3"/>
  <c r="A34" i="3"/>
  <c r="F33" i="3"/>
  <c r="E33" i="3"/>
  <c r="A33" i="3"/>
  <c r="F32" i="3"/>
  <c r="E32" i="3"/>
  <c r="A32" i="3"/>
  <c r="F31" i="3"/>
  <c r="E31" i="3"/>
  <c r="A31" i="3"/>
  <c r="F30" i="3"/>
  <c r="E30" i="3"/>
  <c r="A30" i="3"/>
  <c r="F29" i="3"/>
  <c r="E29" i="3"/>
  <c r="A29" i="3"/>
  <c r="F28" i="3"/>
  <c r="E28" i="3"/>
  <c r="A28" i="3"/>
  <c r="F27" i="3"/>
  <c r="E27" i="3"/>
  <c r="A27" i="3"/>
  <c r="F26" i="3"/>
  <c r="E26" i="3"/>
  <c r="A26" i="3"/>
  <c r="F25" i="3"/>
  <c r="E25" i="3"/>
  <c r="A25" i="3"/>
  <c r="F24" i="3"/>
  <c r="E24" i="3"/>
  <c r="A24" i="3"/>
  <c r="F23" i="3"/>
  <c r="E23" i="3"/>
  <c r="A23" i="3"/>
  <c r="F22" i="3"/>
  <c r="E22" i="3"/>
  <c r="A22" i="3"/>
  <c r="F21" i="3"/>
  <c r="E21" i="3"/>
  <c r="A21" i="3"/>
  <c r="F20" i="3"/>
  <c r="E20" i="3"/>
  <c r="A20" i="3"/>
  <c r="F19" i="3"/>
  <c r="E19" i="3"/>
  <c r="A19" i="3"/>
  <c r="F18" i="3"/>
  <c r="E18" i="3"/>
  <c r="A18" i="3"/>
  <c r="F16" i="3"/>
  <c r="E16" i="3"/>
  <c r="A16" i="3"/>
  <c r="F15" i="3"/>
  <c r="E15" i="3"/>
  <c r="A15" i="3"/>
  <c r="F14" i="3"/>
  <c r="E14" i="3"/>
  <c r="A14" i="3"/>
  <c r="F13" i="3"/>
  <c r="E13" i="3"/>
  <c r="A13" i="3"/>
  <c r="F12" i="3"/>
  <c r="E12" i="3"/>
  <c r="A12" i="3"/>
  <c r="F11" i="3"/>
  <c r="E11" i="3"/>
  <c r="A11" i="3"/>
  <c r="F10" i="3"/>
  <c r="E10" i="3"/>
  <c r="A10" i="3"/>
  <c r="F9" i="3"/>
  <c r="E9" i="3"/>
  <c r="A9" i="3"/>
  <c r="F8" i="3"/>
  <c r="E8" i="3"/>
  <c r="A8" i="3"/>
  <c r="F7" i="3"/>
  <c r="E7" i="3"/>
  <c r="A7" i="3"/>
  <c r="F6" i="3"/>
  <c r="E6" i="3"/>
  <c r="A6" i="3"/>
  <c r="F5" i="3"/>
  <c r="E5" i="3"/>
  <c r="A5" i="3"/>
  <c r="AN3" i="3"/>
  <c r="AN1" i="3" s="1"/>
  <c r="AM3" i="3"/>
  <c r="K3" i="3"/>
  <c r="AQ12" i="2"/>
  <c r="AR12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K3" i="2"/>
  <c r="AR13" i="2"/>
  <c r="AQ13" i="2"/>
  <c r="F117" i="2"/>
  <c r="E117" i="2"/>
  <c r="C117" i="2"/>
  <c r="A117" i="2"/>
  <c r="J116" i="2"/>
  <c r="F116" i="2"/>
  <c r="E116" i="2"/>
  <c r="C116" i="2"/>
  <c r="A116" i="2"/>
  <c r="J115" i="2"/>
  <c r="F115" i="2"/>
  <c r="E115" i="2"/>
  <c r="C115" i="2"/>
  <c r="A115" i="2"/>
  <c r="J114" i="2"/>
  <c r="F114" i="2"/>
  <c r="E114" i="2"/>
  <c r="C114" i="2"/>
  <c r="A114" i="2"/>
  <c r="J113" i="2"/>
  <c r="F113" i="2"/>
  <c r="E113" i="2"/>
  <c r="C113" i="2"/>
  <c r="A113" i="2"/>
  <c r="J112" i="2"/>
  <c r="F112" i="2"/>
  <c r="E112" i="2"/>
  <c r="C112" i="2"/>
  <c r="A112" i="2"/>
  <c r="J111" i="2"/>
  <c r="F111" i="2"/>
  <c r="E111" i="2"/>
  <c r="C111" i="2"/>
  <c r="A111" i="2"/>
  <c r="J110" i="2"/>
  <c r="F110" i="2"/>
  <c r="E110" i="2"/>
  <c r="C110" i="2"/>
  <c r="A110" i="2"/>
  <c r="J109" i="2"/>
  <c r="F109" i="2"/>
  <c r="E109" i="2"/>
  <c r="C109" i="2"/>
  <c r="A109" i="2"/>
  <c r="J108" i="2"/>
  <c r="F108" i="2"/>
  <c r="E108" i="2"/>
  <c r="C108" i="2"/>
  <c r="A108" i="2"/>
  <c r="J107" i="2"/>
  <c r="F107" i="2"/>
  <c r="E107" i="2"/>
  <c r="C107" i="2"/>
  <c r="A107" i="2"/>
  <c r="J106" i="2"/>
  <c r="F106" i="2"/>
  <c r="E106" i="2"/>
  <c r="C106" i="2"/>
  <c r="A106" i="2"/>
  <c r="J105" i="2"/>
  <c r="F105" i="2"/>
  <c r="E105" i="2"/>
  <c r="C105" i="2"/>
  <c r="A105" i="2"/>
  <c r="J104" i="2"/>
  <c r="F104" i="2"/>
  <c r="E104" i="2"/>
  <c r="C104" i="2"/>
  <c r="A104" i="2"/>
  <c r="J103" i="2"/>
  <c r="F103" i="2"/>
  <c r="E103" i="2"/>
  <c r="C103" i="2"/>
  <c r="A103" i="2"/>
  <c r="J102" i="2"/>
  <c r="F102" i="2"/>
  <c r="E102" i="2"/>
  <c r="C102" i="2"/>
  <c r="A102" i="2"/>
  <c r="J101" i="2"/>
  <c r="F101" i="2"/>
  <c r="E101" i="2"/>
  <c r="C101" i="2"/>
  <c r="A101" i="2"/>
  <c r="J100" i="2"/>
  <c r="F100" i="2"/>
  <c r="E100" i="2"/>
  <c r="C100" i="2"/>
  <c r="A100" i="2"/>
  <c r="J99" i="2"/>
  <c r="F99" i="2"/>
  <c r="E99" i="2"/>
  <c r="C99" i="2"/>
  <c r="A99" i="2"/>
  <c r="J98" i="2"/>
  <c r="F98" i="2"/>
  <c r="E98" i="2"/>
  <c r="C98" i="2"/>
  <c r="A98" i="2"/>
  <c r="J97" i="2"/>
  <c r="F97" i="2"/>
  <c r="E97" i="2"/>
  <c r="C97" i="2"/>
  <c r="A97" i="2"/>
  <c r="J96" i="2"/>
  <c r="F96" i="2"/>
  <c r="E96" i="2"/>
  <c r="C96" i="2"/>
  <c r="A96" i="2"/>
  <c r="J95" i="2"/>
  <c r="F95" i="2"/>
  <c r="E95" i="2"/>
  <c r="C95" i="2"/>
  <c r="A95" i="2"/>
  <c r="J94" i="2"/>
  <c r="F94" i="2"/>
  <c r="E94" i="2"/>
  <c r="C94" i="2"/>
  <c r="A94" i="2"/>
  <c r="J93" i="2"/>
  <c r="F93" i="2"/>
  <c r="E93" i="2"/>
  <c r="C93" i="2"/>
  <c r="A93" i="2"/>
  <c r="J92" i="2"/>
  <c r="F92" i="2"/>
  <c r="E92" i="2"/>
  <c r="C92" i="2"/>
  <c r="A92" i="2"/>
  <c r="J91" i="2"/>
  <c r="F91" i="2"/>
  <c r="E91" i="2"/>
  <c r="C91" i="2"/>
  <c r="A91" i="2"/>
  <c r="J90" i="2"/>
  <c r="F90" i="2"/>
  <c r="E90" i="2"/>
  <c r="C90" i="2"/>
  <c r="A90" i="2"/>
  <c r="J89" i="2"/>
  <c r="F89" i="2"/>
  <c r="E89" i="2"/>
  <c r="C89" i="2"/>
  <c r="A89" i="2"/>
  <c r="J88" i="2"/>
  <c r="F88" i="2"/>
  <c r="E88" i="2"/>
  <c r="C88" i="2"/>
  <c r="A88" i="2"/>
  <c r="J87" i="2"/>
  <c r="F87" i="2"/>
  <c r="E87" i="2"/>
  <c r="C87" i="2"/>
  <c r="A87" i="2"/>
  <c r="J86" i="2"/>
  <c r="F86" i="2"/>
  <c r="E86" i="2"/>
  <c r="C86" i="2"/>
  <c r="A86" i="2"/>
  <c r="J85" i="2"/>
  <c r="F85" i="2"/>
  <c r="E85" i="2"/>
  <c r="C85" i="2"/>
  <c r="A85" i="2"/>
  <c r="J84" i="2"/>
  <c r="F84" i="2"/>
  <c r="E84" i="2"/>
  <c r="C84" i="2"/>
  <c r="A84" i="2"/>
  <c r="J83" i="2"/>
  <c r="F83" i="2"/>
  <c r="E83" i="2"/>
  <c r="C83" i="2"/>
  <c r="A83" i="2"/>
  <c r="J82" i="2"/>
  <c r="F82" i="2"/>
  <c r="E82" i="2"/>
  <c r="C82" i="2"/>
  <c r="A82" i="2"/>
  <c r="J81" i="2"/>
  <c r="F81" i="2"/>
  <c r="E81" i="2"/>
  <c r="C81" i="2"/>
  <c r="A81" i="2"/>
  <c r="J80" i="2"/>
  <c r="F80" i="2"/>
  <c r="E80" i="2"/>
  <c r="C80" i="2"/>
  <c r="A80" i="2"/>
  <c r="J79" i="2"/>
  <c r="F79" i="2"/>
  <c r="E79" i="2"/>
  <c r="C79" i="2"/>
  <c r="A79" i="2"/>
  <c r="J78" i="2"/>
  <c r="F78" i="2"/>
  <c r="E78" i="2"/>
  <c r="C78" i="2"/>
  <c r="A78" i="2"/>
  <c r="J77" i="2"/>
  <c r="F77" i="2"/>
  <c r="E77" i="2"/>
  <c r="C77" i="2"/>
  <c r="A77" i="2"/>
  <c r="J76" i="2"/>
  <c r="F76" i="2"/>
  <c r="E76" i="2"/>
  <c r="C76" i="2"/>
  <c r="A76" i="2"/>
  <c r="J75" i="2"/>
  <c r="F75" i="2"/>
  <c r="E75" i="2"/>
  <c r="C75" i="2"/>
  <c r="A75" i="2"/>
  <c r="J74" i="2"/>
  <c r="F74" i="2"/>
  <c r="E74" i="2"/>
  <c r="C74" i="2"/>
  <c r="A74" i="2"/>
  <c r="J73" i="2"/>
  <c r="F73" i="2"/>
  <c r="E73" i="2"/>
  <c r="C73" i="2"/>
  <c r="A73" i="2"/>
  <c r="J72" i="2"/>
  <c r="F72" i="2"/>
  <c r="E72" i="2"/>
  <c r="C72" i="2"/>
  <c r="A72" i="2"/>
  <c r="J71" i="2"/>
  <c r="F71" i="2"/>
  <c r="E71" i="2"/>
  <c r="C71" i="2"/>
  <c r="A71" i="2"/>
  <c r="J70" i="2"/>
  <c r="F70" i="2"/>
  <c r="E70" i="2"/>
  <c r="C70" i="2"/>
  <c r="A70" i="2"/>
  <c r="J69" i="2"/>
  <c r="F69" i="2"/>
  <c r="E69" i="2"/>
  <c r="C69" i="2"/>
  <c r="A69" i="2"/>
  <c r="J68" i="2"/>
  <c r="F68" i="2"/>
  <c r="E68" i="2"/>
  <c r="C68" i="2"/>
  <c r="A68" i="2"/>
  <c r="J67" i="2"/>
  <c r="F67" i="2"/>
  <c r="E67" i="2"/>
  <c r="C67" i="2"/>
  <c r="A67" i="2"/>
  <c r="J66" i="2"/>
  <c r="F66" i="2"/>
  <c r="E66" i="2"/>
  <c r="C66" i="2"/>
  <c r="A66" i="2"/>
  <c r="J65" i="2"/>
  <c r="F65" i="2"/>
  <c r="E65" i="2"/>
  <c r="C65" i="2"/>
  <c r="A65" i="2"/>
  <c r="J64" i="2"/>
  <c r="F64" i="2"/>
  <c r="E64" i="2"/>
  <c r="C64" i="2"/>
  <c r="A64" i="2"/>
  <c r="J63" i="2"/>
  <c r="F63" i="2"/>
  <c r="E63" i="2"/>
  <c r="C63" i="2"/>
  <c r="A63" i="2"/>
  <c r="J62" i="2"/>
  <c r="F62" i="2"/>
  <c r="E62" i="2"/>
  <c r="C62" i="2"/>
  <c r="A62" i="2"/>
  <c r="J61" i="2"/>
  <c r="F61" i="2"/>
  <c r="E61" i="2"/>
  <c r="C61" i="2"/>
  <c r="A61" i="2"/>
  <c r="J60" i="2"/>
  <c r="F60" i="2"/>
  <c r="E60" i="2"/>
  <c r="C60" i="2"/>
  <c r="A60" i="2"/>
  <c r="J59" i="2"/>
  <c r="F59" i="2"/>
  <c r="E59" i="2"/>
  <c r="C59" i="2"/>
  <c r="A59" i="2"/>
  <c r="J58" i="2"/>
  <c r="F58" i="2"/>
  <c r="E58" i="2"/>
  <c r="C58" i="2"/>
  <c r="A58" i="2"/>
  <c r="J57" i="2"/>
  <c r="F57" i="2"/>
  <c r="E57" i="2"/>
  <c r="C57" i="2"/>
  <c r="A57" i="2"/>
  <c r="J56" i="2"/>
  <c r="F56" i="2"/>
  <c r="E56" i="2"/>
  <c r="C56" i="2"/>
  <c r="A56" i="2"/>
  <c r="J55" i="2"/>
  <c r="F55" i="2"/>
  <c r="E55" i="2"/>
  <c r="C55" i="2"/>
  <c r="A55" i="2"/>
  <c r="J54" i="2"/>
  <c r="F54" i="2"/>
  <c r="E54" i="2"/>
  <c r="C54" i="2"/>
  <c r="A54" i="2"/>
  <c r="J53" i="2"/>
  <c r="F53" i="2"/>
  <c r="E53" i="2"/>
  <c r="C53" i="2"/>
  <c r="A53" i="2"/>
  <c r="J52" i="2"/>
  <c r="F52" i="2"/>
  <c r="E52" i="2"/>
  <c r="C52" i="2"/>
  <c r="A52" i="2"/>
  <c r="J51" i="2"/>
  <c r="F51" i="2"/>
  <c r="E51" i="2"/>
  <c r="C51" i="2"/>
  <c r="A51" i="2"/>
  <c r="J50" i="2"/>
  <c r="F50" i="2"/>
  <c r="E50" i="2"/>
  <c r="C50" i="2"/>
  <c r="A50" i="2"/>
  <c r="J49" i="2"/>
  <c r="F49" i="2"/>
  <c r="E49" i="2"/>
  <c r="C49" i="2"/>
  <c r="A49" i="2"/>
  <c r="J48" i="2"/>
  <c r="F48" i="2"/>
  <c r="E48" i="2"/>
  <c r="C48" i="2"/>
  <c r="A48" i="2"/>
  <c r="J47" i="2"/>
  <c r="F47" i="2"/>
  <c r="E47" i="2"/>
  <c r="C47" i="2"/>
  <c r="A47" i="2"/>
  <c r="J46" i="2"/>
  <c r="F46" i="2"/>
  <c r="E46" i="2"/>
  <c r="C46" i="2"/>
  <c r="A46" i="2"/>
  <c r="J45" i="2"/>
  <c r="F45" i="2"/>
  <c r="E45" i="2"/>
  <c r="C45" i="2"/>
  <c r="A45" i="2"/>
  <c r="J44" i="2"/>
  <c r="F44" i="2"/>
  <c r="E44" i="2"/>
  <c r="C44" i="2"/>
  <c r="A44" i="2"/>
  <c r="J43" i="2"/>
  <c r="F43" i="2"/>
  <c r="E43" i="2"/>
  <c r="C43" i="2"/>
  <c r="A43" i="2"/>
  <c r="J42" i="2"/>
  <c r="F42" i="2"/>
  <c r="E42" i="2"/>
  <c r="C42" i="2"/>
  <c r="A42" i="2"/>
  <c r="J41" i="2"/>
  <c r="F41" i="2"/>
  <c r="E41" i="2"/>
  <c r="C41" i="2"/>
  <c r="A41" i="2"/>
  <c r="J40" i="2"/>
  <c r="F40" i="2"/>
  <c r="E40" i="2"/>
  <c r="C40" i="2"/>
  <c r="A40" i="2"/>
  <c r="J39" i="2"/>
  <c r="F39" i="2"/>
  <c r="E39" i="2"/>
  <c r="C39" i="2"/>
  <c r="A39" i="2"/>
  <c r="J38" i="2"/>
  <c r="F38" i="2"/>
  <c r="E38" i="2"/>
  <c r="C38" i="2"/>
  <c r="A38" i="2"/>
  <c r="J37" i="2"/>
  <c r="F37" i="2"/>
  <c r="E37" i="2"/>
  <c r="C37" i="2"/>
  <c r="A37" i="2"/>
  <c r="J36" i="2"/>
  <c r="F36" i="2"/>
  <c r="E36" i="2"/>
  <c r="C36" i="2"/>
  <c r="A36" i="2"/>
  <c r="J35" i="2"/>
  <c r="F35" i="2"/>
  <c r="E35" i="2"/>
  <c r="C35" i="2"/>
  <c r="A35" i="2"/>
  <c r="J34" i="2"/>
  <c r="F34" i="2"/>
  <c r="E34" i="2"/>
  <c r="C34" i="2"/>
  <c r="A34" i="2"/>
  <c r="J33" i="2"/>
  <c r="F33" i="2"/>
  <c r="E33" i="2"/>
  <c r="C33" i="2"/>
  <c r="A33" i="2"/>
  <c r="J32" i="2"/>
  <c r="F32" i="2"/>
  <c r="E32" i="2"/>
  <c r="C32" i="2"/>
  <c r="A32" i="2"/>
  <c r="J31" i="2"/>
  <c r="F31" i="2"/>
  <c r="E31" i="2"/>
  <c r="C31" i="2"/>
  <c r="A31" i="2"/>
  <c r="J30" i="2"/>
  <c r="F30" i="2"/>
  <c r="E30" i="2"/>
  <c r="C30" i="2"/>
  <c r="A30" i="2"/>
  <c r="J29" i="2"/>
  <c r="F29" i="2"/>
  <c r="E29" i="2"/>
  <c r="C29" i="2"/>
  <c r="A29" i="2"/>
  <c r="J28" i="2"/>
  <c r="F28" i="2"/>
  <c r="E28" i="2"/>
  <c r="C28" i="2"/>
  <c r="A28" i="2"/>
  <c r="J27" i="2"/>
  <c r="F27" i="2"/>
  <c r="E27" i="2"/>
  <c r="C27" i="2"/>
  <c r="A27" i="2"/>
  <c r="J26" i="2"/>
  <c r="F26" i="2"/>
  <c r="E26" i="2"/>
  <c r="C26" i="2"/>
  <c r="A26" i="2"/>
  <c r="J25" i="2"/>
  <c r="F25" i="2"/>
  <c r="E25" i="2"/>
  <c r="C25" i="2"/>
  <c r="A25" i="2"/>
  <c r="J24" i="2"/>
  <c r="F24" i="2"/>
  <c r="E24" i="2"/>
  <c r="C24" i="2"/>
  <c r="A24" i="2"/>
  <c r="J23" i="2"/>
  <c r="F23" i="2"/>
  <c r="E23" i="2"/>
  <c r="C23" i="2"/>
  <c r="A23" i="2"/>
  <c r="J22" i="2"/>
  <c r="F22" i="2"/>
  <c r="E22" i="2"/>
  <c r="C22" i="2"/>
  <c r="A22" i="2"/>
  <c r="J21" i="2"/>
  <c r="F21" i="2"/>
  <c r="E21" i="2"/>
  <c r="C21" i="2"/>
  <c r="A21" i="2"/>
  <c r="J20" i="2"/>
  <c r="F20" i="2"/>
  <c r="E20" i="2"/>
  <c r="C20" i="2"/>
  <c r="A20" i="2"/>
  <c r="J19" i="2"/>
  <c r="F19" i="2"/>
  <c r="E19" i="2"/>
  <c r="C19" i="2"/>
  <c r="A19" i="2"/>
  <c r="J18" i="2"/>
  <c r="F18" i="2"/>
  <c r="E18" i="2"/>
  <c r="C18" i="2"/>
  <c r="A18" i="2"/>
  <c r="J17" i="2"/>
  <c r="F17" i="2"/>
  <c r="E17" i="2"/>
  <c r="C17" i="2"/>
  <c r="A17" i="2"/>
  <c r="J16" i="2"/>
  <c r="F16" i="2"/>
  <c r="E16" i="2"/>
  <c r="C16" i="2"/>
  <c r="A16" i="2"/>
  <c r="J15" i="2"/>
  <c r="F15" i="2"/>
  <c r="E15" i="2"/>
  <c r="C15" i="2"/>
  <c r="A15" i="2"/>
  <c r="J14" i="2"/>
  <c r="F14" i="2"/>
  <c r="E14" i="2"/>
  <c r="C14" i="2"/>
  <c r="A14" i="2"/>
  <c r="J13" i="2"/>
  <c r="F13" i="2"/>
  <c r="E13" i="2"/>
  <c r="C13" i="2"/>
  <c r="A13" i="2"/>
  <c r="J12" i="2"/>
  <c r="F12" i="2"/>
  <c r="E12" i="2"/>
  <c r="C12" i="2"/>
  <c r="A12" i="2"/>
  <c r="J11" i="2"/>
  <c r="F11" i="2"/>
  <c r="E11" i="2"/>
  <c r="C11" i="2"/>
  <c r="A11" i="2"/>
  <c r="J10" i="2"/>
  <c r="F10" i="2"/>
  <c r="E10" i="2"/>
  <c r="C10" i="2"/>
  <c r="A10" i="2"/>
  <c r="J9" i="2"/>
  <c r="F9" i="2"/>
  <c r="E9" i="2"/>
  <c r="C9" i="2"/>
  <c r="A9" i="2"/>
  <c r="J8" i="2"/>
  <c r="F8" i="2"/>
  <c r="E8" i="2"/>
  <c r="C8" i="2"/>
  <c r="A8" i="2"/>
  <c r="J7" i="2"/>
  <c r="F7" i="2"/>
  <c r="E7" i="2"/>
  <c r="C7" i="2"/>
  <c r="A7" i="2"/>
  <c r="J6" i="2"/>
  <c r="F6" i="2"/>
  <c r="E6" i="2"/>
  <c r="C6" i="2"/>
  <c r="A6" i="2"/>
  <c r="F5" i="2"/>
  <c r="E5" i="2"/>
  <c r="C5" i="2"/>
  <c r="A5" i="2"/>
  <c r="AP3" i="2"/>
  <c r="AO3" i="2"/>
  <c r="AL3" i="2"/>
  <c r="K3" i="2"/>
  <c r="AP1" i="2"/>
  <c r="AO1" i="2"/>
  <c r="AQ14" i="2"/>
  <c r="AR14" i="2"/>
  <c r="J3" i="2"/>
  <c r="AQ15" i="2"/>
  <c r="AR15" i="2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J6" i="1"/>
  <c r="F5" i="1"/>
  <c r="E5" i="1"/>
  <c r="C5" i="1"/>
  <c r="AR3" i="1"/>
  <c r="AQ3" i="1"/>
  <c r="AL3" i="1"/>
  <c r="AL1" i="2"/>
  <c r="AK3" i="1"/>
  <c r="K3" i="1"/>
  <c r="AK1" i="2"/>
  <c r="AQ16" i="2"/>
  <c r="AR16" i="2"/>
  <c r="J3" i="1"/>
  <c r="AS3" i="1"/>
  <c r="AQ17" i="2"/>
  <c r="AR17" i="2"/>
  <c r="AQ18" i="2"/>
  <c r="AR18" i="2"/>
  <c r="AQ19" i="2"/>
  <c r="AR19" i="2"/>
  <c r="AQ20" i="2"/>
  <c r="AR20" i="2"/>
  <c r="AQ21" i="2"/>
  <c r="AR21" i="2"/>
  <c r="AQ22" i="2"/>
  <c r="AR22" i="2"/>
  <c r="AQ23" i="2"/>
  <c r="AR23" i="2"/>
  <c r="AQ24" i="2"/>
  <c r="AR24" i="2"/>
  <c r="AQ25" i="2"/>
  <c r="AR25" i="2"/>
  <c r="AQ26" i="2"/>
  <c r="AR26" i="2"/>
  <c r="AQ27" i="2"/>
  <c r="AR27" i="2"/>
  <c r="AQ28" i="2"/>
  <c r="AR28" i="2"/>
  <c r="AR29" i="2"/>
  <c r="AQ29" i="2"/>
  <c r="AQ30" i="2"/>
  <c r="AR30" i="2"/>
  <c r="AQ31" i="2"/>
  <c r="AR31" i="2"/>
  <c r="AQ32" i="2"/>
  <c r="AR32" i="2"/>
  <c r="AQ33" i="2"/>
  <c r="AR33" i="2"/>
  <c r="AQ34" i="2"/>
  <c r="AR34" i="2"/>
  <c r="AQ35" i="2"/>
  <c r="AR35" i="2"/>
  <c r="AQ36" i="2"/>
  <c r="AR36" i="2"/>
  <c r="AQ37" i="2"/>
  <c r="AR37" i="2"/>
  <c r="AQ38" i="2"/>
  <c r="AR38" i="2"/>
  <c r="AQ39" i="2"/>
  <c r="AR39" i="2"/>
  <c r="AQ40" i="2"/>
  <c r="AR40" i="2"/>
  <c r="AR41" i="2"/>
  <c r="AQ41" i="2"/>
  <c r="AQ42" i="2"/>
  <c r="AR42" i="2"/>
  <c r="AQ43" i="2"/>
  <c r="AR43" i="2"/>
  <c r="AQ44" i="2"/>
  <c r="AR44" i="2"/>
  <c r="AQ46" i="2"/>
  <c r="AR46" i="2"/>
  <c r="AQ47" i="2"/>
  <c r="AR47" i="2"/>
  <c r="AQ48" i="2"/>
  <c r="AR48" i="2"/>
  <c r="AR49" i="2"/>
  <c r="AQ49" i="2"/>
  <c r="AQ50" i="2"/>
  <c r="AR50" i="2"/>
  <c r="AQ51" i="2"/>
  <c r="AR51" i="2"/>
  <c r="AQ52" i="2"/>
  <c r="AR52" i="2"/>
  <c r="AQ53" i="2"/>
  <c r="AR53" i="2"/>
  <c r="AQ54" i="2"/>
  <c r="AR54" i="2"/>
  <c r="AQ55" i="2"/>
  <c r="AR55" i="2"/>
  <c r="AQ56" i="2"/>
  <c r="AR56" i="2"/>
  <c r="AR57" i="2"/>
  <c r="AQ57" i="2"/>
  <c r="AQ58" i="2"/>
  <c r="AR58" i="2"/>
  <c r="AQ59" i="2"/>
  <c r="AR59" i="2"/>
  <c r="AQ60" i="2"/>
  <c r="AR60" i="2"/>
  <c r="AQ61" i="2"/>
  <c r="AR61" i="2"/>
  <c r="AQ62" i="2"/>
  <c r="AR62" i="2"/>
  <c r="AQ63" i="2"/>
  <c r="AR63" i="2"/>
  <c r="AQ64" i="2"/>
  <c r="AR64" i="2"/>
  <c r="AR65" i="2"/>
  <c r="AQ65" i="2"/>
  <c r="AQ66" i="2"/>
  <c r="AR66" i="2"/>
  <c r="AQ67" i="2"/>
  <c r="AR67" i="2"/>
  <c r="AQ68" i="2"/>
  <c r="AR68" i="2"/>
  <c r="AQ69" i="2"/>
  <c r="AR69" i="2"/>
  <c r="AQ70" i="2"/>
  <c r="AR70" i="2"/>
  <c r="AQ71" i="2"/>
  <c r="AR71" i="2"/>
  <c r="AQ72" i="2"/>
  <c r="AR72" i="2"/>
  <c r="AR73" i="2"/>
  <c r="AQ73" i="2"/>
  <c r="AQ74" i="2"/>
  <c r="AR74" i="2"/>
  <c r="AQ75" i="2"/>
  <c r="AR75" i="2"/>
  <c r="AQ76" i="2"/>
  <c r="AR76" i="2"/>
  <c r="AQ77" i="2"/>
  <c r="AR77" i="2"/>
  <c r="AQ78" i="2"/>
  <c r="AR78" i="2"/>
  <c r="AQ79" i="2"/>
  <c r="AR79" i="2"/>
  <c r="AQ80" i="2"/>
  <c r="AR80" i="2"/>
  <c r="AR81" i="2"/>
  <c r="AQ81" i="2"/>
  <c r="AQ82" i="2"/>
  <c r="AR82" i="2"/>
  <c r="AQ83" i="2"/>
  <c r="AR83" i="2"/>
  <c r="AQ84" i="2"/>
  <c r="AR84" i="2"/>
  <c r="AQ85" i="2"/>
  <c r="AR85" i="2"/>
  <c r="AQ86" i="2"/>
  <c r="AR86" i="2"/>
  <c r="AQ87" i="2"/>
  <c r="AR87" i="2"/>
  <c r="AQ88" i="2"/>
  <c r="AR88" i="2"/>
  <c r="AR89" i="2"/>
  <c r="AQ89" i="2"/>
  <c r="AQ90" i="2"/>
  <c r="AR90" i="2"/>
  <c r="AQ91" i="2"/>
  <c r="AR91" i="2"/>
  <c r="AQ92" i="2"/>
  <c r="AR92" i="2"/>
  <c r="AQ93" i="2"/>
  <c r="AR93" i="2"/>
  <c r="AQ94" i="2"/>
  <c r="AR94" i="2"/>
  <c r="AQ95" i="2"/>
  <c r="AR95" i="2"/>
  <c r="AQ96" i="2"/>
  <c r="AR96" i="2"/>
  <c r="AQ97" i="2"/>
  <c r="AR97" i="2"/>
  <c r="AQ98" i="2"/>
  <c r="AR98" i="2"/>
  <c r="AQ99" i="2"/>
  <c r="AR99" i="2"/>
  <c r="AQ100" i="2"/>
  <c r="AR100" i="2"/>
  <c r="AR101" i="2"/>
  <c r="AQ101" i="2"/>
  <c r="AQ102" i="2"/>
  <c r="AR102" i="2"/>
  <c r="AQ103" i="2"/>
  <c r="AR103" i="2"/>
  <c r="AQ104" i="2"/>
  <c r="AR104" i="2"/>
  <c r="AQ105" i="2"/>
  <c r="AR105" i="2"/>
  <c r="AQ106" i="2"/>
  <c r="AR106" i="2"/>
  <c r="AQ107" i="2"/>
  <c r="AR107" i="2"/>
  <c r="AQ108" i="2"/>
  <c r="AR108" i="2"/>
  <c r="AR109" i="2"/>
  <c r="AQ109" i="2"/>
  <c r="AQ110" i="2"/>
  <c r="AR110" i="2"/>
  <c r="AQ111" i="2"/>
  <c r="AR111" i="2"/>
  <c r="AQ112" i="2"/>
  <c r="AR112" i="2"/>
  <c r="AQ113" i="2"/>
  <c r="AR113" i="2"/>
  <c r="AQ114" i="2"/>
  <c r="AR114" i="2"/>
  <c r="AQ115" i="2"/>
  <c r="AR115" i="2"/>
  <c r="AQ116" i="2"/>
  <c r="AR116" i="2"/>
  <c r="AQ117" i="2"/>
  <c r="AR117" i="2"/>
  <c r="AQ118" i="2"/>
  <c r="AR118" i="2"/>
  <c r="AQ119" i="2"/>
  <c r="AR119" i="2"/>
  <c r="AQ120" i="2"/>
  <c r="AR120" i="2"/>
  <c r="AQ121" i="2"/>
  <c r="AR121" i="2"/>
  <c r="AQ122" i="2"/>
  <c r="AR122" i="2"/>
  <c r="AQ123" i="2"/>
  <c r="AR123" i="2"/>
  <c r="AQ124" i="2"/>
  <c r="AR124" i="2"/>
  <c r="AQ125" i="2"/>
  <c r="AR125" i="2"/>
  <c r="AQ126" i="2"/>
  <c r="AR126" i="2"/>
  <c r="AQ127" i="2"/>
  <c r="AR127" i="2"/>
  <c r="AQ128" i="2"/>
  <c r="AR128" i="2"/>
  <c r="AQ129" i="2"/>
  <c r="AR129" i="2"/>
  <c r="AQ130" i="2"/>
  <c r="AR130" i="2"/>
  <c r="AQ131" i="2"/>
  <c r="AR131" i="2"/>
  <c r="AQ132" i="2"/>
  <c r="AR132" i="2"/>
  <c r="AQ133" i="2"/>
  <c r="AR133" i="2"/>
  <c r="AQ134" i="2"/>
  <c r="AR134" i="2"/>
  <c r="AQ135" i="2"/>
  <c r="AR135" i="2"/>
  <c r="AQ136" i="2"/>
  <c r="AR136" i="2"/>
  <c r="AQ137" i="2"/>
  <c r="AR137" i="2"/>
  <c r="AQ138" i="2"/>
  <c r="AR138" i="2"/>
  <c r="AQ139" i="2"/>
  <c r="AR139" i="2"/>
  <c r="AQ140" i="2"/>
  <c r="AR140" i="2"/>
  <c r="AQ141" i="2"/>
  <c r="AR141" i="2"/>
  <c r="AQ142" i="2"/>
  <c r="AR142" i="2"/>
  <c r="AQ143" i="2"/>
  <c r="AR143" i="2"/>
  <c r="AQ144" i="2"/>
  <c r="AR144" i="2"/>
  <c r="AQ145" i="2"/>
  <c r="AR145" i="2"/>
  <c r="AQ146" i="2"/>
  <c r="AR146" i="2"/>
  <c r="AQ147" i="2"/>
  <c r="AR147" i="2"/>
  <c r="AQ148" i="2"/>
  <c r="AR148" i="2"/>
  <c r="AQ149" i="2"/>
  <c r="AR149" i="2"/>
  <c r="AQ150" i="2"/>
  <c r="AR150" i="2"/>
  <c r="AQ151" i="2"/>
  <c r="AR151" i="2"/>
  <c r="AQ152" i="2"/>
  <c r="AR152" i="2"/>
  <c r="AQ153" i="2"/>
  <c r="AR153" i="2"/>
  <c r="AQ154" i="2"/>
  <c r="AR154" i="2"/>
  <c r="AQ155" i="2"/>
  <c r="AR155" i="2"/>
  <c r="AQ156" i="2"/>
  <c r="AR156" i="2"/>
  <c r="AQ157" i="2"/>
  <c r="AR157" i="2"/>
  <c r="AQ158" i="2"/>
  <c r="AR158" i="2"/>
  <c r="AQ159" i="2"/>
  <c r="AR159" i="2"/>
  <c r="AQ160" i="2"/>
  <c r="AR160" i="2"/>
  <c r="AQ161" i="2"/>
  <c r="AR161" i="2"/>
  <c r="AQ162" i="2"/>
  <c r="AR162" i="2"/>
  <c r="AQ163" i="2"/>
  <c r="AR163" i="2"/>
  <c r="AQ164" i="2"/>
  <c r="AR164" i="2"/>
  <c r="AQ165" i="2"/>
  <c r="AR165" i="2"/>
  <c r="AQ166" i="2"/>
  <c r="AR166" i="2"/>
  <c r="AR168" i="2"/>
  <c r="AQ168" i="2"/>
  <c r="AQ167" i="2"/>
  <c r="AR167" i="2"/>
  <c r="AQ169" i="2"/>
  <c r="AR169" i="2"/>
  <c r="AR170" i="2"/>
  <c r="AQ170" i="2"/>
  <c r="AR171" i="2"/>
  <c r="AQ171" i="2"/>
  <c r="AR172" i="2"/>
  <c r="AQ172" i="2"/>
  <c r="AQ173" i="2"/>
  <c r="AR173" i="2"/>
  <c r="AR174" i="2"/>
  <c r="AQ174" i="2"/>
  <c r="AR175" i="2"/>
  <c r="AQ175" i="2"/>
  <c r="AQ176" i="2"/>
  <c r="AR176" i="2"/>
  <c r="AR177" i="2"/>
  <c r="AQ177" i="2"/>
  <c r="AR178" i="2"/>
  <c r="AQ178" i="2"/>
  <c r="AR179" i="2"/>
  <c r="AQ179" i="2"/>
  <c r="AR180" i="2"/>
  <c r="AQ180" i="2"/>
  <c r="AQ181" i="2"/>
  <c r="AR181" i="2"/>
  <c r="AR182" i="2"/>
  <c r="AQ182" i="2"/>
  <c r="AR183" i="2"/>
  <c r="AQ183" i="2"/>
  <c r="AR184" i="2"/>
  <c r="AQ184" i="2"/>
  <c r="AR185" i="2"/>
  <c r="AQ185" i="2"/>
  <c r="AR186" i="2"/>
  <c r="AQ186" i="2"/>
  <c r="AR187" i="2"/>
  <c r="AQ187" i="2"/>
  <c r="AR188" i="2"/>
  <c r="AQ188" i="2"/>
  <c r="AQ189" i="2"/>
  <c r="AR189" i="2"/>
  <c r="AR190" i="2"/>
  <c r="AQ190" i="2"/>
  <c r="AR191" i="2"/>
  <c r="AQ191" i="2"/>
  <c r="AQ192" i="2"/>
  <c r="AR192" i="2"/>
  <c r="AR193" i="2"/>
  <c r="AQ193" i="2"/>
  <c r="AR194" i="2"/>
  <c r="AQ194" i="2"/>
  <c r="AR195" i="2"/>
  <c r="AQ195" i="2"/>
  <c r="AR196" i="2"/>
  <c r="AQ196" i="2"/>
  <c r="AR197" i="2"/>
  <c r="AQ197" i="2"/>
  <c r="AR198" i="2"/>
  <c r="AQ198" i="2"/>
  <c r="AR199" i="2"/>
  <c r="AQ199" i="2"/>
  <c r="AQ200" i="2"/>
  <c r="AR200" i="2"/>
  <c r="AQ201" i="2"/>
  <c r="AR201" i="2"/>
  <c r="AR202" i="2"/>
  <c r="AQ202" i="2"/>
  <c r="AR203" i="2"/>
  <c r="AQ203" i="2"/>
  <c r="AR204" i="2"/>
  <c r="AQ204" i="2"/>
  <c r="AR205" i="2"/>
  <c r="AQ205" i="2"/>
  <c r="AR206" i="2"/>
  <c r="AQ206" i="2"/>
  <c r="AR207" i="2"/>
  <c r="AQ207" i="2"/>
  <c r="AQ208" i="2"/>
  <c r="AR208" i="2"/>
  <c r="AR209" i="2"/>
  <c r="AQ209" i="2"/>
  <c r="AR210" i="2"/>
  <c r="AQ210" i="2"/>
  <c r="AR211" i="2"/>
  <c r="AQ211" i="2"/>
  <c r="AR212" i="2"/>
  <c r="AQ212" i="2"/>
  <c r="AR213" i="2"/>
  <c r="AQ213" i="2"/>
  <c r="AR214" i="2"/>
  <c r="AQ214" i="2"/>
  <c r="AR215" i="2"/>
  <c r="AQ215" i="2"/>
  <c r="AQ216" i="2"/>
  <c r="AR216" i="2"/>
  <c r="AQ217" i="2"/>
  <c r="AR217" i="2"/>
  <c r="AR218" i="2"/>
  <c r="AQ218" i="2"/>
  <c r="AR219" i="2"/>
  <c r="AQ219" i="2"/>
  <c r="AR220" i="2"/>
  <c r="AQ220" i="2"/>
  <c r="AQ221" i="2"/>
  <c r="AR221" i="2"/>
  <c r="AR222" i="2"/>
  <c r="AQ222" i="2"/>
  <c r="AR223" i="2"/>
  <c r="AQ223" i="2"/>
  <c r="AR224" i="2"/>
  <c r="AQ224" i="2"/>
  <c r="AR225" i="2"/>
  <c r="AQ225" i="2"/>
  <c r="AR226" i="2"/>
  <c r="AQ226" i="2"/>
  <c r="AR227" i="2"/>
  <c r="AQ227" i="2"/>
  <c r="AR228" i="2"/>
  <c r="AQ228" i="2"/>
  <c r="AR229" i="2"/>
  <c r="AQ229" i="2"/>
  <c r="AR230" i="2"/>
  <c r="AQ230" i="2"/>
  <c r="AR231" i="2"/>
  <c r="AQ231" i="2"/>
  <c r="AQ232" i="2"/>
  <c r="AR232" i="2"/>
  <c r="AQ233" i="2"/>
  <c r="AR233" i="2"/>
  <c r="AR234" i="2"/>
  <c r="AQ234" i="2"/>
  <c r="AR235" i="2"/>
  <c r="AQ235" i="2"/>
  <c r="AR236" i="2"/>
  <c r="AQ236" i="2"/>
  <c r="AQ237" i="2"/>
  <c r="AR237" i="2"/>
  <c r="AR238" i="2"/>
  <c r="AQ238" i="2"/>
  <c r="AR239" i="2"/>
  <c r="AQ239" i="2"/>
  <c r="AQ240" i="2"/>
  <c r="AR240" i="2"/>
  <c r="AR241" i="2"/>
  <c r="AQ241" i="2"/>
  <c r="AR242" i="2"/>
  <c r="AQ242" i="2"/>
  <c r="AR243" i="2"/>
  <c r="AQ243" i="2"/>
  <c r="AR244" i="2"/>
  <c r="AQ244" i="2"/>
  <c r="AR245" i="2"/>
  <c r="AQ245" i="2"/>
  <c r="AR246" i="2"/>
  <c r="AQ246" i="2"/>
  <c r="AR247" i="2"/>
  <c r="AQ247" i="2"/>
  <c r="AQ248" i="2"/>
  <c r="AR248" i="2"/>
  <c r="AR249" i="2"/>
  <c r="AQ249" i="2"/>
  <c r="AR250" i="2"/>
  <c r="AQ250" i="2"/>
  <c r="AR251" i="2"/>
  <c r="AQ251" i="2"/>
  <c r="AR252" i="2"/>
  <c r="AQ252" i="2"/>
  <c r="AQ253" i="2"/>
  <c r="AR253" i="2"/>
  <c r="AR254" i="2"/>
  <c r="AQ254" i="2"/>
  <c r="AR255" i="2"/>
  <c r="AQ255" i="2"/>
  <c r="AR256" i="2"/>
  <c r="AQ256" i="2"/>
  <c r="AR257" i="2"/>
  <c r="AQ257" i="2"/>
  <c r="AR258" i="2"/>
  <c r="AQ258" i="2"/>
  <c r="AR259" i="2"/>
  <c r="AQ259" i="2"/>
  <c r="AQ260" i="2"/>
  <c r="AR260" i="2"/>
  <c r="AQ261" i="2"/>
  <c r="AR261" i="2"/>
  <c r="AR262" i="2"/>
  <c r="AQ262" i="2"/>
  <c r="AR263" i="2"/>
  <c r="AQ263" i="2"/>
  <c r="AQ3" i="2"/>
  <c r="AS3" i="2"/>
  <c r="AR3" i="2"/>
  <c r="AS1" i="2"/>
  <c r="AR1" i="2"/>
  <c r="AQ1" i="2"/>
  <c r="AL504" i="3" l="1"/>
  <c r="AR504" i="3" s="1"/>
  <c r="AQ504" i="3"/>
  <c r="AL502" i="3"/>
  <c r="AR502" i="3" s="1"/>
  <c r="AQ502" i="3"/>
  <c r="AQ499" i="3"/>
  <c r="AL499" i="3"/>
  <c r="AR499" i="3" s="1"/>
  <c r="AL388" i="3"/>
  <c r="AR388" i="3" s="1"/>
  <c r="AQ388" i="3"/>
  <c r="AL387" i="3"/>
  <c r="AR387" i="3" s="1"/>
  <c r="AQ387" i="3"/>
  <c r="AL385" i="3"/>
  <c r="AR385" i="3" s="1"/>
  <c r="AQ385" i="3"/>
  <c r="AQ377" i="3"/>
  <c r="AL377" i="3"/>
  <c r="AR377" i="3" s="1"/>
  <c r="AL370" i="3"/>
  <c r="AR370" i="3" s="1"/>
  <c r="AQ370" i="3"/>
  <c r="AQ368" i="3"/>
  <c r="AL368" i="3"/>
  <c r="AR368" i="3" s="1"/>
  <c r="AQ361" i="3"/>
  <c r="AL361" i="3"/>
  <c r="AR361" i="3" s="1"/>
  <c r="AQ345" i="3"/>
  <c r="AL345" i="3"/>
  <c r="AK3" i="3"/>
  <c r="B3" i="4" a="1"/>
  <c r="B3" i="4" s="1"/>
  <c r="J3" i="3"/>
  <c r="AM1" i="3"/>
  <c r="F3" i="4"/>
  <c r="U3" i="4"/>
  <c r="H3" i="4"/>
  <c r="J3" i="4"/>
  <c r="E3" i="4"/>
  <c r="V3" i="4"/>
  <c r="G3" i="4"/>
  <c r="K3" i="4"/>
  <c r="D3" i="4"/>
  <c r="C3" i="4"/>
  <c r="T3" i="4"/>
  <c r="X3" i="4"/>
  <c r="L3" i="4"/>
  <c r="N3" i="4"/>
  <c r="Y3" i="4"/>
  <c r="I3" i="4"/>
  <c r="W3" i="4"/>
  <c r="M3" i="4"/>
  <c r="P3" i="4"/>
  <c r="Q3" i="4"/>
  <c r="S3" i="4"/>
  <c r="R3" i="4"/>
  <c r="O3" i="4"/>
  <c r="AR345" i="3" l="1"/>
  <c r="AL3" i="3"/>
  <c r="AL1" i="3" s="1"/>
  <c r="AK1" i="3"/>
  <c r="AO3" i="3"/>
  <c r="AO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tc={C8846A99-EA2E-4D45-A81F-37C712784B89}</author>
    <author>tc={2D1051F9-E45A-4090-8104-4AD68348D4A1}</author>
    <author>tc={476DDB22-040C-4897-B8E5-839C62C43131}</author>
    <author>tc={4F70AD6B-E1D4-43DD-BD35-2464CA2AAFBD}</author>
    <author>tc={32344CA9-DB42-47A8-AE7D-8792386933CC}</author>
    <author>tc={9A033ADF-2E0C-4747-9346-AEEAA6859BA0}</author>
    <author>tc={63B44E9B-8A73-4AD7-A234-0EF80F74E94D}</author>
    <author>tc={AF80DF04-8776-4B88-B5D5-88F5A3CC1575}</author>
  </authors>
  <commentList>
    <comment ref="Q2" authorId="0" shapeId="0" xr:uid="{C8846A99-EA2E-4D45-A81F-37C712784B8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수배 중인, 타겟 수치 입력</t>
      </text>
    </comment>
    <comment ref="H4" authorId="1" shapeId="0" xr:uid="{2D1051F9-E45A-4090-8104-4AD68348D4A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스웨이드 2건 (DJ6G0, DJ9G2) 일단 행삭제</t>
      </text>
    </comment>
    <comment ref="T4" authorId="2" shapeId="0" xr:uid="{476DDB22-040C-4897-B8E5-839C62C4313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2,3레이어_세부 정보 추가열 필요함</t>
      </text>
    </comment>
    <comment ref="Q6" authorId="3" shapeId="0" xr:uid="{4F70AD6B-E1D4-43DD-BD35-2464CA2AAFB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소재데이터상은 35D</t>
      </text>
    </comment>
    <comment ref="Q12" authorId="4" shapeId="0" xr:uid="{32344CA9-DB42-47A8-AE7D-8792386933C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실제론 10D로 변경함. 봄택스</t>
      </text>
    </comment>
    <comment ref="Q19" authorId="5" shapeId="0" xr:uid="{9A033ADF-2E0C-4747-9346-AEEAA6859BA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소재 데이터상은 55D</t>
      </text>
    </comment>
    <comment ref="AA35" authorId="6" shapeId="0" xr:uid="{63B44E9B-8A73-4AD7-A234-0EF80F74E94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변경예정</t>
      </text>
    </comment>
    <comment ref="H289" authorId="7" shapeId="0" xr:uid="{AF80DF04-8776-4B88-B5D5-88F5A3CC157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무신사 단독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tc={5406D131-A89C-4B17-8502-C22DD0935859}</author>
  </authors>
  <commentList>
    <comment ref="H203" authorId="0" shapeId="0" xr:uid="{5406D131-A89C-4B17-8502-C22DD093585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무신사 단독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<sst xmlns="http://schemas.openxmlformats.org/spreadsheetml/2006/main" count="28395" uniqueCount="990">
  <si>
    <t>2024FW 다운</t>
    <phoneticPr fontId="3" type="noConversion"/>
  </si>
  <si>
    <t>▶제품 기준 정보</t>
    <phoneticPr fontId="3" type="noConversion"/>
  </si>
  <si>
    <t>▶소재 스팩 정보</t>
    <phoneticPr fontId="3" type="noConversion"/>
  </si>
  <si>
    <t>▶소재 외관 정보</t>
    <phoneticPr fontId="3" type="noConversion"/>
  </si>
  <si>
    <t>▶다운백 정보</t>
    <phoneticPr fontId="3" type="noConversion"/>
  </si>
  <si>
    <t>▶충전재 정보</t>
    <phoneticPr fontId="3" type="noConversion"/>
  </si>
  <si>
    <t>▶디자인 정보</t>
    <phoneticPr fontId="3" type="noConversion"/>
  </si>
  <si>
    <t>▶발주, 판매 정보 (251207일자)</t>
    <phoneticPr fontId="3" type="noConversion"/>
  </si>
  <si>
    <t>Ra값 (Roughness Average)</t>
    <phoneticPr fontId="3" type="noConversion"/>
  </si>
  <si>
    <t>GU값 (Gloss Units)</t>
    <phoneticPr fontId="3" type="noConversion"/>
  </si>
  <si>
    <t>품번 (9자리)</t>
    <phoneticPr fontId="3" type="noConversion"/>
  </si>
  <si>
    <t>품번 (5자리)</t>
    <phoneticPr fontId="3" type="noConversion"/>
  </si>
  <si>
    <t>발주
구분</t>
  </si>
  <si>
    <t>성별
코드</t>
  </si>
  <si>
    <t>아이템코드</t>
    <phoneticPr fontId="3" type="noConversion"/>
  </si>
  <si>
    <t>시즌</t>
    <phoneticPr fontId="3" type="noConversion"/>
  </si>
  <si>
    <t>제품명</t>
    <phoneticPr fontId="3" type="noConversion"/>
  </si>
  <si>
    <t>컬러코드</t>
    <phoneticPr fontId="3" type="noConversion"/>
  </si>
  <si>
    <t>스타일수</t>
    <phoneticPr fontId="3" type="noConversion"/>
  </si>
  <si>
    <t>컬러수</t>
    <phoneticPr fontId="3" type="noConversion"/>
  </si>
  <si>
    <t>예상TAG가</t>
  </si>
  <si>
    <t>소재처</t>
    <phoneticPr fontId="3" type="noConversion"/>
  </si>
  <si>
    <t>소재명</t>
    <phoneticPr fontId="3" type="noConversion"/>
  </si>
  <si>
    <t>소재 혼용율</t>
  </si>
  <si>
    <t>소재 혼용율%</t>
    <phoneticPr fontId="3" type="noConversion"/>
  </si>
  <si>
    <t>원사 데니아(D)</t>
    <phoneticPr fontId="3" type="noConversion"/>
  </si>
  <si>
    <t>소재 중량(G)</t>
    <phoneticPr fontId="3" type="noConversion"/>
  </si>
  <si>
    <t>소재 밀도(T)</t>
    <phoneticPr fontId="3" type="noConversion"/>
  </si>
  <si>
    <t>레이어(필름)</t>
    <phoneticPr fontId="3" type="noConversion"/>
  </si>
  <si>
    <t>레이어(필름) 두께</t>
  </si>
  <si>
    <t>소재 후가공</t>
    <phoneticPr fontId="3" type="noConversion"/>
  </si>
  <si>
    <t>소재 TAG</t>
    <phoneticPr fontId="3" type="noConversion"/>
  </si>
  <si>
    <t>소재 구분</t>
    <phoneticPr fontId="3" type="noConversion"/>
  </si>
  <si>
    <t>소재 조직</t>
  </si>
  <si>
    <t>소재 텍스쳐(Ra) LEVEL</t>
    <phoneticPr fontId="3" type="noConversion"/>
  </si>
  <si>
    <t>소재 광택(GU) LEVEL</t>
    <phoneticPr fontId="3" type="noConversion"/>
  </si>
  <si>
    <t>다운백 구조</t>
    <phoneticPr fontId="3" type="noConversion"/>
  </si>
  <si>
    <t>다운백 데니아(D)</t>
    <phoneticPr fontId="3" type="noConversion"/>
  </si>
  <si>
    <t>다운백 밀도(T)</t>
    <phoneticPr fontId="3" type="noConversion"/>
  </si>
  <si>
    <t>충전재 사종</t>
    <phoneticPr fontId="3" type="noConversion"/>
  </si>
  <si>
    <t>충전재양(G)</t>
    <phoneticPr fontId="3" type="noConversion"/>
  </si>
  <si>
    <t>중량 구분</t>
    <phoneticPr fontId="3" type="noConversion"/>
  </si>
  <si>
    <t>필파워</t>
    <phoneticPr fontId="3" type="noConversion"/>
  </si>
  <si>
    <t>디자인 형태</t>
    <phoneticPr fontId="3" type="noConversion"/>
  </si>
  <si>
    <t>기장</t>
    <phoneticPr fontId="3" type="noConversion"/>
  </si>
  <si>
    <t>발주 수량</t>
    <phoneticPr fontId="3" type="noConversion"/>
  </si>
  <si>
    <t>발주 금액</t>
    <phoneticPr fontId="3" type="noConversion"/>
  </si>
  <si>
    <t>주간 판매 수량</t>
    <phoneticPr fontId="3" type="noConversion"/>
  </si>
  <si>
    <t>주간 판매 금액</t>
    <phoneticPr fontId="3" type="noConversion"/>
  </si>
  <si>
    <t>누계 판매 수량</t>
    <phoneticPr fontId="3" type="noConversion"/>
  </si>
  <si>
    <t>누계 판매 금액</t>
    <phoneticPr fontId="3" type="noConversion"/>
  </si>
  <si>
    <t>마감 판매 수량</t>
    <phoneticPr fontId="3" type="noConversion"/>
  </si>
  <si>
    <t>마감 판매 금액</t>
    <phoneticPr fontId="3" type="noConversion"/>
  </si>
  <si>
    <t>판매율</t>
    <phoneticPr fontId="3" type="noConversion"/>
  </si>
  <si>
    <t>DWDJ91046</t>
  </si>
  <si>
    <t>MAIN</t>
  </si>
  <si>
    <t>WINTER</t>
  </si>
  <si>
    <t>여성 벨라 구스다운 경량패딩</t>
  </si>
  <si>
    <t>VOS</t>
  </si>
  <si>
    <t>봄텍스</t>
  </si>
  <si>
    <t>BOM-SB1368CA (JS1001 PU 뺀 VER.)</t>
  </si>
  <si>
    <t xml:space="preserve">POLYESTER </t>
  </si>
  <si>
    <t>20D</t>
  </si>
  <si>
    <t>45G</t>
  </si>
  <si>
    <t>435T</t>
  </si>
  <si>
    <t>Single L</t>
    <phoneticPr fontId="3" type="noConversion"/>
  </si>
  <si>
    <t>WR</t>
  </si>
  <si>
    <t>우븐</t>
    <phoneticPr fontId="3" type="noConversion"/>
  </si>
  <si>
    <t>PLAIN</t>
  </si>
  <si>
    <t>Ra_LV1</t>
  </si>
  <si>
    <t>GU_LV4</t>
  </si>
  <si>
    <t>4L 구조</t>
    <phoneticPr fontId="3" type="noConversion"/>
  </si>
  <si>
    <t>400T</t>
  </si>
  <si>
    <t>EU GOOSE 8020</t>
  </si>
  <si>
    <t>100G</t>
    <phoneticPr fontId="3" type="noConversion"/>
  </si>
  <si>
    <t>중량</t>
  </si>
  <si>
    <t>중량패딩</t>
  </si>
  <si>
    <t>크롭</t>
  </si>
  <si>
    <t>BKS</t>
  </si>
  <si>
    <t>CRS</t>
  </si>
  <si>
    <t>DWDJ92046</t>
  </si>
  <si>
    <t>여성 멜로즈 튜브 구스다운 경량패딩</t>
  </si>
  <si>
    <t>BGS</t>
  </si>
  <si>
    <t>영보</t>
  </si>
  <si>
    <t>PF-23032 (P30D 사각 튜브) 12CM</t>
  </si>
  <si>
    <t>30D</t>
  </si>
  <si>
    <t>135G</t>
  </si>
  <si>
    <t>442T</t>
  </si>
  <si>
    <t>TUBE</t>
  </si>
  <si>
    <t>Ra_LV2</t>
    <phoneticPr fontId="3" type="noConversion"/>
  </si>
  <si>
    <t>GU_LV2</t>
  </si>
  <si>
    <t>2L 구조(튜브)</t>
    <phoneticPr fontId="3" type="noConversion"/>
  </si>
  <si>
    <t>(다운백 없음)</t>
    <phoneticPr fontId="3" type="noConversion"/>
  </si>
  <si>
    <t>150G</t>
  </si>
  <si>
    <t>세미크롭</t>
  </si>
  <si>
    <t>PF-23032 (P30D 사각 튜브) 12CM</t>
    <phoneticPr fontId="3" type="noConversion"/>
  </si>
  <si>
    <t>DWDJ9C046</t>
  </si>
  <si>
    <t>여성 멜로즈 튜브 구스다운 경량 미드패딩</t>
  </si>
  <si>
    <t>184G</t>
  </si>
  <si>
    <t>미드패딩</t>
  </si>
  <si>
    <t>미드</t>
  </si>
  <si>
    <t>WHS</t>
  </si>
  <si>
    <t>KAS</t>
  </si>
  <si>
    <t>DWDJ9D046</t>
  </si>
  <si>
    <t>여성 멜로즈 튜브 구스다운 경량 롱패딩</t>
  </si>
  <si>
    <t>IVD</t>
  </si>
  <si>
    <t>180G</t>
  </si>
  <si>
    <t>롱패딩</t>
  </si>
  <si>
    <t>롱</t>
  </si>
  <si>
    <t>DWDJ9F046</t>
  </si>
  <si>
    <t>여성 올핀 구스다운 경량패딩</t>
  </si>
  <si>
    <t>IVS</t>
  </si>
  <si>
    <t>120G</t>
  </si>
  <si>
    <t>GRL</t>
  </si>
  <si>
    <t>DWDJ9E046</t>
  </si>
  <si>
    <t>여성 베르겐 고어윈드스토퍼 크롭 구스다운 숏패딩</t>
  </si>
  <si>
    <t>COS</t>
  </si>
  <si>
    <t>GORE</t>
  </si>
  <si>
    <t>bnrSPL50NJ 2L</t>
  </si>
  <si>
    <t>50D</t>
  </si>
  <si>
    <t>102G</t>
  </si>
  <si>
    <t>300T</t>
  </si>
  <si>
    <t>2L</t>
  </si>
  <si>
    <t>30mic</t>
  </si>
  <si>
    <t>GORE-TEX</t>
  </si>
  <si>
    <t>Ra_LV2</t>
  </si>
  <si>
    <t>125G</t>
  </si>
  <si>
    <t>헤비</t>
  </si>
  <si>
    <t>크롭패딩</t>
  </si>
  <si>
    <t>슈퍼크롭</t>
  </si>
  <si>
    <t>DWDJ93046</t>
  </si>
  <si>
    <t>여성 올리브 RDS 다운 숏패딩</t>
  </si>
  <si>
    <t>FLOW TEX</t>
  </si>
  <si>
    <t>CJP-336</t>
  </si>
  <si>
    <t>58G</t>
  </si>
  <si>
    <t>322T</t>
  </si>
  <si>
    <t>7mic</t>
  </si>
  <si>
    <t>EU DUCK 8020</t>
  </si>
  <si>
    <t>BRL</t>
  </si>
  <si>
    <t>LDS</t>
  </si>
  <si>
    <t>BKN</t>
  </si>
  <si>
    <t>SPM</t>
  </si>
  <si>
    <t>MC-233 (1)</t>
  </si>
  <si>
    <t>NYLON</t>
  </si>
  <si>
    <t>40D</t>
  </si>
  <si>
    <t>55G</t>
  </si>
  <si>
    <t>279T</t>
  </si>
  <si>
    <t>GU_LV5</t>
    <phoneticPr fontId="3" type="noConversion"/>
  </si>
  <si>
    <t>SPOT</t>
  </si>
  <si>
    <t>BRN</t>
  </si>
  <si>
    <t>C&amp;A</t>
  </si>
  <si>
    <t>CAC-6912 2T</t>
  </si>
  <si>
    <t>290T</t>
  </si>
  <si>
    <t>CIRE</t>
  </si>
  <si>
    <t>Ra_LV1</t>
    <phoneticPr fontId="3" type="noConversion"/>
  </si>
  <si>
    <t>BDS</t>
  </si>
  <si>
    <t>DWDJ97046</t>
  </si>
  <si>
    <t>여성 올리브 크롭 RDS 다운 숏패딩</t>
  </si>
  <si>
    <t>155G</t>
  </si>
  <si>
    <t>BRD</t>
  </si>
  <si>
    <t>PKS</t>
  </si>
  <si>
    <t>DWDJ9G046</t>
  </si>
  <si>
    <t>여성 헤이니(HAYNEY) 다운 숏패딩</t>
  </si>
  <si>
    <t>BGL</t>
  </si>
  <si>
    <t>BOM-JS1001(SB1368SPCA)</t>
  </si>
  <si>
    <t>52G</t>
  </si>
  <si>
    <t>357T</t>
  </si>
  <si>
    <t>26STORY</t>
  </si>
  <si>
    <t>26S-BELLINA-1003</t>
  </si>
  <si>
    <t>160G</t>
  </si>
  <si>
    <t>145G</t>
  </si>
  <si>
    <t>OLN</t>
  </si>
  <si>
    <t>DWDJ94046</t>
  </si>
  <si>
    <t>여성 올리아 RDS 다운 숏패딩</t>
  </si>
  <si>
    <t>MC-233</t>
  </si>
  <si>
    <t>175G</t>
  </si>
  <si>
    <t>CRN</t>
  </si>
  <si>
    <t>PPS</t>
  </si>
  <si>
    <t>SIL</t>
  </si>
  <si>
    <t>LKS</t>
  </si>
  <si>
    <t>DWDJ94046</t>
    <phoneticPr fontId="3" type="noConversion"/>
  </si>
  <si>
    <t>ORN</t>
  </si>
  <si>
    <t>Single L</t>
  </si>
  <si>
    <t>DWDJ9K046</t>
  </si>
  <si>
    <t>CIRE</t>
    <phoneticPr fontId="3" type="noConversion"/>
  </si>
  <si>
    <t>GU_LV4</t>
    <phoneticPr fontId="3" type="noConversion"/>
  </si>
  <si>
    <t>DWDJ95046</t>
  </si>
  <si>
    <t>여성 케이시 다운 숏패딩</t>
  </si>
  <si>
    <t>CJP-117</t>
  </si>
  <si>
    <t>68G</t>
  </si>
  <si>
    <t>241T</t>
  </si>
  <si>
    <t>170G</t>
  </si>
  <si>
    <t>DWDJ96046</t>
  </si>
  <si>
    <t>여성 베니아 구스다운 미드패딩</t>
  </si>
  <si>
    <t>원창</t>
  </si>
  <si>
    <t>CVST19BM0027</t>
  </si>
  <si>
    <t>84G</t>
  </si>
  <si>
    <t>240T</t>
  </si>
  <si>
    <t>20mic</t>
  </si>
  <si>
    <t>200G</t>
  </si>
  <si>
    <t>DWDJ98046</t>
  </si>
  <si>
    <t>여성 켈리 구스다운 미드패딩</t>
  </si>
  <si>
    <t>네오드림</t>
  </si>
  <si>
    <t>NEO-22F231 (10mic)</t>
  </si>
  <si>
    <t>75D</t>
  </si>
  <si>
    <t>95G</t>
  </si>
  <si>
    <t>209T</t>
  </si>
  <si>
    <t>10mic</t>
  </si>
  <si>
    <t>360T</t>
  </si>
  <si>
    <t>OLD</t>
  </si>
  <si>
    <t>DWDJ99046</t>
  </si>
  <si>
    <t>여성 켈리 구스다운 숏패딩</t>
  </si>
  <si>
    <t>DWDJ9A046</t>
  </si>
  <si>
    <t>여성 켈리 구스다운 롱패딩</t>
  </si>
  <si>
    <t>265G</t>
  </si>
  <si>
    <t>GRD</t>
  </si>
  <si>
    <t>여성 켈리 구스다운 롱패딩(무신사단독)</t>
  </si>
  <si>
    <t>KIS</t>
  </si>
  <si>
    <t>MC-2572 FC</t>
  </si>
  <si>
    <t>25D</t>
  </si>
  <si>
    <t>53G</t>
  </si>
  <si>
    <t>444T</t>
  </si>
  <si>
    <t>WR, CIRE</t>
  </si>
  <si>
    <t>DWDJ9B046</t>
  </si>
  <si>
    <t>여성 루이크 코트형 구스다운 롱패딩</t>
  </si>
  <si>
    <t>스케치</t>
  </si>
  <si>
    <t>SK-20-0621-3F(고투습)</t>
  </si>
  <si>
    <t>232T</t>
  </si>
  <si>
    <t>3L</t>
  </si>
  <si>
    <t>BERTEX</t>
  </si>
  <si>
    <t>230G</t>
  </si>
  <si>
    <t>DWDJ9J046</t>
  </si>
  <si>
    <t>여성 베로니 구스다운 롱패딩</t>
  </si>
  <si>
    <t>GRS</t>
  </si>
  <si>
    <t>DMDJ8O046</t>
  </si>
  <si>
    <t>남성 픽토르U (PICTOR) 구스다운 경량패딩</t>
  </si>
  <si>
    <t>CJP-430P-ST</t>
  </si>
  <si>
    <t>398T</t>
  </si>
  <si>
    <t>Ra_LV3</t>
  </si>
  <si>
    <t>90G</t>
  </si>
  <si>
    <t>경량</t>
  </si>
  <si>
    <t>스탠다드</t>
  </si>
  <si>
    <t>TQD</t>
  </si>
  <si>
    <t>SAD</t>
  </si>
  <si>
    <t>DWDJ8P046</t>
  </si>
  <si>
    <t>여성 픽토르U (PICTOR) 구스다운 경량패딩</t>
  </si>
  <si>
    <t>75G</t>
  </si>
  <si>
    <t>DXDJ8Q046</t>
  </si>
  <si>
    <t>NEW 픽토르 뉴퀼팅 (PICTOR) 구스다운 경량패딩</t>
  </si>
  <si>
    <t>KIS-180710-02 SKIN</t>
  </si>
  <si>
    <t>6mic</t>
  </si>
  <si>
    <t>DXDJGE046</t>
  </si>
  <si>
    <t>프리미엄 바시티 (VARSITY) 다운 중경량패딩</t>
  </si>
  <si>
    <t>NEO-C22F238 (N) 10mic</t>
  </si>
  <si>
    <t>NYLON/POLYURETHANE</t>
  </si>
  <si>
    <t>90/10</t>
  </si>
  <si>
    <t>108G</t>
  </si>
  <si>
    <t>310T</t>
  </si>
  <si>
    <t>DMDJ61046</t>
  </si>
  <si>
    <t>남성 레스터G (LEICESTER) RDS 구스다운 숏패딩</t>
  </si>
  <si>
    <t>BGD</t>
  </si>
  <si>
    <t>SK21-B-424</t>
  </si>
  <si>
    <t>97G</t>
  </si>
  <si>
    <t>220T</t>
  </si>
  <si>
    <t>숏패딩</t>
  </si>
  <si>
    <t>MTS</t>
  </si>
  <si>
    <t>DWDJ62046</t>
    <phoneticPr fontId="3" type="noConversion"/>
  </si>
  <si>
    <t>여성 레스터G (LEICESTER) RDS 구스다운 숏패딩</t>
  </si>
  <si>
    <t>225G</t>
    <phoneticPr fontId="3" type="noConversion"/>
  </si>
  <si>
    <t>DWDJ62046</t>
  </si>
  <si>
    <t>DMDJ63046</t>
  </si>
  <si>
    <t>남성 레스터G (LEICESTER) RDS 하이넥 구스다운 숏패딩</t>
  </si>
  <si>
    <t>SK21-B-424 SOFT(10mic)</t>
  </si>
  <si>
    <t>235G</t>
  </si>
  <si>
    <t>DWDJ64046</t>
  </si>
  <si>
    <t>여성 레스터G (LEICESTER) RDS 하이넥 구스다운 숏패딩</t>
  </si>
  <si>
    <t>195G</t>
  </si>
  <si>
    <t>DMDJ67046</t>
  </si>
  <si>
    <t>남성 레스터G (LEICESTER) RDS 구스다운 롱패딩</t>
  </si>
  <si>
    <t>320T</t>
  </si>
  <si>
    <t>365G</t>
  </si>
  <si>
    <t>NYD</t>
  </si>
  <si>
    <t>DWDJ68046</t>
  </si>
  <si>
    <t>여성 레스터G (LEICESTER) RDS 구스다운 롱패딩</t>
  </si>
  <si>
    <t>285G</t>
  </si>
  <si>
    <t>DMDJ71046</t>
  </si>
  <si>
    <t>남성 픽시버G 튜브 구스다운 경량패딩</t>
  </si>
  <si>
    <t>PF-20918 (P30D 평행 튜브) 4.5CM</t>
    <phoneticPr fontId="3" type="noConversion"/>
  </si>
  <si>
    <t>99G</t>
  </si>
  <si>
    <t>경량패딩</t>
  </si>
  <si>
    <t>PF-20918 (P30D 평행 튜브) 4.5CM</t>
  </si>
  <si>
    <t>DWDJ72046</t>
  </si>
  <si>
    <t>여성 픽시버G 튜브 구스다운 경량패딩</t>
  </si>
  <si>
    <t>66G</t>
  </si>
  <si>
    <t>DMDJ73046</t>
  </si>
  <si>
    <t>남성 픽시버G U넥 튜브 구스다운 경량패딩</t>
  </si>
  <si>
    <t>DWDJ74046</t>
  </si>
  <si>
    <t>여성 픽시버G U넥 튜브 구스다운 경량패딩</t>
  </si>
  <si>
    <t>DMDJ77046</t>
  </si>
  <si>
    <t>남성 디하스 U넥 튜브 구스다운 경량패딩</t>
  </si>
  <si>
    <t>PF-20785 (P50D 사각 튜브) 11CM</t>
    <phoneticPr fontId="3" type="noConversion"/>
  </si>
  <si>
    <t>192G</t>
  </si>
  <si>
    <t>376T</t>
  </si>
  <si>
    <t>110G</t>
    <phoneticPr fontId="3" type="noConversion"/>
  </si>
  <si>
    <t>PF-20785 (P50D 사각 튜브) 11CM</t>
  </si>
  <si>
    <t>DWDJ78046</t>
  </si>
  <si>
    <t>여성 디하스 U넥 튜브 구스다운 경량패딩</t>
  </si>
  <si>
    <t>PF-20785 (P50D 사각 튜브) 10CM</t>
  </si>
  <si>
    <t>80G</t>
  </si>
  <si>
    <t>DMDJ79046</t>
  </si>
  <si>
    <t>남성 디하스 튜브 구스다운 경량패딩</t>
  </si>
  <si>
    <t>110G</t>
  </si>
  <si>
    <t>DWDJ80046</t>
  </si>
  <si>
    <t>여성 디하스 튜브 구스다운 경량패딩</t>
  </si>
  <si>
    <t>92G</t>
  </si>
  <si>
    <t>DMDJ81046</t>
  </si>
  <si>
    <t>남성 디하스 카라넥 튜브 구스다운 경량패딩</t>
  </si>
  <si>
    <t>133G</t>
  </si>
  <si>
    <t>DWS</t>
  </si>
  <si>
    <t>DWDJ82046</t>
  </si>
  <si>
    <t>여성 디하스 카라넥 튜브 구스다운 경량패딩</t>
  </si>
  <si>
    <t>106G</t>
  </si>
  <si>
    <t>DMDJ83046</t>
  </si>
  <si>
    <t>남성 티베른 구스다운 경량패딩</t>
  </si>
  <si>
    <t>DWDJ84046</t>
  </si>
  <si>
    <t>여성 티베른 구스다운 경량패딩</t>
  </si>
  <si>
    <t>105G</t>
  </si>
  <si>
    <t>DMDJ85046</t>
  </si>
  <si>
    <t>남성 셰르파 구스다운 경량패딩</t>
  </si>
  <si>
    <t>KIS-180710-02 TPU</t>
  </si>
  <si>
    <t>70D</t>
  </si>
  <si>
    <t>239T</t>
  </si>
  <si>
    <t>8mic</t>
  </si>
  <si>
    <t>130G</t>
  </si>
  <si>
    <t>DMDJ75046</t>
    <phoneticPr fontId="3" type="noConversion"/>
  </si>
  <si>
    <t>남성 올버트 구스다운 경량패딩</t>
  </si>
  <si>
    <t>CJP-1448</t>
  </si>
  <si>
    <t>15D</t>
  </si>
  <si>
    <t>34G</t>
  </si>
  <si>
    <t>482T</t>
  </si>
  <si>
    <t>RIPSTOP</t>
  </si>
  <si>
    <t>GU_LV3</t>
  </si>
  <si>
    <t>2L 구조</t>
    <phoneticPr fontId="3" type="noConversion"/>
  </si>
  <si>
    <t>140G</t>
  </si>
  <si>
    <t>DMDJ75046</t>
  </si>
  <si>
    <t>OLS</t>
  </si>
  <si>
    <t>DWDJ76046</t>
  </si>
  <si>
    <t>여성 올버트 구스다운 경량패딩</t>
  </si>
  <si>
    <t>DMDJ87046</t>
  </si>
  <si>
    <t>남성 샌드루 구스다운 경량패딩</t>
  </si>
  <si>
    <t>SK-23-0628-5BT</t>
  </si>
  <si>
    <t>54G</t>
  </si>
  <si>
    <t>370T</t>
  </si>
  <si>
    <t>GU_LV2</t>
    <phoneticPr fontId="3" type="noConversion"/>
  </si>
  <si>
    <t>DMDJ7E046</t>
  </si>
  <si>
    <t>남성 고쉬 구스다운 롱패딩</t>
  </si>
  <si>
    <t>CJP-077</t>
  </si>
  <si>
    <t>115G</t>
  </si>
  <si>
    <t>219T</t>
  </si>
  <si>
    <t>345G</t>
  </si>
  <si>
    <t>DWDJ7F046</t>
  </si>
  <si>
    <t>여성 고쉬 구스다운 롱패딩</t>
  </si>
  <si>
    <t>280G</t>
  </si>
  <si>
    <t>DMDJ7K046</t>
  </si>
  <si>
    <t>남성 베르겐 고어 윈드스토퍼 구스다운 숏패딩</t>
  </si>
  <si>
    <t>bnSPL75MT 2L</t>
  </si>
  <si>
    <t>122G</t>
  </si>
  <si>
    <t>250G</t>
  </si>
  <si>
    <t>DWDJ7L046</t>
  </si>
  <si>
    <t>여성 베르겐 고어 윈드스토퍼 구스다운 숏패딩</t>
  </si>
  <si>
    <t>190G</t>
  </si>
  <si>
    <t>DMDJ7O046</t>
  </si>
  <si>
    <t>남성 베르겐 고어 윈드스토퍼 구스다운 롱패딩</t>
  </si>
  <si>
    <t>340G</t>
  </si>
  <si>
    <t>DWDJ7P046</t>
  </si>
  <si>
    <t>여성 베르겐 고어 윈드스토퍼 구스다운 롱패딩</t>
  </si>
  <si>
    <t>DMDJ8A046</t>
  </si>
  <si>
    <t>남성 밀포드 구스다운 숏패딩</t>
  </si>
  <si>
    <t>DWDJ8B046</t>
  </si>
  <si>
    <t>여성 밀포드 구스다운 숏패딩</t>
  </si>
  <si>
    <t>DXDJ8C046</t>
  </si>
  <si>
    <t>반슬리 RDS 고프코어 다운</t>
  </si>
  <si>
    <t>MC-2572 FC</t>
    <phoneticPr fontId="3" type="noConversion"/>
  </si>
  <si>
    <t>240G</t>
  </si>
  <si>
    <t>스탠다드</t>
    <phoneticPr fontId="3" type="noConversion"/>
  </si>
  <si>
    <t>BES</t>
  </si>
  <si>
    <t>GRN</t>
  </si>
  <si>
    <t>BKP</t>
  </si>
  <si>
    <t>GRP</t>
  </si>
  <si>
    <t>DXDJ8G046</t>
  </si>
  <si>
    <t>MOVE</t>
  </si>
  <si>
    <t>DC.1021</t>
  </si>
  <si>
    <t>39G</t>
  </si>
  <si>
    <t>DWDJ8D046</t>
  </si>
  <si>
    <t>여성 반슬리 크롭 RDS 고프코어 다운</t>
  </si>
  <si>
    <t>183G</t>
  </si>
  <si>
    <t>DMS</t>
  </si>
  <si>
    <t>여성 반슬리 크롭 RDS 고프코어 다운</t>
    <phoneticPr fontId="3" type="noConversion"/>
  </si>
  <si>
    <t>DWDJ8D046</t>
    <phoneticPr fontId="3" type="noConversion"/>
  </si>
  <si>
    <t>PPN</t>
  </si>
  <si>
    <t>DMDJ8E046</t>
  </si>
  <si>
    <t>남성 반슬리 다운 롱패딩</t>
  </si>
  <si>
    <t>390G</t>
  </si>
  <si>
    <t>DWDJ8F046</t>
  </si>
  <si>
    <t>여성 반슬리 다운 롱패딩</t>
  </si>
  <si>
    <t>300G</t>
  </si>
  <si>
    <t>DMDJ8K046</t>
  </si>
  <si>
    <t>남성 올튼 퍼텍스 퀀텀 RDS 고프코어 다운</t>
  </si>
  <si>
    <t>PERTEX</t>
  </si>
  <si>
    <t>PC1743-DWR</t>
  </si>
  <si>
    <t>36G</t>
  </si>
  <si>
    <t>380T</t>
  </si>
  <si>
    <t>DWR</t>
  </si>
  <si>
    <t>WS-N2F40S (다운안감)</t>
  </si>
  <si>
    <t>DTS</t>
  </si>
  <si>
    <t>DWDJ8L046</t>
  </si>
  <si>
    <t>여성 올튼 퍼텍스 퀀텀 RDS 고프코어 다운</t>
  </si>
  <si>
    <t>210G</t>
  </si>
  <si>
    <t>DMDJ8i046</t>
  </si>
  <si>
    <t>남성 올튼 립스탑 RDS 고프코어 다운</t>
  </si>
  <si>
    <t>DMDJ8M046</t>
  </si>
  <si>
    <t>남성 밀포드 구스다운 미드패딩</t>
  </si>
  <si>
    <t>315G</t>
  </si>
  <si>
    <t>DMDJ6A046</t>
  </si>
  <si>
    <t>남성 베른 고프코어 구스다운</t>
    <phoneticPr fontId="3" type="noConversion"/>
  </si>
  <si>
    <t>MC-2572 HC</t>
  </si>
  <si>
    <t>GU_LV3</t>
    <phoneticPr fontId="3" type="noConversion"/>
  </si>
  <si>
    <t>287G</t>
  </si>
  <si>
    <t>DMDJ6C046</t>
  </si>
  <si>
    <t>남성 베른 구스다운 롱패딩</t>
  </si>
  <si>
    <t>370G</t>
  </si>
  <si>
    <t>남성 베른 구스다운 숏패딩</t>
  </si>
  <si>
    <t>CAD</t>
  </si>
  <si>
    <t>DMDJ6E046</t>
  </si>
  <si>
    <t>남성 알펜 구스다운 숏패딩</t>
  </si>
  <si>
    <t>DGS</t>
  </si>
  <si>
    <t>KMI</t>
  </si>
  <si>
    <t>KMI-6084</t>
  </si>
  <si>
    <t>111G</t>
  </si>
  <si>
    <t>327T</t>
  </si>
  <si>
    <t>DOBBY</t>
  </si>
  <si>
    <t>Ra_LV3</t>
    <phoneticPr fontId="3" type="noConversion"/>
  </si>
  <si>
    <t>260G</t>
  </si>
  <si>
    <t>DMDJG1046</t>
  </si>
  <si>
    <t>남성 루이스 구스다운 경량패딩</t>
  </si>
  <si>
    <t>DWDJG2046</t>
  </si>
  <si>
    <t>여성 루이스 구스다운 경량패딩</t>
  </si>
  <si>
    <t>96G</t>
  </si>
  <si>
    <t>DWDV91046</t>
  </si>
  <si>
    <t>여성 올리브 크롭 다운 패딩베스트</t>
  </si>
  <si>
    <t>패딩베스트</t>
  </si>
  <si>
    <t>DMDV71046</t>
  </si>
  <si>
    <t>남성 픽시버G 튜브 구스다운 패딩베스트</t>
  </si>
  <si>
    <t>DWDV72046</t>
  </si>
  <si>
    <t>여성 픽시버G 튜브 구스다운 패딩베스트</t>
  </si>
  <si>
    <t>31G</t>
  </si>
  <si>
    <t>DMDV73046</t>
  </si>
  <si>
    <t>남성 디하스 튜브 구스다운 패딩베스트</t>
  </si>
  <si>
    <t>63G</t>
  </si>
  <si>
    <t>DWDV74046</t>
  </si>
  <si>
    <t>여성 디하스 튜브 구스다운 패딩베스트</t>
  </si>
  <si>
    <t>49G</t>
  </si>
  <si>
    <t>DXDV75046</t>
  </si>
  <si>
    <t>반슬리 다운 패딩베스트</t>
  </si>
  <si>
    <t>DXDV77046</t>
  </si>
  <si>
    <t>글렌 퍼텍스 퀀텀 다운 패딩베스트</t>
  </si>
  <si>
    <t>PRP511-NFC</t>
  </si>
  <si>
    <t>72G</t>
  </si>
  <si>
    <t>295T</t>
  </si>
  <si>
    <t>172G</t>
  </si>
  <si>
    <t>2025FW 다운</t>
    <phoneticPr fontId="3" type="noConversion"/>
  </si>
  <si>
    <t>CN 이관 제외</t>
    <phoneticPr fontId="3" type="noConversion"/>
  </si>
  <si>
    <t>마감 판매수량</t>
    <phoneticPr fontId="3" type="noConversion"/>
  </si>
  <si>
    <t>마감 판매금액</t>
    <phoneticPr fontId="3" type="noConversion"/>
  </si>
  <si>
    <t>마감 판매율</t>
    <phoneticPr fontId="3" type="noConversion"/>
  </si>
  <si>
    <t>DWDJ9M056</t>
  </si>
  <si>
    <t>여성 올버트 뉴퀼팅 구스다운 경량패딩</t>
  </si>
  <si>
    <t>BOMTEX</t>
  </si>
  <si>
    <t>BOM-SB4129CC</t>
  </si>
  <si>
    <t>10D</t>
  </si>
  <si>
    <t>28G</t>
  </si>
  <si>
    <t>470T</t>
  </si>
  <si>
    <t>DWDJ9E056</t>
  </si>
  <si>
    <t>여성 베르겐 퍼텍스 퀀텀 구스다운 크롭 숏패딩</t>
  </si>
  <si>
    <t>PRP510-NFC</t>
  </si>
  <si>
    <t>POLYESTER</t>
  </si>
  <si>
    <t>74G</t>
  </si>
  <si>
    <t>DWDJ9K056</t>
  </si>
  <si>
    <t>여성 밀포드 베르텍스 구스다운 미드패딩</t>
  </si>
  <si>
    <t>SK-24-0528-9</t>
  </si>
  <si>
    <t>124G</t>
  </si>
  <si>
    <t>362T</t>
  </si>
  <si>
    <t>DWDJ9B056</t>
  </si>
  <si>
    <t>여성 밀포드 베르텍스 벨티드 구스다운 롱패딩</t>
  </si>
  <si>
    <t>SK-24-0728-3F</t>
  </si>
  <si>
    <t>137G</t>
  </si>
  <si>
    <t>208T</t>
  </si>
  <si>
    <t>DWDJ9F056</t>
  </si>
  <si>
    <t>여성 올핀 다운 경량패딩</t>
  </si>
  <si>
    <t>CAS</t>
  </si>
  <si>
    <t>BOM-SB4336WPUA</t>
  </si>
  <si>
    <t>388T</t>
  </si>
  <si>
    <t>127G</t>
  </si>
  <si>
    <t>DWDJ92056</t>
  </si>
  <si>
    <t>여성 멜로즈 튜브 다운 경량패딩</t>
  </si>
  <si>
    <t>PF-23032-12 (P30D 사각 튜브) 12CM</t>
  </si>
  <si>
    <t>(다운백 없음)</t>
  </si>
  <si>
    <t>DWDJ9H056</t>
    <phoneticPr fontId="3" type="noConversion"/>
  </si>
  <si>
    <t>여성 멜로즈 다운 미드패딩</t>
  </si>
  <si>
    <t>TOPTEX</t>
  </si>
  <si>
    <t>TN00-2079</t>
  </si>
  <si>
    <t>DWDJ9H056</t>
  </si>
  <si>
    <t>DWDJ9I056</t>
  </si>
  <si>
    <t>여성 멜로즈 튜브 다운 롱패딩</t>
  </si>
  <si>
    <t>206G</t>
  </si>
  <si>
    <t>DWDJ93056</t>
  </si>
  <si>
    <t>여성 올리브 글로우 다운 숏패딩</t>
  </si>
  <si>
    <t>SK20-0303-4SKIN</t>
  </si>
  <si>
    <t>81G</t>
  </si>
  <si>
    <t>338T</t>
  </si>
  <si>
    <t>DWR,CIRE</t>
  </si>
  <si>
    <t>FLOWTEX</t>
  </si>
  <si>
    <t>PPD</t>
  </si>
  <si>
    <t>PKL</t>
  </si>
  <si>
    <t>DWDJ94056</t>
  </si>
  <si>
    <t>여성 올리아 글로우 다운 숏패딩</t>
  </si>
  <si>
    <t>LWS</t>
  </si>
  <si>
    <t>BLN</t>
  </si>
  <si>
    <t>WR,CIRE</t>
  </si>
  <si>
    <t>GU_LV5</t>
  </si>
  <si>
    <t>DWDJ97056</t>
  </si>
  <si>
    <t>여성 뉴 올리아 글로우 다운 숏패딩</t>
  </si>
  <si>
    <t>POLYURETHANE</t>
  </si>
  <si>
    <t>BKT</t>
  </si>
  <si>
    <t>BKW-WMS-028</t>
  </si>
  <si>
    <t>77G</t>
  </si>
  <si>
    <t>Ra_LV4</t>
  </si>
  <si>
    <t>DWDJ95056</t>
  </si>
  <si>
    <t>여성 올리브 크롭 글로우 다운 숏패딩</t>
  </si>
  <si>
    <t>DWDJ9G056</t>
  </si>
  <si>
    <t>여성 헤이니 글로우 다운 숏패딩</t>
  </si>
  <si>
    <t>TP00-0343-OPP</t>
  </si>
  <si>
    <t>TQN</t>
  </si>
  <si>
    <t>DWDJ9G056</t>
    <phoneticPr fontId="3" type="noConversion"/>
  </si>
  <si>
    <t>BOM-Y7242</t>
  </si>
  <si>
    <t>50G</t>
  </si>
  <si>
    <t>424T</t>
  </si>
  <si>
    <t>KAL</t>
  </si>
  <si>
    <t>DWDJ96056</t>
  </si>
  <si>
    <t>185G</t>
  </si>
  <si>
    <t>DWDJ99056</t>
  </si>
  <si>
    <t>203T</t>
  </si>
  <si>
    <t>DWDJ98056</t>
  </si>
  <si>
    <t>207G</t>
  </si>
  <si>
    <t>WID</t>
  </si>
  <si>
    <t>DWDJ9A056</t>
  </si>
  <si>
    <t>NEO-22F231 (10mic)</t>
    <phoneticPr fontId="3" type="noConversion"/>
  </si>
  <si>
    <t>242G</t>
  </si>
  <si>
    <t>DWDJ9P056</t>
  </si>
  <si>
    <t>여성 아웃포켓 다운 크롭 숏패딩</t>
  </si>
  <si>
    <t>MD글로벌</t>
  </si>
  <si>
    <t>MDAC-71375</t>
  </si>
  <si>
    <t>330T</t>
  </si>
  <si>
    <t>DMDJ75056</t>
  </si>
  <si>
    <t>ORL</t>
  </si>
  <si>
    <t>DWDJ76056</t>
  </si>
  <si>
    <t>100G</t>
  </si>
  <si>
    <t>DMDJ7I056</t>
  </si>
  <si>
    <t>남성 올버트 후드 구스다운 경량패딩</t>
  </si>
  <si>
    <t>153G</t>
  </si>
  <si>
    <t>DKS</t>
  </si>
  <si>
    <t>DWDJ7J056</t>
  </si>
  <si>
    <t>여성 올버트 후드 구스다운 경량패딩</t>
  </si>
  <si>
    <t>LOS</t>
  </si>
  <si>
    <t>DMDJ7M056</t>
  </si>
  <si>
    <t>남성 올버트 뉴퀼팅 구스다운 경량패딩</t>
  </si>
  <si>
    <t>KAD</t>
  </si>
  <si>
    <t>DMDJ7G056</t>
  </si>
  <si>
    <t>남성 올버트 구스다운 숏패딩</t>
  </si>
  <si>
    <t>DWDJ7H056</t>
  </si>
  <si>
    <t>여성 올버트 구스다운 숏패딩</t>
  </si>
  <si>
    <t>225G</t>
  </si>
  <si>
    <t>DMDJ7S056</t>
    <phoneticPr fontId="3" type="noConversion"/>
  </si>
  <si>
    <t>남성 올버트 퍼텍스 퀀텀 구스다운 미드패딩</t>
  </si>
  <si>
    <t xml:space="preserve">PCR2503-DWR </t>
  </si>
  <si>
    <t>38G</t>
  </si>
  <si>
    <t>392T</t>
  </si>
  <si>
    <t>400G</t>
  </si>
  <si>
    <t>DMDJ7S056</t>
  </si>
  <si>
    <t>DMDJ7A056</t>
  </si>
  <si>
    <t>남성 베르겐 고어 윈드스토퍼 구스다운 경량패딩</t>
  </si>
  <si>
    <t>CBD</t>
  </si>
  <si>
    <t>bnrSPL75ES-PX 2L</t>
  </si>
  <si>
    <t>DWDJ7B056</t>
  </si>
  <si>
    <t>여성 베르겐 고어 윈드스토퍼 구스다운 경량패딩</t>
  </si>
  <si>
    <t>ORS</t>
  </si>
  <si>
    <t>OLL</t>
  </si>
  <si>
    <t>DMDJ7K056</t>
  </si>
  <si>
    <t>DMDJ7U056</t>
  </si>
  <si>
    <t>남성 베르겐 베르텍스 구스다운 롱패딩</t>
  </si>
  <si>
    <t>DWDJ7V056</t>
  </si>
  <si>
    <t>여성 베르겐 베르텍스 구스다운 롱패딩</t>
  </si>
  <si>
    <t>224G</t>
  </si>
  <si>
    <t>DXDJ8G056</t>
  </si>
  <si>
    <t>유니 반슬리 리버서블 다운 숏패딩</t>
  </si>
  <si>
    <t>DMDJ8M056</t>
  </si>
  <si>
    <t>남성 밀포드 베르텍스 구스다운 미드패딩</t>
  </si>
  <si>
    <t>SK-24-0528-9</t>
    <phoneticPr fontId="3" type="noConversion"/>
  </si>
  <si>
    <t>RDS</t>
  </si>
  <si>
    <t>DMDJ7O056</t>
  </si>
  <si>
    <t>남성 밀포드 베르텍스 구스다운 롱패딩</t>
  </si>
  <si>
    <t>DMDJ8Q056</t>
  </si>
  <si>
    <t>남성 마운틴쿡 베르텍스 구스다운 미드패딩</t>
  </si>
  <si>
    <t>320G</t>
  </si>
  <si>
    <t>MSD</t>
  </si>
  <si>
    <t>DMDJ71056</t>
  </si>
  <si>
    <t>남성 픽시버G 튜브 하이넥 다운 경량패딩</t>
  </si>
  <si>
    <t>PF-20918S-45 (P30D 평행 튜브) 4.5CM</t>
  </si>
  <si>
    <t>126G</t>
  </si>
  <si>
    <t>DWDJ72056</t>
  </si>
  <si>
    <t>여성 픽시버G 튜브 하이넥 다운 경량패딩</t>
  </si>
  <si>
    <t>DMDJ73056</t>
  </si>
  <si>
    <t>남성 디하스 U넥 튜브 다운 경량패딩</t>
  </si>
  <si>
    <t>PF-23032-11 (P30D 사각 튜브) 11CM</t>
  </si>
  <si>
    <t>DWDJ74056</t>
  </si>
  <si>
    <t>여성 디하스 U넥 튜브 다운 경량패딩</t>
  </si>
  <si>
    <t>PF-23032-10 (P30D 사각 튜브) 10CM</t>
  </si>
  <si>
    <t>DMDJ79056</t>
  </si>
  <si>
    <t>남성 디하스 튜브 다운 경량패딩</t>
  </si>
  <si>
    <t>DMDJ79056</t>
    <phoneticPr fontId="3" type="noConversion"/>
  </si>
  <si>
    <t>TN00-2095-1 (11*11 사각TUBE/TN00-2004-1 일반사ver)</t>
  </si>
  <si>
    <t>448T</t>
  </si>
  <si>
    <t>Ra_LV4</t>
    <phoneticPr fontId="3" type="noConversion"/>
  </si>
  <si>
    <t>BKL</t>
  </si>
  <si>
    <t>DWDJ80056</t>
  </si>
  <si>
    <t>여성 디하스 튜브 다운 경량패딩</t>
  </si>
  <si>
    <t>DMDJ81056</t>
  </si>
  <si>
    <t>남성 디하스 카라넥 다운 경량패딩</t>
  </si>
  <si>
    <t>DWDJ82056</t>
  </si>
  <si>
    <t>여성 디하스 카라넥 다운 경량패딩</t>
  </si>
  <si>
    <t>DMDJ8A056</t>
  </si>
  <si>
    <t>남성 디하스 카라넥 튜브 다운 미드패딩</t>
  </si>
  <si>
    <t>미드</t>
    <phoneticPr fontId="3" type="noConversion"/>
  </si>
  <si>
    <t>DMDJ83056</t>
  </si>
  <si>
    <t>남성 티베른 튜브 구스다운 경량패딩</t>
  </si>
  <si>
    <t>PF-24028M (지그재그 9.5*9.5)</t>
  </si>
  <si>
    <t>BDD</t>
  </si>
  <si>
    <t>DWDJ84056</t>
  </si>
  <si>
    <t>여성 티베른 튜브 구스다운 경량패딩</t>
  </si>
  <si>
    <t>PF-24028W (지그재그 튜브 9 * 9)</t>
  </si>
  <si>
    <t>DMDJ8O056</t>
  </si>
  <si>
    <t>남성 픽토르U 구스다운 경량패딩</t>
  </si>
  <si>
    <t>3L 구조</t>
    <phoneticPr fontId="3" type="noConversion"/>
  </si>
  <si>
    <t>DWDJ8P056</t>
    <phoneticPr fontId="3" type="noConversion"/>
  </si>
  <si>
    <t>여성 픽토르U 구스다운 경량패딩</t>
  </si>
  <si>
    <t>DWDJ8P056</t>
  </si>
  <si>
    <t>DMDJ61056</t>
  </si>
  <si>
    <t>남성 레스터G 구스다운 숏패딩</t>
  </si>
  <si>
    <t>15mic</t>
    <phoneticPr fontId="3" type="noConversion"/>
  </si>
  <si>
    <t>275G</t>
  </si>
  <si>
    <t>IND</t>
  </si>
  <si>
    <t>DWDJ62056</t>
  </si>
  <si>
    <t>여성 레스터G 구스다운 숏패딩</t>
  </si>
  <si>
    <t>222G</t>
  </si>
  <si>
    <t>DMDJ63056</t>
  </si>
  <si>
    <t>남성 레스터G 하이넥 구스다운 숏패딩</t>
  </si>
  <si>
    <t>DWDJ64056</t>
  </si>
  <si>
    <t>여성 레스터G 하이넥 구스다운 숏패딩</t>
  </si>
  <si>
    <t>DMDJ67056</t>
  </si>
  <si>
    <t>남성 레스터G 구스다운 롱패딩</t>
  </si>
  <si>
    <t>15mic</t>
  </si>
  <si>
    <t>375G</t>
  </si>
  <si>
    <t>DWDJ68056</t>
  </si>
  <si>
    <t>여성 레스터G 구스다운 롱패딩</t>
  </si>
  <si>
    <t>290G</t>
  </si>
  <si>
    <t>DXDJ8C056</t>
  </si>
  <si>
    <t>유니 반슬리 다운 숏패딩</t>
  </si>
  <si>
    <t>DGN</t>
  </si>
  <si>
    <t>TP-0019-TP</t>
  </si>
  <si>
    <t>DWDJ8D056</t>
  </si>
  <si>
    <t>여성 반슬리 다운 크롭 숏패딩</t>
  </si>
  <si>
    <t>DMDJ8E056</t>
  </si>
  <si>
    <t>DWDJ8F056</t>
  </si>
  <si>
    <t>DMDJ6A056</t>
  </si>
  <si>
    <t>DMDJ7E056</t>
  </si>
  <si>
    <t>TP-0376</t>
  </si>
  <si>
    <t>65G</t>
  </si>
  <si>
    <t>314T</t>
  </si>
  <si>
    <t>DWDJ7F056</t>
  </si>
  <si>
    <t>DMDJ53056</t>
  </si>
  <si>
    <t>남성 사각퀼팅 다운 경량패딩</t>
  </si>
  <si>
    <t>TN00-2083-1 (TN00-2004 SOLID COATED))</t>
  </si>
  <si>
    <t>44G</t>
  </si>
  <si>
    <t>420T</t>
  </si>
  <si>
    <t>DWDJ54056</t>
  </si>
  <si>
    <t>여성 사각퀼팅 다운 경량패딩</t>
  </si>
  <si>
    <t>DMDJ51056</t>
  </si>
  <si>
    <t>남성 멀티포켓 다운 경량패딩</t>
  </si>
  <si>
    <t>DXDJ5E056</t>
  </si>
  <si>
    <t>유니 픽토르U 뉴퀼팅 다운 경량패딩</t>
  </si>
  <si>
    <t>20D</t>
    <phoneticPr fontId="3" type="noConversion"/>
  </si>
  <si>
    <t>WR</t>
    <phoneticPr fontId="3" type="noConversion"/>
  </si>
  <si>
    <t>DMDJ55056</t>
  </si>
  <si>
    <t>남성 올튼 하이넥 퍼텍스 퀀텀 다운 숏패딩</t>
  </si>
  <si>
    <t>270G</t>
  </si>
  <si>
    <t>DWDJ56056</t>
  </si>
  <si>
    <t>여성 올튼 하이넥 퍼텍스 퀀텀 다운 숏패딩</t>
  </si>
  <si>
    <t>DMDJ5K056</t>
  </si>
  <si>
    <t>남성 올튼 다운 숏패딩</t>
  </si>
  <si>
    <t>DWDJ5L056</t>
  </si>
  <si>
    <t>여성 올튼 다운 숏패딩</t>
  </si>
  <si>
    <t>DMDJ59056</t>
  </si>
  <si>
    <t>남성 사파리 다운 숏패딩</t>
  </si>
  <si>
    <t>DMDJ5C056</t>
  </si>
  <si>
    <t>남성 사파리 다운 롱패딩</t>
  </si>
  <si>
    <t>DMDJ5O056</t>
  </si>
  <si>
    <t>남성 하이넥 사파리 다운 롱패딩</t>
  </si>
  <si>
    <t>360G</t>
  </si>
  <si>
    <t>DMDV71056</t>
  </si>
  <si>
    <t>남성 픽시버G 튜브 다운 패딩베스트</t>
  </si>
  <si>
    <t>70G</t>
  </si>
  <si>
    <t>DWDV72056</t>
  </si>
  <si>
    <t>여성 픽시버G 튜브 다운 패딩베스트</t>
  </si>
  <si>
    <t>46G</t>
  </si>
  <si>
    <t>DMDV73056</t>
  </si>
  <si>
    <t>남성 디하스 튜브 다운 패딩베스트</t>
  </si>
  <si>
    <t>DWDV74056</t>
  </si>
  <si>
    <t>여성 디하스 튜브 다운 패딩베스트</t>
  </si>
  <si>
    <t>DXDV75056</t>
  </si>
  <si>
    <t>유니 반슬리 다운 패딩베스트</t>
  </si>
  <si>
    <t>DXDV79056</t>
  </si>
  <si>
    <t>유니 글렌 다운 패딩베스트</t>
  </si>
  <si>
    <t>DWDV91056</t>
  </si>
  <si>
    <t>DXDV53056</t>
  </si>
  <si>
    <t>유니 사파리 다운 패딩베스트</t>
  </si>
  <si>
    <t>2026FW 다운</t>
    <phoneticPr fontId="3" type="noConversion"/>
  </si>
  <si>
    <t>▶발주, 판매 정보</t>
    <phoneticPr fontId="3" type="noConversion"/>
  </si>
  <si>
    <t>디자인수</t>
    <phoneticPr fontId="3" type="noConversion"/>
  </si>
  <si>
    <t>소재 조직</t>
    <phoneticPr fontId="3" type="noConversion"/>
  </si>
  <si>
    <t>목표 판매 수량</t>
    <phoneticPr fontId="3" type="noConversion"/>
  </si>
  <si>
    <t>목표 판매 금액</t>
    <phoneticPr fontId="3" type="noConversion"/>
  </si>
  <si>
    <t>목표 판매율</t>
    <phoneticPr fontId="3" type="noConversion"/>
  </si>
  <si>
    <t>디자이너</t>
    <phoneticPr fontId="3" type="noConversion"/>
  </si>
  <si>
    <t>DWDJ9F066</t>
  </si>
  <si>
    <t>MAIN</t>
    <phoneticPr fontId="3" type="noConversion"/>
  </si>
  <si>
    <t>WINTER</t>
    <phoneticPr fontId="3" type="noConversion"/>
  </si>
  <si>
    <t>CAC-CN6811 2T</t>
  </si>
  <si>
    <t>40G</t>
  </si>
  <si>
    <t>엄윤재</t>
  </si>
  <si>
    <t>DWDJ9Q066</t>
  </si>
  <si>
    <t>여성 하이브리드 튜브 구스다운 경량패딩</t>
    <phoneticPr fontId="3" type="noConversion"/>
  </si>
  <si>
    <t>PN-3972S-5</t>
  </si>
  <si>
    <t>POLYESTER/POLYURETHANE</t>
  </si>
  <si>
    <t>30D</t>
    <phoneticPr fontId="3" type="noConversion"/>
  </si>
  <si>
    <t>165G</t>
  </si>
  <si>
    <t>443T</t>
  </si>
  <si>
    <t>우븐</t>
  </si>
  <si>
    <t>60G</t>
  </si>
  <si>
    <t>DWDJ92066</t>
  </si>
  <si>
    <t>DWDJ9H066</t>
  </si>
  <si>
    <t>여성 멜로즈 튜브 다운 미드패딩</t>
  </si>
  <si>
    <t>PF-23032-12C (12CM사각_cire)</t>
  </si>
  <si>
    <t>DWDJ93066</t>
  </si>
  <si>
    <t>여성 올리브 글로우 다운 숏패딩(기본소재)</t>
  </si>
  <si>
    <t>CVST230218C-01</t>
  </si>
  <si>
    <t>DWDJ93166</t>
  </si>
  <si>
    <t>여성 올리브 글로우 다운 숏패딩(유광)</t>
  </si>
  <si>
    <t>플레이트</t>
  </si>
  <si>
    <t>PS-1286</t>
  </si>
  <si>
    <t>DWDJ94066</t>
  </si>
  <si>
    <t>여성 올리아 글로우 다운 숏패딩(기본)</t>
  </si>
  <si>
    <t>DWDJ94166</t>
  </si>
  <si>
    <t>여성 올리아 글로우 다운 숏패딩(유광)</t>
  </si>
  <si>
    <t>DWDJ9R066</t>
  </si>
  <si>
    <t>여성 뉴올리아 글로우 다운 숏패딩(벨벳)</t>
  </si>
  <si>
    <t>26-BELLINA-1003</t>
  </si>
  <si>
    <t>290T</t>
    <phoneticPr fontId="3" type="noConversion"/>
  </si>
  <si>
    <t>DWDJ9R166</t>
  </si>
  <si>
    <t>여성 뉴올리아 글로우 다운 숏패딩(NEW소재)</t>
  </si>
  <si>
    <t>DWDJ9G066</t>
  </si>
  <si>
    <t>여성 헤이니 글로우 다운 숏패딩(기본소재)</t>
  </si>
  <si>
    <t>N2040CT</t>
  </si>
  <si>
    <t>DWDJ9G166</t>
  </si>
  <si>
    <t>여성 헤이니 글로우 다운 숏패딩(벨벳)</t>
  </si>
  <si>
    <t>DWDJ9G266</t>
    <phoneticPr fontId="3" type="noConversion"/>
  </si>
  <si>
    <t>여성 헤이니 글로우 다운 숏패딩(애슬레져)</t>
    <phoneticPr fontId="3" type="noConversion"/>
  </si>
  <si>
    <t>10D</t>
    <phoneticPr fontId="3" type="noConversion"/>
  </si>
  <si>
    <t>29G</t>
  </si>
  <si>
    <t>505T</t>
  </si>
  <si>
    <t>RIPSTOP</t>
    <phoneticPr fontId="3" type="noConversion"/>
  </si>
  <si>
    <t>DWDJ91066</t>
  </si>
  <si>
    <t>여성 카라형 다운 숏패딩</t>
  </si>
  <si>
    <t>CAC-KM0023</t>
  </si>
  <si>
    <t>POLYURETHANE</t>
    <phoneticPr fontId="3" type="noConversion"/>
  </si>
  <si>
    <t>DWDJ9S066</t>
  </si>
  <si>
    <t>여성 애슬레져 다운 숏패딩 (코듀로이)</t>
  </si>
  <si>
    <t>BKW-WMS-603</t>
  </si>
  <si>
    <t>95/5</t>
  </si>
  <si>
    <t>50D</t>
    <phoneticPr fontId="3" type="noConversion"/>
  </si>
  <si>
    <t>(니트소재 밀도 없음)</t>
    <phoneticPr fontId="3" type="noConversion"/>
  </si>
  <si>
    <t>니트</t>
    <phoneticPr fontId="3" type="noConversion"/>
  </si>
  <si>
    <t>CODUROY</t>
  </si>
  <si>
    <t>Ra_LV5</t>
    <phoneticPr fontId="3" type="noConversion"/>
  </si>
  <si>
    <t>DWDJ9S166</t>
  </si>
  <si>
    <t>여성 애슬레져 다운 숏패딩 (플리스)</t>
  </si>
  <si>
    <t>KOA</t>
    <phoneticPr fontId="3" type="noConversion"/>
  </si>
  <si>
    <t>KA2508-01C</t>
  </si>
  <si>
    <t>POLYESTER</t>
    <phoneticPr fontId="3" type="noConversion"/>
  </si>
  <si>
    <t>75D</t>
    <phoneticPr fontId="3" type="noConversion"/>
  </si>
  <si>
    <t>BOA</t>
  </si>
  <si>
    <t>DWDJ96066</t>
  </si>
  <si>
    <t>여성 베니아 구스다운 미드패딩(기본소재)</t>
  </si>
  <si>
    <t>DWDJ96166</t>
  </si>
  <si>
    <t>여성 베니아 구스다운 미드패딩(더블립스탑)</t>
    <phoneticPr fontId="3" type="noConversion"/>
  </si>
  <si>
    <t>ACNE_DT 15</t>
  </si>
  <si>
    <t>441T</t>
  </si>
  <si>
    <t>DWDJ99066</t>
  </si>
  <si>
    <t>NEO-226F128</t>
  </si>
  <si>
    <t>DWDJ98066</t>
  </si>
  <si>
    <t>DWDJ9A066</t>
  </si>
  <si>
    <t>여성 켈리 구스다운 롱패딩 (기본)</t>
  </si>
  <si>
    <t>DWDJ9A166</t>
  </si>
  <si>
    <t>여성 켈리 구스다운 롱패딩(유광)</t>
  </si>
  <si>
    <t>DMPD75066</t>
  </si>
  <si>
    <t>남성 올버트 후드 사각퀼팅 경량 볼패딩</t>
  </si>
  <si>
    <t>신한</t>
  </si>
  <si>
    <t>SH-FP1440 DC</t>
  </si>
  <si>
    <t>477T</t>
  </si>
  <si>
    <t>SynCloud Ball Insulation</t>
  </si>
  <si>
    <t>허석민</t>
  </si>
  <si>
    <t>DWPD76066</t>
  </si>
  <si>
    <t>여성 올버트 후드 사각퀼팅 경량 볼패딩</t>
  </si>
  <si>
    <t>DMDJ7i066</t>
  </si>
  <si>
    <t>남성 올버트 후드 다운 경량패딩</t>
    <phoneticPr fontId="3" type="noConversion"/>
  </si>
  <si>
    <t>GD-210C</t>
  </si>
  <si>
    <t>26G</t>
  </si>
  <si>
    <t>EU DUCK 9010</t>
    <phoneticPr fontId="3" type="noConversion"/>
  </si>
  <si>
    <t>DWDJ7J066</t>
  </si>
  <si>
    <t>여성 올버트 후드 다운 경량패딩</t>
    <phoneticPr fontId="3" type="noConversion"/>
  </si>
  <si>
    <t>85G</t>
  </si>
  <si>
    <t>DMDJ7M066</t>
  </si>
  <si>
    <t>SL-1417CT</t>
  </si>
  <si>
    <t>491T</t>
  </si>
  <si>
    <t>DWDJ9M066</t>
  </si>
  <si>
    <t>DMDJ7G066</t>
  </si>
  <si>
    <t>남성 올버트 구스다운 숏패딩 (퍼텍스)</t>
  </si>
  <si>
    <t>PRD812-NFC</t>
  </si>
  <si>
    <t>EU GOOSE 9010</t>
  </si>
  <si>
    <t>DWDJ7H066</t>
  </si>
  <si>
    <t>여성 올버트 구스다운 숏패딩 (퍼텍스)</t>
  </si>
  <si>
    <t>DWDJ9J066</t>
  </si>
  <si>
    <t>여성 올버트 다운 크롭 숏패딩</t>
    <phoneticPr fontId="3" type="noConversion"/>
  </si>
  <si>
    <t>DMDJ7U066</t>
  </si>
  <si>
    <t>남성 NEW 리조트 사파리 구스다운 미드패딩</t>
  </si>
  <si>
    <t>GL-151C</t>
  </si>
  <si>
    <t>NYLON/POLYURETHANE</t>
    <phoneticPr fontId="3" type="noConversion"/>
  </si>
  <si>
    <t>88/12</t>
    <phoneticPr fontId="3" type="noConversion"/>
  </si>
  <si>
    <t>70D</t>
    <phoneticPr fontId="3" type="noConversion"/>
  </si>
  <si>
    <t>172G</t>
    <phoneticPr fontId="3" type="noConversion"/>
  </si>
  <si>
    <t>305T</t>
    <phoneticPr fontId="3" type="noConversion"/>
  </si>
  <si>
    <t>2L</t>
    <phoneticPr fontId="3" type="noConversion"/>
  </si>
  <si>
    <t>TWILL</t>
    <phoneticPr fontId="3" type="noConversion"/>
  </si>
  <si>
    <t>DMDJ7K066</t>
  </si>
  <si>
    <t xml:space="preserve">BNRSPL75ES-PX 2L </t>
  </si>
  <si>
    <t>GORE-TEX</t>
    <phoneticPr fontId="3" type="noConversion"/>
  </si>
  <si>
    <t>220G</t>
  </si>
  <si>
    <t>DMDJ7O066</t>
  </si>
  <si>
    <t>TFCT-9039 (3K/3K 2L)</t>
  </si>
  <si>
    <t>210T</t>
  </si>
  <si>
    <t>DWDJ9K066</t>
  </si>
  <si>
    <t>MV-2083 3L</t>
  </si>
  <si>
    <t>413T</t>
  </si>
  <si>
    <t>DWDJ9B066</t>
  </si>
  <si>
    <t>DMDJ71066</t>
  </si>
  <si>
    <t>남성 픽시버G 튜브 다운 경량패딩</t>
  </si>
  <si>
    <t>김병희</t>
  </si>
  <si>
    <t>DWDJ72066</t>
  </si>
  <si>
    <t>여성 픽시버G 튜브 다운 경량패딩</t>
  </si>
  <si>
    <t>DMDJ73066</t>
  </si>
  <si>
    <t>DWDJ74066</t>
  </si>
  <si>
    <t>87G</t>
  </si>
  <si>
    <t>DMDJ79066</t>
  </si>
  <si>
    <t>DWDJ80066</t>
  </si>
  <si>
    <t>DMDJ81066</t>
  </si>
  <si>
    <t>남성 디하스 하이넥 튜브 다운 경량패딩</t>
    <phoneticPr fontId="3" type="noConversion"/>
  </si>
  <si>
    <t>DWDJ82066</t>
  </si>
  <si>
    <t>여성 디하스 하이넥 튜브 다운 경량패딩</t>
    <phoneticPr fontId="3" type="noConversion"/>
  </si>
  <si>
    <t>DMDJ83066</t>
  </si>
  <si>
    <t>DWDJ84066</t>
  </si>
  <si>
    <t>DWDJ86066</t>
  </si>
  <si>
    <t>여성 티베른 하이넥 튜브 구스다운 경량패딩</t>
  </si>
  <si>
    <t>DMDJ83166</t>
  </si>
  <si>
    <t>DJ831</t>
  </si>
  <si>
    <t>남성 티베른 구스다운 경량패딩 (벨벳)</t>
  </si>
  <si>
    <t>덕성</t>
    <phoneticPr fontId="3" type="noConversion"/>
  </si>
  <si>
    <t>SOLID PU-1002</t>
  </si>
  <si>
    <t>RA_LV3</t>
  </si>
  <si>
    <t>DWDJ84166</t>
  </si>
  <si>
    <t>DJ841</t>
  </si>
  <si>
    <t>여성 티베른 구스다운 경량패딩 (벨벳)</t>
  </si>
  <si>
    <t>DMDJ8O066</t>
  </si>
  <si>
    <t>DWDJ8P066</t>
  </si>
  <si>
    <t>DMDJ61066</t>
  </si>
  <si>
    <t>남성 레스터G 구스다운 숏패딩 (기본)</t>
  </si>
  <si>
    <t>D1417-34C20</t>
    <phoneticPr fontId="3" type="noConversion"/>
  </si>
  <si>
    <t>218T</t>
  </si>
  <si>
    <t>360T</t>
    <phoneticPr fontId="3" type="noConversion"/>
  </si>
  <si>
    <t>DMDJ61166</t>
  </si>
  <si>
    <t>남성 레스터G 구스다운 숏패딩 (벨벳)</t>
  </si>
  <si>
    <t>400T</t>
    <phoneticPr fontId="3" type="noConversion"/>
  </si>
  <si>
    <t>DWDJ62066</t>
  </si>
  <si>
    <t>여성 레스터G 구스다운 숏패딩 (기본)</t>
  </si>
  <si>
    <t>D1417-34C20</t>
  </si>
  <si>
    <t>215G</t>
  </si>
  <si>
    <t>DWDJ62166</t>
  </si>
  <si>
    <t>여성 레스터G 구스다운 숏패딩 (벨벳)</t>
  </si>
  <si>
    <t>DMDJ63066</t>
  </si>
  <si>
    <t>232G</t>
  </si>
  <si>
    <t>DWDJ64066</t>
  </si>
  <si>
    <t>182G</t>
  </si>
  <si>
    <t>DMDJ67066</t>
  </si>
  <si>
    <t>355G</t>
  </si>
  <si>
    <t>DWDJ68066</t>
  </si>
  <si>
    <t>DXDJ8C066</t>
  </si>
  <si>
    <t>유니 반슬리 다운 숏패딩 (기본)</t>
  </si>
  <si>
    <t>KP-4039</t>
  </si>
  <si>
    <t>DXDJ8C166</t>
  </si>
  <si>
    <t>유니 반슬리 다운 숏패딩 (유광)</t>
  </si>
  <si>
    <t>DWDJ8D066</t>
  </si>
  <si>
    <t>여성 반슬리 다운 크롭 숏패딩 (기본)</t>
  </si>
  <si>
    <t>DWDJ8D166</t>
  </si>
  <si>
    <t>여성 반슬리 다운 크롭 숏패딩 (유광)</t>
  </si>
  <si>
    <t>DXDJ8i066</t>
  </si>
  <si>
    <t>유니 반슬리 후드 다운 숏패딩 (유광)</t>
  </si>
  <si>
    <t>DMDJ8E066</t>
  </si>
  <si>
    <t>DWDJ8F066</t>
  </si>
  <si>
    <t>DMDJ6A066</t>
  </si>
  <si>
    <t>남성 베른 구스다운 숏패딩 (기본)</t>
  </si>
  <si>
    <t>TP00-0343</t>
  </si>
  <si>
    <t>DMDJ6A166</t>
  </si>
  <si>
    <t>남성 베른 구스다운 숏패딩 (소재MIX)</t>
  </si>
  <si>
    <t>DXDJ6C066</t>
  </si>
  <si>
    <t>유니 베른 구스다운 롱패딩</t>
  </si>
  <si>
    <t>380G</t>
  </si>
  <si>
    <t>DMDJ55066</t>
  </si>
  <si>
    <t>남성 리조트 구스다운 숏패딩</t>
    <phoneticPr fontId="3" type="noConversion"/>
  </si>
  <si>
    <t>DMDJ6E066</t>
  </si>
  <si>
    <t>남성 소재MIX 구스다운 경량패딩</t>
  </si>
  <si>
    <t>DMDJ6i066</t>
  </si>
  <si>
    <t>남성 소프트 플리스 다운 숏패딩</t>
  </si>
  <si>
    <t>라임</t>
  </si>
  <si>
    <t>LS-7243</t>
  </si>
  <si>
    <t>DMDJ6K066</t>
  </si>
  <si>
    <t>남성 씬세틱 코듀로이 구스다운 숏패딩</t>
  </si>
  <si>
    <t>BKW-WMS-421</t>
  </si>
  <si>
    <t>392G</t>
  </si>
  <si>
    <t>DMDJ6M066</t>
    <phoneticPr fontId="3" type="noConversion"/>
  </si>
  <si>
    <t>남성 웰니스 다운 숏패딩(세미매트)</t>
    <phoneticPr fontId="3" type="noConversion"/>
  </si>
  <si>
    <t>211G</t>
  </si>
  <si>
    <t>DMDJ6M166</t>
    <phoneticPr fontId="3" type="noConversion"/>
  </si>
  <si>
    <t>남성 웰니스 다운 숏패딩(글로시)</t>
    <phoneticPr fontId="3" type="noConversion"/>
  </si>
  <si>
    <t>DMDV71066</t>
  </si>
  <si>
    <t>손주연</t>
  </si>
  <si>
    <t>DWDV72066</t>
  </si>
  <si>
    <t>DMDV73066</t>
  </si>
  <si>
    <t>DWDV74066</t>
  </si>
  <si>
    <t>DXDV75066</t>
  </si>
  <si>
    <t>유니 반슬리 다운 패딩베스트 (기본)</t>
  </si>
  <si>
    <t>DXDV75166</t>
  </si>
  <si>
    <t>유니 반슬리 다운 패딩베스트 (유광)</t>
  </si>
  <si>
    <t>DXDV79066</t>
  </si>
  <si>
    <t>유니 베른 다운 패딩베스트</t>
  </si>
  <si>
    <t>DWDV91066</t>
  </si>
  <si>
    <t>여성 올리브 크롭 다운 패딩베스트 (기본)</t>
  </si>
  <si>
    <t>DWDV91166</t>
  </si>
  <si>
    <t>여성 올리브 크롭 다운 패딩베스트 (플리스)</t>
  </si>
  <si>
    <t>DWPD48066</t>
  </si>
  <si>
    <t>여성 크롭 볼 패딩</t>
  </si>
  <si>
    <t>NEO-K26F19</t>
  </si>
  <si>
    <t>499T</t>
  </si>
  <si>
    <t>SynCloud Ball Insulation</t>
    <phoneticPr fontId="3" type="noConversion"/>
  </si>
  <si>
    <t>손주연</t>
    <phoneticPr fontId="3" type="noConversion"/>
  </si>
  <si>
    <t>DMPD3A066</t>
  </si>
  <si>
    <t>남성 경량 러닝 볼패딩</t>
  </si>
  <si>
    <t>해원</t>
  </si>
  <si>
    <t>HWN-2020BR/DPC</t>
  </si>
  <si>
    <t>경량</t>
    <phoneticPr fontId="3" type="noConversion"/>
  </si>
  <si>
    <t>경량패딩</t>
    <phoneticPr fontId="3" type="noConversion"/>
  </si>
  <si>
    <t>손수진</t>
    <phoneticPr fontId="3" type="noConversion"/>
  </si>
  <si>
    <t>■ 디스커버리 26FW 상품속성 (DJ기준)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</si>
</sst>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 tint="-4.9989318521683403E-2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3333FF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0" fillId="2" borderId="0" xfId="0" applyFill="1" applyAlignment="1">
      <alignment vertical="center" shrinkToFi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41" fontId="0" fillId="0" borderId="0" xfId="1" applyFont="1">
      <alignment vertical="center"/>
    </xf>
    <xf numFmtId="41" fontId="0" fillId="0" borderId="1" xfId="1" applyFont="1" applyBorder="1" applyAlignment="1">
      <alignment horizontal="center" vertical="center" shrinkToFit="1"/>
    </xf>
    <xf numFmtId="41" fontId="0" fillId="0" borderId="0" xfId="1" applyFont="1" applyBorder="1" applyAlignment="1">
      <alignment horizontal="center" vertical="center" shrinkToFit="1"/>
    </xf>
    <xf numFmtId="41" fontId="0" fillId="0" borderId="0" xfId="1" applyFont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41" fontId="5" fillId="0" borderId="0" xfId="1" applyFont="1" applyAlignment="1">
      <alignment vertical="center"/>
    </xf>
    <xf numFmtId="0" fontId="5" fillId="0" borderId="0" xfId="0" applyFont="1" applyAlignment="1">
      <alignment horizontal="left" vertical="center"/>
    </xf>
    <xf numFmtId="41" fontId="5" fillId="0" borderId="1" xfId="1" applyFont="1" applyBorder="1" applyAlignment="1">
      <alignment horizontal="left" vertical="center" shrinkToFit="1"/>
    </xf>
    <xf numFmtId="41" fontId="5" fillId="0" borderId="0" xfId="1" applyFont="1" applyBorder="1" applyAlignment="1">
      <alignment horizontal="left" vertical="center" shrinkToFit="1"/>
    </xf>
    <xf numFmtId="41" fontId="5" fillId="0" borderId="0" xfId="1" applyFont="1" applyBorder="1" applyAlignment="1">
      <alignment horizontal="center" vertical="center" shrinkToFit="1"/>
    </xf>
    <xf numFmtId="9" fontId="5" fillId="0" borderId="0" xfId="2" applyFont="1" applyBorder="1">
      <alignment vertical="center"/>
    </xf>
    <xf numFmtId="0" fontId="5" fillId="2" borderId="2" xfId="0" applyFont="1" applyFill="1" applyBorder="1" applyAlignment="1">
      <alignment vertical="top" shrinkToFit="1"/>
    </xf>
    <xf numFmtId="0" fontId="5" fillId="3" borderId="2" xfId="0" applyFont="1" applyFill="1" applyBorder="1" applyAlignment="1">
      <alignment horizontal="center" vertical="top" shrinkToFit="1"/>
    </xf>
    <xf numFmtId="0" fontId="5" fillId="4" borderId="2" xfId="0" applyFont="1" applyFill="1" applyBorder="1" applyAlignment="1">
      <alignment horizontal="center" vertical="top" shrinkToFit="1"/>
    </xf>
    <xf numFmtId="0" fontId="6" fillId="4" borderId="2" xfId="0" applyFont="1" applyFill="1" applyBorder="1" applyAlignment="1">
      <alignment horizontal="center" vertical="top" shrinkToFit="1"/>
    </xf>
    <xf numFmtId="41" fontId="5" fillId="3" borderId="2" xfId="1" applyFont="1" applyFill="1" applyBorder="1" applyAlignment="1">
      <alignment vertical="top" shrinkToFit="1"/>
    </xf>
    <xf numFmtId="0" fontId="5" fillId="3" borderId="3" xfId="0" applyFont="1" applyFill="1" applyBorder="1" applyAlignment="1">
      <alignment horizontal="center" vertical="top" shrinkToFit="1"/>
    </xf>
    <xf numFmtId="41" fontId="5" fillId="4" borderId="2" xfId="1" applyFont="1" applyFill="1" applyBorder="1" applyAlignment="1">
      <alignment horizontal="center" vertical="top" shrinkToFit="1"/>
    </xf>
    <xf numFmtId="0" fontId="0" fillId="0" borderId="2" xfId="0" applyBorder="1">
      <alignment vertical="center"/>
    </xf>
    <xf numFmtId="41" fontId="0" fillId="0" borderId="0" xfId="1" applyFont="1" applyAlignment="1">
      <alignment vertical="center" shrinkToFit="1"/>
    </xf>
    <xf numFmtId="0" fontId="0" fillId="2" borderId="0" xfId="0" applyFill="1">
      <alignment vertical="center"/>
    </xf>
    <xf numFmtId="0" fontId="5" fillId="5" borderId="0" xfId="0" applyFont="1" applyFill="1" applyAlignment="1">
      <alignment horizontal="center" vertical="center" shrinkToFit="1"/>
    </xf>
    <xf numFmtId="9" fontId="0" fillId="0" borderId="0" xfId="2" applyFont="1">
      <alignment vertical="center"/>
    </xf>
    <xf numFmtId="9" fontId="5" fillId="4" borderId="2" xfId="2" applyFont="1" applyFill="1" applyBorder="1" applyAlignment="1">
      <alignment horizontal="center" vertical="top" shrinkToFit="1"/>
    </xf>
    <xf numFmtId="9" fontId="0" fillId="0" borderId="0" xfId="2" applyFont="1" applyAlignment="1">
      <alignment vertical="center" shrinkToFit="1"/>
    </xf>
    <xf numFmtId="41" fontId="0" fillId="0" borderId="1" xfId="1" applyFont="1" applyBorder="1" applyAlignment="1">
      <alignment vertical="center" shrinkToFit="1"/>
    </xf>
    <xf numFmtId="41" fontId="5" fillId="0" borderId="1" xfId="1" applyFont="1" applyBorder="1" applyAlignment="1">
      <alignment horizontal="left" vertical="center"/>
    </xf>
    <xf numFmtId="41" fontId="5" fillId="4" borderId="3" xfId="1" applyFont="1" applyFill="1" applyBorder="1" applyAlignment="1">
      <alignment horizontal="center" vertical="top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7" borderId="0" xfId="0" applyFont="1" applyFill="1" applyAlignment="1">
      <alignment horizontal="center" vertical="center" shrinkToFit="1"/>
    </xf>
    <xf numFmtId="41" fontId="0" fillId="0" borderId="0" xfId="1" applyFont="1" applyFill="1" applyAlignment="1">
      <alignment vertical="center" shrinkToFit="1"/>
    </xf>
    <xf numFmtId="41" fontId="11" fillId="0" borderId="0" xfId="1" applyFont="1" applyAlignment="1">
      <alignment horizontal="center" vertical="center" shrinkToFit="1"/>
    </xf>
    <xf numFmtId="9" fontId="5" fillId="0" borderId="1" xfId="2" applyFont="1" applyBorder="1" applyAlignment="1">
      <alignment horizontal="center" vertical="center" shrinkToFit="1"/>
    </xf>
    <xf numFmtId="9" fontId="5" fillId="0" borderId="0" xfId="2" applyFont="1" applyAlignment="1">
      <alignment horizontal="center" vertical="center" shrinkToFit="1"/>
    </xf>
    <xf numFmtId="9" fontId="5" fillId="0" borderId="0" xfId="2" applyFont="1" applyAlignment="1">
      <alignment horizontal="center" vertical="center"/>
    </xf>
    <xf numFmtId="0" fontId="5" fillId="7" borderId="2" xfId="0" applyFont="1" applyFill="1" applyBorder="1" applyAlignment="1">
      <alignment horizontal="center" vertical="top" shrinkToFit="1"/>
    </xf>
    <xf numFmtId="0" fontId="4" fillId="0" borderId="0" xfId="0" applyFont="1" applyAlignment="1">
      <alignment horizontal="center" vertical="center"/>
    </xf>
    <xf numFmtId="41" fontId="0" fillId="0" borderId="1" xfId="1" applyFont="1" applyFill="1" applyBorder="1" applyAlignment="1">
      <alignment vertical="center" shrinkToFit="1"/>
    </xf>
    <xf numFmtId="9" fontId="2" fillId="0" borderId="0" xfId="2" applyFont="1" applyFill="1" applyAlignment="1">
      <alignment vertical="center" shrinkToFit="1"/>
    </xf>
    <xf numFmtId="9" fontId="0" fillId="0" borderId="0" xfId="2" applyFont="1" applyFill="1" applyAlignment="1">
      <alignment vertical="center" shrinkToFit="1"/>
    </xf>
    <xf numFmtId="41" fontId="9" fillId="0" borderId="0" xfId="1" applyFont="1" applyBorder="1" applyAlignment="1">
      <alignment horizontal="center" vertical="center"/>
    </xf>
    <xf numFmtId="0" fontId="5" fillId="0" borderId="0" xfId="0" applyFont="1" applyAlignment="1">
      <alignment vertical="center" shrinkToFit="1"/>
    </xf>
    <xf numFmtId="0" fontId="0" fillId="6" borderId="0" xfId="0" applyFill="1" applyAlignment="1">
      <alignment vertical="center" shrinkToFit="1"/>
    </xf>
    <xf numFmtId="0" fontId="0" fillId="6" borderId="0" xfId="0" applyFill="1" applyAlignment="1">
      <alignment horizontal="center" vertical="center" shrinkToFit="1"/>
    </xf>
    <xf numFmtId="41" fontId="1" fillId="0" borderId="1" xfId="1" applyFont="1" applyBorder="1" applyAlignment="1">
      <alignment horizontal="center" vertical="center" shrinkToFit="1"/>
    </xf>
    <xf numFmtId="41" fontId="1" fillId="0" borderId="0" xfId="1" applyFont="1" applyBorder="1" applyAlignment="1">
      <alignment horizontal="center" vertical="center" shrinkToFit="1"/>
    </xf>
    <xf numFmtId="41" fontId="1" fillId="0" borderId="0" xfId="1" applyFont="1" applyAlignment="1">
      <alignment horizontal="center" vertical="center" shrinkToFit="1"/>
    </xf>
    <xf numFmtId="0" fontId="0" fillId="7" borderId="0" xfId="0" applyFill="1" applyAlignment="1">
      <alignment horizontal="center" vertical="center" shrinkToFit="1"/>
    </xf>
    <xf numFmtId="41" fontId="5" fillId="0" borderId="0" xfId="1" applyFont="1" applyAlignment="1">
      <alignment horizontal="left" vertical="center"/>
    </xf>
    <xf numFmtId="41" fontId="5" fillId="3" borderId="2" xfId="1" applyFont="1" applyFill="1" applyBorder="1" applyAlignment="1">
      <alignment horizontal="center" vertical="top" shrinkToFit="1"/>
    </xf>
    <xf numFmtId="41" fontId="0" fillId="0" borderId="0" xfId="1" applyFont="1" applyFill="1" applyAlignment="1">
      <alignment horizontal="center" vertical="center" shrinkToFit="1"/>
    </xf>
    <xf numFmtId="41" fontId="5" fillId="0" borderId="0" xfId="1" applyFont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vertical="center" shrinkToFit="1"/>
    </xf>
    <xf numFmtId="41" fontId="5" fillId="0" borderId="1" xfId="1" applyFont="1" applyFill="1" applyBorder="1" applyAlignment="1">
      <alignment vertical="center" shrinkToFit="1"/>
    </xf>
    <xf numFmtId="0" fontId="0" fillId="9" borderId="0" xfId="0" applyFill="1" applyAlignment="1">
      <alignment horizontal="center" vertical="center" shrinkToFit="1"/>
    </xf>
    <xf numFmtId="0" fontId="10" fillId="9" borderId="0" xfId="0" applyFont="1" applyFill="1" applyAlignment="1">
      <alignment horizontal="center" vertical="center" shrinkToFit="1"/>
    </xf>
    <xf numFmtId="9" fontId="10" fillId="3" borderId="0" xfId="2" applyFont="1" applyFill="1" applyAlignment="1">
      <alignment vertical="center" shrinkToFit="1"/>
    </xf>
    <xf numFmtId="0" fontId="5" fillId="8" borderId="0" xfId="0" applyFont="1" applyFill="1" applyAlignment="1">
      <alignment horizontal="center" vertical="center" shrinkToFit="1"/>
    </xf>
    <xf numFmtId="41" fontId="10" fillId="3" borderId="1" xfId="1" applyFont="1" applyFill="1" applyBorder="1" applyAlignment="1">
      <alignment vertical="center" shrinkToFit="1"/>
    </xf>
    <xf numFmtId="41" fontId="10" fillId="0" borderId="1" xfId="1" applyFont="1" applyFill="1" applyBorder="1" applyAlignment="1">
      <alignment vertical="center" shrinkToFit="1"/>
    </xf>
    <xf numFmtId="0" fontId="5" fillId="6" borderId="2" xfId="0" applyFont="1" applyFill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center"/>
    </xf>
    <xf numFmtId="9" fontId="0" fillId="0" borderId="0" xfId="2" applyFont="1" applyAlignment="1">
      <alignment horizontal="right" vertical="center" shrinkToFit="1"/>
    </xf>
    <xf numFmtId="0" fontId="6" fillId="3" borderId="2" xfId="0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center" shrinkToFit="1"/>
    </xf>
    <xf numFmtId="41" fontId="5" fillId="8" borderId="0" xfId="1" applyFont="1" applyFill="1" applyBorder="1" applyAlignment="1">
      <alignment horizontal="center" vertical="center" shrinkToFit="1"/>
    </xf>
    <xf numFmtId="41" fontId="5" fillId="0" borderId="0" xfId="1" applyFont="1" applyAlignment="1">
      <alignment horizontal="center" vertical="center" shrinkToFit="1"/>
    </xf>
    <xf numFmtId="41" fontId="12" fillId="0" borderId="0" xfId="1" applyFont="1" applyBorder="1" applyAlignment="1">
      <alignment horizontal="center" vertical="center" shrinkToFit="1"/>
    </xf>
    <xf numFmtId="0" fontId="12" fillId="0" borderId="0" xfId="0" applyFont="1" applyAlignment="1">
      <alignment horizontal="left" vertical="center"/>
    </xf>
    <xf numFmtId="0" fontId="12" fillId="7" borderId="2" xfId="0" applyFont="1" applyFill="1" applyBorder="1" applyAlignment="1">
      <alignment horizontal="center" vertical="top" shrinkToFit="1"/>
    </xf>
    <xf numFmtId="0" fontId="12" fillId="0" borderId="0" xfId="0" applyFont="1" applyAlignment="1">
      <alignment vertical="center" shrinkToFit="1"/>
    </xf>
    <xf numFmtId="41" fontId="12" fillId="0" borderId="0" xfId="1" applyFont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41" fontId="12" fillId="0" borderId="0" xfId="1" applyFont="1" applyAlignment="1">
      <alignment horizontal="center" vertical="center"/>
    </xf>
    <xf numFmtId="41" fontId="12" fillId="7" borderId="2" xfId="1" applyFont="1" applyFill="1" applyBorder="1" applyAlignment="1">
      <alignment horizontal="center" vertical="top" shrinkToFit="1"/>
    </xf>
    <xf numFmtId="41" fontId="12" fillId="0" borderId="0" xfId="1" applyFont="1" applyAlignment="1">
      <alignment vertical="center" shrinkToFit="1"/>
    </xf>
    <xf numFmtId="41" fontId="13" fillId="0" borderId="1" xfId="1" applyFont="1" applyBorder="1" applyAlignment="1">
      <alignment horizontal="center" vertical="center" shrinkToFit="1"/>
    </xf>
    <xf numFmtId="41" fontId="13" fillId="0" borderId="0" xfId="1" applyFont="1" applyAlignment="1">
      <alignment horizontal="center" vertical="center" shrinkToFit="1"/>
    </xf>
    <xf numFmtId="41" fontId="5" fillId="0" borderId="1" xfId="1" applyFont="1" applyBorder="1" applyAlignment="1">
      <alignment horizontal="center" vertical="center" shrinkToFit="1"/>
    </xf>
    <xf numFmtId="41" fontId="1" fillId="0" borderId="0" xfId="1" applyFont="1" applyFill="1" applyAlignment="1">
      <alignment horizontal="center" vertical="center" shrinkToFit="1"/>
    </xf>
    <xf numFmtId="0" fontId="12" fillId="5" borderId="0" xfId="0" applyFont="1" applyFill="1" applyAlignment="1">
      <alignment horizontal="center" vertical="center" shrinkToFit="1"/>
    </xf>
    <xf numFmtId="0" fontId="12" fillId="5" borderId="0" xfId="0" applyFont="1" applyFill="1" applyAlignment="1">
      <alignment vertical="center" shrinkToFit="1"/>
    </xf>
    <xf numFmtId="41" fontId="12" fillId="5" borderId="0" xfId="1" applyFont="1" applyFill="1" applyAlignment="1">
      <alignment horizontal="center" vertical="center" shrinkToFit="1"/>
    </xf>
    <xf numFmtId="41" fontId="12" fillId="5" borderId="0" xfId="1" applyFont="1" applyFill="1" applyAlignment="1">
      <alignment vertical="center" shrinkToFit="1"/>
    </xf>
    <xf numFmtId="0" fontId="10" fillId="0" borderId="0" xfId="0" applyFont="1" applyAlignment="1">
      <alignment horizontal="center" vertical="center" shrinkToFit="1"/>
    </xf>
    <xf numFmtId="0" fontId="7" fillId="2" borderId="0" xfId="0" applyFont="1" applyFill="1" applyAlignment="1">
      <alignment vertical="center" shrinkToFit="1"/>
    </xf>
    <xf numFmtId="0" fontId="7" fillId="0" borderId="0" xfId="0" applyFont="1">
      <alignment vertical="center"/>
    </xf>
    <xf numFmtId="0" fontId="9" fillId="2" borderId="0" xfId="0" applyFont="1" applyFill="1" applyAlignment="1">
      <alignment vertical="center" shrinkToFit="1"/>
    </xf>
    <xf numFmtId="0" fontId="9" fillId="0" borderId="0" xfId="0" applyFont="1">
      <alignment vertical="center"/>
    </xf>
    <xf numFmtId="0" fontId="5" fillId="2" borderId="0" xfId="0" applyFont="1" applyFill="1" applyAlignment="1">
      <alignment vertical="center" shrinkToFit="1"/>
    </xf>
    <xf numFmtId="0" fontId="14" fillId="2" borderId="0" xfId="0" applyFont="1" applyFill="1" applyAlignment="1">
      <alignment vertical="center" shrinkToFit="1"/>
    </xf>
    <xf numFmtId="0" fontId="14" fillId="0" borderId="0" xfId="0" applyFont="1">
      <alignment vertical="center"/>
    </xf>
    <xf numFmtId="9" fontId="5" fillId="0" borderId="0" xfId="2" applyFont="1" applyFill="1" applyAlignment="1">
      <alignment vertical="center" shrinkToFit="1"/>
    </xf>
    <xf numFmtId="41" fontId="5" fillId="0" borderId="0" xfId="1" applyFont="1" applyAlignment="1">
      <alignment vertical="center" shrinkToFit="1"/>
    </xf>
    <xf numFmtId="41" fontId="5" fillId="0" borderId="1" xfId="1" applyFont="1" applyBorder="1" applyAlignment="1">
      <alignment vertical="center" shrinkToFit="1"/>
    </xf>
    <xf numFmtId="9" fontId="0" fillId="0" borderId="0" xfId="2" applyFont="1" applyFill="1" applyAlignment="1">
      <alignment horizontal="center" vertical="center" shrinkToFit="1"/>
    </xf>
    <xf numFmtId="0" fontId="10" fillId="0" borderId="0" xfId="0" applyFont="1">
      <alignment vertical="center"/>
    </xf>
    <xf numFmtId="0" fontId="5" fillId="2" borderId="2" xfId="0" applyFont="1" applyFill="1" applyBorder="1" applyAlignment="1">
      <alignment horizontal="center" vertical="top" shrinkToFit="1"/>
    </xf>
    <xf numFmtId="0" fontId="10" fillId="6" borderId="0" xfId="0" applyFont="1" applyFill="1" applyAlignment="1">
      <alignment vertical="center" shrinkToFit="1"/>
    </xf>
    <xf numFmtId="49" fontId="0" fillId="0" borderId="0" xfId="0" applyNumberFormat="1" applyAlignment="1">
      <alignment horizontal="center" vertical="center" shrinkToFit="1"/>
    </xf>
    <xf numFmtId="9" fontId="5" fillId="0" borderId="1" xfId="2" applyFont="1" applyFill="1" applyBorder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41" fontId="10" fillId="0" borderId="0" xfId="1" applyFont="1" applyFill="1" applyAlignment="1">
      <alignment vertical="center" shrinkToFit="1"/>
    </xf>
    <xf numFmtId="0" fontId="10" fillId="0" borderId="1" xfId="0" applyFont="1" applyBorder="1" applyAlignment="1">
      <alignment vertical="center" shrinkToFit="1"/>
    </xf>
    <xf numFmtId="9" fontId="10" fillId="0" borderId="0" xfId="2" applyFont="1" applyFill="1" applyAlignment="1">
      <alignment vertical="center" shrinkToFit="1"/>
    </xf>
    <xf numFmtId="0" fontId="10" fillId="10" borderId="0" xfId="0" applyFont="1" applyFill="1" applyAlignment="1">
      <alignment horizontal="center" vertical="center" shrinkToFit="1"/>
    </xf>
    <xf numFmtId="0" fontId="10" fillId="7" borderId="0" xfId="0" applyFont="1" applyFill="1" applyAlignment="1">
      <alignment vertical="center" shrinkToFit="1"/>
    </xf>
    <xf numFmtId="41" fontId="10" fillId="0" borderId="0" xfId="1" applyFont="1" applyAlignment="1">
      <alignment vertical="center" shrinkToFit="1"/>
    </xf>
    <xf numFmtId="0" fontId="10" fillId="6" borderId="0" xfId="0" applyFont="1" applyFill="1" applyAlignment="1">
      <alignment horizontal="center" vertical="center" shrinkToFit="1"/>
    </xf>
    <xf numFmtId="41" fontId="5" fillId="0" borderId="0" xfId="1" applyFont="1" applyFill="1" applyAlignment="1">
      <alignment horizontal="center" vertical="center" shrinkToFit="1"/>
    </xf>
    <xf numFmtId="0" fontId="10" fillId="7" borderId="1" xfId="0" applyFont="1" applyFill="1" applyBorder="1" applyAlignment="1">
      <alignment horizontal="center" vertical="center" shrinkToFit="1"/>
    </xf>
    <xf numFmtId="0" fontId="10" fillId="7" borderId="0" xfId="0" applyFont="1" applyFill="1" applyAlignment="1">
      <alignment horizontal="center" vertical="center" shrinkToFit="1"/>
    </xf>
    <xf numFmtId="0" fontId="10" fillId="5" borderId="0" xfId="0" applyFont="1" applyFill="1" applyAlignment="1">
      <alignment horizontal="center" vertical="center" shrinkToFit="1"/>
    </xf>
    <xf numFmtId="49" fontId="10" fillId="0" borderId="0" xfId="0" applyNumberFormat="1" applyFont="1" applyAlignment="1">
      <alignment vertical="center" shrinkToFit="1"/>
    </xf>
    <xf numFmtId="41" fontId="10" fillId="0" borderId="1" xfId="1" applyFont="1" applyBorder="1" applyAlignment="1">
      <alignment vertical="center" shrinkToFit="1"/>
    </xf>
    <xf numFmtId="9" fontId="10" fillId="0" borderId="0" xfId="2" applyFont="1" applyAlignment="1">
      <alignment vertical="center" shrinkToFit="1"/>
    </xf>
    <xf numFmtId="0" fontId="5" fillId="7" borderId="3" xfId="0" applyFont="1" applyFill="1" applyBorder="1" applyAlignment="1">
      <alignment horizontal="center" vertical="top" shrinkToFit="1"/>
    </xf>
    <xf numFmtId="0" fontId="0" fillId="0" borderId="4" xfId="0" applyBorder="1" applyAlignment="1">
      <alignment horizontal="center" vertical="center" shrinkToFit="1"/>
    </xf>
    <xf numFmtId="0" fontId="15" fillId="11" borderId="0" xfId="0" applyFont="1" applyFill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11">
    <dxf>
      <font>
        <color rgb="FFFF0000"/>
      </font>
    </dxf>
    <dxf>
      <font>
        <color rgb="FF3333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3333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O(김인호) F/KR/DX/MD/MD" id="{F66F91FE-F9B4-43AA-9E5C-195B30CB1825}" userId="S::ihkim@fnfcorp.com::a3c1e276-8e69-4149-8f49-ad2cc240e30c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" dT="2025-12-08T00:35:35.68" personId="{F66F91FE-F9B4-43AA-9E5C-195B30CB1825}" id="{C8846A99-EA2E-4D45-A81F-37C712784B89}">
    <text>수배 중인, 타겟 수치 입력</text>
  </threadedComment>
  <threadedComment ref="H4" dT="2025-12-01T08:01:06.57" personId="{F66F91FE-F9B4-43AA-9E5C-195B30CB1825}" id="{2D1051F9-E45A-4090-8104-4AD68348D4A1}">
    <text>스웨이드 2건 (DJ6G0, DJ9G2) 일단 행삭제</text>
  </threadedComment>
  <threadedComment ref="T4" dT="2025-12-05T08:36:16.66" personId="{F66F91FE-F9B4-43AA-9E5C-195B30CB1825}" id="{476DDB22-040C-4897-B8E5-839C62C43131}">
    <text>2,3레이어_세부 정보 추가열 필요함</text>
  </threadedComment>
  <threadedComment ref="Q6" dT="2025-12-05T11:26:09.74" personId="{F66F91FE-F9B4-43AA-9E5C-195B30CB1825}" id="{4F70AD6B-E1D4-43DD-BD35-2464CA2AAFBD}">
    <text>소재데이터상은 35D</text>
  </threadedComment>
  <threadedComment ref="Q12" dT="2025-12-15T05:15:47.07" personId="{F66F91FE-F9B4-43AA-9E5C-195B30CB1825}" id="{32344CA9-DB42-47A8-AE7D-8792386933CC}">
    <text>실제론 10D로 변경함. 봄택스</text>
  </threadedComment>
  <threadedComment ref="Q19" dT="2025-12-05T11:26:58.87" personId="{F66F91FE-F9B4-43AA-9E5C-195B30CB1825}" id="{9A033ADF-2E0C-4747-9346-AEEAA6859BA0}">
    <text>소재 데이터상은 55D</text>
  </threadedComment>
  <threadedComment ref="AA35" dT="2025-12-05T07:47:34.05" personId="{F66F91FE-F9B4-43AA-9E5C-195B30CB1825}" id="{63B44E9B-8A73-4AD7-A234-0EF80F74E94D}">
    <text>변경예정</text>
  </threadedComment>
  <threadedComment ref="H289" dT="2025-12-01T07:28:02.31" personId="{F66F91FE-F9B4-43AA-9E5C-195B30CB1825}" id="{AF80DF04-8776-4B88-B5D5-88F5A3CC1575}">
    <text>무신사 단독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03" dT="2025-12-01T07:28:02.31" personId="{F66F91FE-F9B4-43AA-9E5C-195B30CB1825}" id="{5406D131-A89C-4B17-8502-C22DD0935859}">
    <text>무신사 단독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EB6F-2C42-4833-A5A1-D3227EED458A}">
  <sheetPr>
    <tabColor rgb="FFFFFF00"/>
  </sheetPr>
  <dimension ref="B2:Y88"/>
  <sheetViews>
    <sheetView tabSelected="1" zoomScale="85" zoomScaleNormal="85" workbookViewId="0">
      <selection activeCell="F34" sqref="F34"/>
    </sheetView>
  </sheetViews>
  <sheetFormatPr defaultRowHeight="16.5" x14ac:dyDescent="0.3"/>
  <cols>
    <col min="2" max="2" width="16.5" bestFit="1" customWidth="1"/>
    <col min="3" max="3" width="36.75" bestFit="1" customWidth="1"/>
    <col min="4" max="4" width="27.625" bestFit="1" customWidth="1"/>
    <col min="5" max="5" width="13.5" bestFit="1" customWidth="1"/>
    <col min="6" max="6" width="14.625" bestFit="1" customWidth="1"/>
    <col min="7" max="7" width="12.5" bestFit="1" customWidth="1"/>
    <col min="8" max="8" width="20" bestFit="1" customWidth="1"/>
    <col min="9" max="9" width="12.375" bestFit="1" customWidth="1"/>
    <col min="10" max="10" width="17.25" bestFit="1" customWidth="1"/>
    <col min="11" max="11" width="11.625" bestFit="1" customWidth="1"/>
    <col min="12" max="12" width="10.375" bestFit="1" customWidth="1"/>
    <col min="13" max="13" width="16.5" bestFit="1" customWidth="1"/>
    <col min="14" max="14" width="10.625" bestFit="1" customWidth="1"/>
    <col min="15" max="15" width="25.625" bestFit="1" customWidth="1"/>
    <col min="16" max="16" width="20.25" bestFit="1" customWidth="1"/>
    <col min="17" max="17" width="13.75" bestFit="1" customWidth="1"/>
    <col min="18" max="18" width="16.625" bestFit="1" customWidth="1"/>
    <col min="19" max="19" width="14.125" bestFit="1" customWidth="1"/>
    <col min="20" max="20" width="23.75" bestFit="1" customWidth="1"/>
    <col min="21" max="21" width="11.75" bestFit="1" customWidth="1"/>
    <col min="22" max="22" width="9.625" bestFit="1" customWidth="1"/>
    <col min="23" max="23" width="7.125" bestFit="1" customWidth="1"/>
    <col min="24" max="24" width="13.75" bestFit="1" customWidth="1"/>
  </cols>
  <sheetData>
    <row r="2" spans="2:25" x14ac:dyDescent="0.3">
      <c r="B2" s="133" t="s">
        <v>989</v>
      </c>
      <c r="C2" s="134"/>
    </row>
    <row r="3" spans="2:25" s="5" customFormat="1" x14ac:dyDescent="0.3">
      <c r="B3" s="5" cm="1">
        <f t="array" ref="B3:B30">_xlfn.UNIQUE('RAW_DX(DJ)'!M:M)</f>
        <v>0</v>
      </c>
      <c r="C3" s="5" cm="1">
        <f t="array" ref="C3:C88">_xlfn.UNIQUE('RAW_DX(DJ)'!N:N)</f>
        <v>0</v>
      </c>
      <c r="D3" s="5" cm="1">
        <f t="array" ref="D3:D10">_xlfn.UNIQUE('RAW_DX(DJ)'!O:O)</f>
        <v>0</v>
      </c>
      <c r="E3" s="5" cm="1">
        <f t="array" ref="E3:E8">_xlfn.UNIQUE('RAW_DX(DJ)'!P:P)</f>
        <v>0</v>
      </c>
      <c r="F3" s="5" cm="1">
        <f t="array" ref="F3:F13">_xlfn.UNIQUE('RAW_DX(DJ)'!Q:Q)</f>
        <v>0</v>
      </c>
      <c r="G3" s="5" cm="1">
        <f t="array" ref="G3:G52">_xlfn.UNIQUE('RAW_DX(DJ)'!R:R)</f>
        <v>0</v>
      </c>
      <c r="H3" s="5" cm="1">
        <f t="array" ref="H3:H52">_xlfn.UNIQUE('RAW_DX(DJ)'!S:S)</f>
        <v>0</v>
      </c>
      <c r="I3" s="5" cm="1">
        <f t="array" ref="I3:I7">_xlfn.UNIQUE('RAW_DX(DJ)'!T:T)</f>
        <v>0</v>
      </c>
      <c r="J3" s="5" cm="1">
        <f t="array" ref="J3:J11">_xlfn.UNIQUE('RAW_DX(DJ)'!U:U)</f>
        <v>0</v>
      </c>
      <c r="K3" s="5" cm="1">
        <f t="array" ref="K3:K10">_xlfn.UNIQUE('RAW_DX(DJ)'!V:V)</f>
        <v>0</v>
      </c>
      <c r="L3" s="5" cm="1">
        <f t="array" ref="L3:L7">_xlfn.UNIQUE('RAW_DX(DJ)'!W:W)</f>
        <v>0</v>
      </c>
      <c r="M3" s="5" cm="1">
        <f t="array" ref="M3:M7">_xlfn.UNIQUE('RAW_DX(DJ)'!X:X)</f>
        <v>0</v>
      </c>
      <c r="N3" s="5" cm="1">
        <f t="array" ref="N3:N11">_xlfn.UNIQUE('RAW_DX(DJ)'!Y:Y)</f>
        <v>0</v>
      </c>
      <c r="O3" s="5" cm="1">
        <f t="array" ref="O3:O10">_xlfn.UNIQUE('RAW_DX(DJ)'!Z:Z)</f>
        <v>0</v>
      </c>
      <c r="P3" s="5" cm="1">
        <f t="array" ref="P3:P9">_xlfn.UNIQUE('RAW_DX(DJ)'!AA:AA)</f>
        <v>0</v>
      </c>
      <c r="Q3" s="5" cm="1">
        <f t="array" ref="Q3:Q9">_xlfn.UNIQUE('RAW_DX(DJ)'!AB:AB)</f>
        <v>0</v>
      </c>
      <c r="R3" s="5" cm="1">
        <f t="array" ref="R3:R9">_xlfn.UNIQUE('RAW_DX(DJ)'!AC:AC)</f>
        <v>0</v>
      </c>
      <c r="S3" s="5" cm="1">
        <f t="array" ref="S3:S8">_xlfn.UNIQUE('RAW_DX(DJ)'!AD:AD)</f>
        <v>0</v>
      </c>
      <c r="T3" s="5" cm="1">
        <f t="array" ref="T3:T10">_xlfn.UNIQUE('RAW_DX(DJ)'!AE:AE)</f>
        <v>0</v>
      </c>
      <c r="U3" s="5" cm="1">
        <f t="array" ref="U3:U88">_xlfn.UNIQUE('RAW_DX(DJ)'!AF:AF)</f>
        <v>0</v>
      </c>
      <c r="V3" s="5" cm="1">
        <f t="array" ref="V3:V7">_xlfn.UNIQUE('RAW_DX(DJ)'!AG:AG)</f>
        <v>0</v>
      </c>
      <c r="W3" s="5" cm="1">
        <f t="array" ref="W3:W6">_xlfn.UNIQUE('RAW_DX(DJ)'!AH:AH)</f>
        <v>0</v>
      </c>
      <c r="X3" s="5" cm="1">
        <f t="array" ref="X3:X12">_xlfn.UNIQUE('RAW_DX(DJ)'!AI:AI)</f>
        <v>0</v>
      </c>
      <c r="Y3" s="5" cm="1">
        <f t="array" ref="Y3:Y10">_xlfn.UNIQUE('RAW_DX(DJ)'!AJ:AJ)</f>
        <v>0</v>
      </c>
    </row>
    <row r="4" spans="2:25" x14ac:dyDescent="0.3">
      <c r="B4" s="132" t="str">
        <v>▶소재 스팩 정보</v>
      </c>
      <c r="C4" s="132" t="str">
        <v>소재명</v>
      </c>
      <c r="D4" s="132" t="str">
        <v>소재 혼용율</v>
      </c>
      <c r="E4" s="132" t="str">
        <v>소재 혼용율%</v>
      </c>
      <c r="F4" s="132" t="str">
        <v>원사 데니아(D)</v>
      </c>
      <c r="G4" s="132" t="str">
        <v>소재 중량(G)</v>
      </c>
      <c r="H4" s="132" t="str">
        <v>소재 밀도(T)</v>
      </c>
      <c r="I4" s="132" t="str">
        <v>레이어(필름)</v>
      </c>
      <c r="J4" s="132" t="str">
        <v>레이어(필름) 두께</v>
      </c>
      <c r="K4" s="132" t="str">
        <v>소재 후가공</v>
      </c>
      <c r="L4" s="132" t="str">
        <v>소재 TAG</v>
      </c>
      <c r="M4" s="132" t="str">
        <v>▶소재 외관 정보</v>
      </c>
      <c r="N4" s="132" t="str">
        <v>소재 조직</v>
      </c>
      <c r="O4" s="132" t="str">
        <v>Ra값 (Roughness Average)</v>
      </c>
      <c r="P4" s="132" t="str">
        <v>GU값 (Gloss Units)</v>
      </c>
      <c r="Q4" s="132" t="str">
        <v>▶다운백 정보</v>
      </c>
      <c r="R4" s="132" t="str">
        <v>다운백 데니아(D)</v>
      </c>
      <c r="S4" s="132" t="str">
        <v>다운백 밀도(T)</v>
      </c>
      <c r="T4" s="132" t="str">
        <v>▶충전재 정보</v>
      </c>
      <c r="U4" s="132" t="str">
        <v>충전재양(G)</v>
      </c>
      <c r="V4" s="132" t="str">
        <v>중량 구분</v>
      </c>
      <c r="W4" s="132" t="str">
        <v>필파워</v>
      </c>
      <c r="X4" s="132" t="str">
        <v>▶디자인 정보</v>
      </c>
      <c r="Y4" s="132" t="str">
        <v>기장</v>
      </c>
    </row>
    <row r="5" spans="2:25" x14ac:dyDescent="0.3">
      <c r="B5" t="str">
        <v>소재처</v>
      </c>
      <c r="C5" t="str">
        <v>CAC-CN6811 2T</v>
      </c>
      <c r="D5" t="str">
        <v>NYLON</v>
      </c>
      <c r="E5">
        <v>100</v>
      </c>
      <c r="F5" t="str">
        <v>20D</v>
      </c>
      <c r="G5" t="str">
        <v>40G</v>
      </c>
      <c r="H5" t="str">
        <v>400T</v>
      </c>
      <c r="I5" t="str">
        <v>Single L</v>
      </c>
      <c r="J5" t="str">
        <v>7mic</v>
      </c>
      <c r="K5" t="str">
        <v>CIRE</v>
      </c>
      <c r="L5" t="str">
        <v>PERTEX</v>
      </c>
      <c r="M5" t="str">
        <v>소재 구분</v>
      </c>
      <c r="N5" t="str">
        <v>PLAIN</v>
      </c>
      <c r="O5" t="str">
        <v>소재 텍스쳐(Ra) LEVEL</v>
      </c>
      <c r="P5" t="str">
        <v>소재 광택(GU) LEVEL</v>
      </c>
      <c r="Q5" t="str">
        <v>다운백 구조</v>
      </c>
      <c r="R5" t="str">
        <v>20D</v>
      </c>
      <c r="S5" t="str">
        <v>400T</v>
      </c>
      <c r="T5" t="str">
        <v>충전재 사종</v>
      </c>
      <c r="U5" t="str">
        <v>110G</v>
      </c>
      <c r="V5" t="str">
        <v>중량</v>
      </c>
      <c r="W5">
        <v>650</v>
      </c>
      <c r="X5" t="str">
        <v>디자인 형태</v>
      </c>
      <c r="Y5" t="str">
        <v>크롭</v>
      </c>
    </row>
    <row r="6" spans="2:25" x14ac:dyDescent="0.3">
      <c r="B6" t="str">
        <v>C&amp;A</v>
      </c>
      <c r="C6" t="str">
        <v>PN-3972S-5</v>
      </c>
      <c r="D6" t="str">
        <v>POLYESTER/POLYURETHANE</v>
      </c>
      <c r="E6" t="str">
        <v>90/10</v>
      </c>
      <c r="F6" t="str">
        <v>30D</v>
      </c>
      <c r="G6" t="str">
        <v>165G</v>
      </c>
      <c r="H6" t="str">
        <v>443T</v>
      </c>
      <c r="I6" t="str">
        <v>2L</v>
      </c>
      <c r="J6" t="str">
        <v>8mic</v>
      </c>
      <c r="K6" t="str">
        <v>WR</v>
      </c>
      <c r="L6" t="str">
        <v>GORE-TEX</v>
      </c>
      <c r="M6" t="str">
        <v>우븐</v>
      </c>
      <c r="N6" t="str">
        <v>TUBE</v>
      </c>
      <c r="O6" t="str">
        <v>Ra_LV1</v>
      </c>
      <c r="P6" t="str">
        <v>GU_LV5</v>
      </c>
      <c r="Q6" t="str">
        <v>4L 구조</v>
      </c>
      <c r="R6" t="str">
        <v>(다운백 없음)</v>
      </c>
      <c r="S6" t="str">
        <v>(다운백 없음)</v>
      </c>
      <c r="T6" t="str">
        <v>EU DUCK 8020</v>
      </c>
      <c r="U6" t="str">
        <v>60G</v>
      </c>
      <c r="V6" t="str">
        <v>경량</v>
      </c>
      <c r="W6">
        <v>700</v>
      </c>
      <c r="X6" t="str">
        <v>중량패딩</v>
      </c>
      <c r="Y6" t="str">
        <v>스탠다드</v>
      </c>
    </row>
    <row r="7" spans="2:25" x14ac:dyDescent="0.3">
      <c r="B7" t="str">
        <v>영보</v>
      </c>
      <c r="C7" t="str">
        <v>PF-23032-12 (P30D 사각 튜브) 12CM</v>
      </c>
      <c r="D7" t="str">
        <v>POLYESTER</v>
      </c>
      <c r="E7" t="str">
        <v>95/5</v>
      </c>
      <c r="F7" t="str">
        <v>50D</v>
      </c>
      <c r="G7" t="str">
        <v>135G</v>
      </c>
      <c r="H7" t="str">
        <v>442T</v>
      </c>
      <c r="I7" t="str">
        <v>3L</v>
      </c>
      <c r="J7" t="str">
        <v>20mic</v>
      </c>
      <c r="K7" t="str">
        <v>WR, CIRE</v>
      </c>
      <c r="L7" t="str">
        <v>BERTEX</v>
      </c>
      <c r="M7" t="str">
        <v>니트</v>
      </c>
      <c r="N7" t="str">
        <v>RIPSTOP</v>
      </c>
      <c r="O7" t="str">
        <v>Ra_LV2</v>
      </c>
      <c r="P7" t="str">
        <v>GU_LV2</v>
      </c>
      <c r="Q7" t="str">
        <v>2L 구조(튜브)</v>
      </c>
      <c r="R7" t="str">
        <v>30D</v>
      </c>
      <c r="S7" t="str">
        <v>360T</v>
      </c>
      <c r="T7" t="str">
        <v>EU GOOSE 8020</v>
      </c>
      <c r="U7" t="str">
        <v>165G</v>
      </c>
      <c r="V7" t="str">
        <v>헤비</v>
      </c>
      <c r="X7" t="str">
        <v>경량패딩</v>
      </c>
      <c r="Y7" t="str">
        <v>세미크롭</v>
      </c>
    </row>
    <row r="8" spans="2:25" x14ac:dyDescent="0.3">
      <c r="B8" t="str">
        <v>원창</v>
      </c>
      <c r="C8" t="str">
        <v>PF-23032-12C (12CM사각_cire)</v>
      </c>
      <c r="D8" t="str">
        <v>POLYURETHANE</v>
      </c>
      <c r="E8" t="str">
        <v>88/12</v>
      </c>
      <c r="F8" t="str">
        <v>10D</v>
      </c>
      <c r="G8" t="str">
        <v>70G</v>
      </c>
      <c r="H8" t="str">
        <v>239T</v>
      </c>
      <c r="J8" t="str">
        <v>30mic</v>
      </c>
      <c r="K8" t="str">
        <v>DWR</v>
      </c>
      <c r="N8" t="str">
        <v>CODUROY</v>
      </c>
      <c r="O8" t="str">
        <v>Ra_LV4</v>
      </c>
      <c r="P8" t="str">
        <v>GU_LV4</v>
      </c>
      <c r="Q8" t="str">
        <v>2L 구조</v>
      </c>
      <c r="R8" t="str">
        <v>40D</v>
      </c>
      <c r="S8" t="str">
        <v>320T</v>
      </c>
      <c r="T8" t="str">
        <v>SynCloud Ball Insulation</v>
      </c>
      <c r="U8" t="str">
        <v>140G</v>
      </c>
      <c r="X8" t="str">
        <v>크롭패딩</v>
      </c>
      <c r="Y8" t="str">
        <v>미드</v>
      </c>
    </row>
    <row r="9" spans="2:25" x14ac:dyDescent="0.3">
      <c r="B9" t="str">
        <v>플레이트</v>
      </c>
      <c r="C9" t="str">
        <v>CVST230218C-01</v>
      </c>
      <c r="D9" t="str">
        <v>NYLON/POLYURETHANE</v>
      </c>
      <c r="F9" t="str">
        <v>75D</v>
      </c>
      <c r="G9" t="str">
        <v>44G</v>
      </c>
      <c r="H9" t="str">
        <v>290T</v>
      </c>
      <c r="J9" t="str">
        <v>15mic</v>
      </c>
      <c r="K9" t="str">
        <v>DWR,CIRE</v>
      </c>
      <c r="N9" t="str">
        <v>BOA</v>
      </c>
      <c r="O9" t="str">
        <v>Ra_LV5</v>
      </c>
      <c r="P9" t="str">
        <v>GU_LV3</v>
      </c>
      <c r="Q9" t="str">
        <v>3L 구조</v>
      </c>
      <c r="R9" t="str">
        <v>15D</v>
      </c>
      <c r="T9" t="str">
        <v>EU DUCK 9010</v>
      </c>
      <c r="U9" t="str">
        <v>180G</v>
      </c>
      <c r="X9" t="str">
        <v>미드패딩</v>
      </c>
      <c r="Y9" t="str">
        <v>슈퍼크롭</v>
      </c>
    </row>
    <row r="10" spans="2:25" x14ac:dyDescent="0.3">
      <c r="B10" t="str">
        <v>26STORY</v>
      </c>
      <c r="C10" t="str">
        <v>PS-1286</v>
      </c>
      <c r="D10" t="str">
        <v xml:space="preserve">POLYESTER </v>
      </c>
      <c r="F10" t="str">
        <v>15D</v>
      </c>
      <c r="G10" t="str">
        <v>160G</v>
      </c>
      <c r="H10" t="str">
        <v>505T</v>
      </c>
      <c r="J10" t="str">
        <v>10mic</v>
      </c>
      <c r="K10" t="str">
        <v>WR,CIRE</v>
      </c>
      <c r="N10" t="str">
        <v>TWILL</v>
      </c>
      <c r="O10" t="str">
        <v>Ra_LV3</v>
      </c>
      <c r="T10" t="str">
        <v>EU GOOSE 9010</v>
      </c>
      <c r="U10" t="str">
        <v>170G</v>
      </c>
      <c r="X10" t="str">
        <v>롱패딩</v>
      </c>
      <c r="Y10" t="str">
        <v>롱</v>
      </c>
    </row>
    <row r="11" spans="2:25" x14ac:dyDescent="0.3">
      <c r="B11" t="str">
        <v>BKT</v>
      </c>
      <c r="C11" t="str">
        <v>26-BELLINA-1003</v>
      </c>
      <c r="F11" t="str">
        <v>70D</v>
      </c>
      <c r="G11" t="str">
        <v>77G</v>
      </c>
      <c r="H11" t="str">
        <v>300T</v>
      </c>
      <c r="J11" t="str">
        <v>6mic</v>
      </c>
      <c r="N11" t="str">
        <v>DOBBY</v>
      </c>
      <c r="U11" t="str">
        <v>130G</v>
      </c>
      <c r="X11" t="str">
        <v>숏패딩</v>
      </c>
    </row>
    <row r="12" spans="2:25" x14ac:dyDescent="0.3">
      <c r="B12" t="str">
        <v>TOPTEX</v>
      </c>
      <c r="C12" t="str">
        <v>BKW-WMS-028</v>
      </c>
      <c r="F12" t="str">
        <v>25D</v>
      </c>
      <c r="G12" t="str">
        <v>39G</v>
      </c>
      <c r="H12" t="str">
        <v>(니트소재 밀도 없음)</v>
      </c>
      <c r="U12" t="str">
        <v>150G</v>
      </c>
      <c r="X12" t="str">
        <v>패딩베스트</v>
      </c>
    </row>
    <row r="13" spans="2:25" x14ac:dyDescent="0.3">
      <c r="B13" t="str">
        <v>KOA</v>
      </c>
      <c r="C13" t="str">
        <v>N2040CT</v>
      </c>
      <c r="F13" t="str">
        <v>40D</v>
      </c>
      <c r="G13" t="str">
        <v>29G</v>
      </c>
      <c r="H13" t="str">
        <v>441T</v>
      </c>
      <c r="U13" t="str">
        <v>160G</v>
      </c>
    </row>
    <row r="14" spans="2:25" x14ac:dyDescent="0.3">
      <c r="B14" t="str">
        <v>SPM</v>
      </c>
      <c r="C14" t="str">
        <v>CAC-KM0023</v>
      </c>
      <c r="G14" t="str">
        <v>97G</v>
      </c>
      <c r="H14" t="str">
        <v>203T</v>
      </c>
      <c r="U14" t="str">
        <v>210G</v>
      </c>
    </row>
    <row r="15" spans="2:25" x14ac:dyDescent="0.3">
      <c r="B15" t="str">
        <v>네오드림</v>
      </c>
      <c r="C15" t="str">
        <v>BKW-WMS-603</v>
      </c>
      <c r="G15" t="str">
        <v>225G</v>
      </c>
      <c r="H15" t="str">
        <v>477T</v>
      </c>
      <c r="U15" t="str">
        <v>242G</v>
      </c>
    </row>
    <row r="16" spans="2:25" x14ac:dyDescent="0.3">
      <c r="B16" t="str">
        <v>신한</v>
      </c>
      <c r="C16" t="str">
        <v>KA2508-01C</v>
      </c>
      <c r="G16" t="str">
        <v>370G</v>
      </c>
      <c r="H16" t="str">
        <v>491T</v>
      </c>
      <c r="U16" t="str">
        <v>133G</v>
      </c>
    </row>
    <row r="17" spans="2:21" x14ac:dyDescent="0.3">
      <c r="B17" t="str">
        <v>PERTEX</v>
      </c>
      <c r="C17" t="str">
        <v>ACNE_DT 15</v>
      </c>
      <c r="G17" t="str">
        <v>90G</v>
      </c>
      <c r="H17" t="str">
        <v>305T</v>
      </c>
      <c r="U17" t="str">
        <v>85G</v>
      </c>
    </row>
    <row r="18" spans="2:21" x14ac:dyDescent="0.3">
      <c r="B18" t="str">
        <v>GORE</v>
      </c>
      <c r="C18" t="str">
        <v>NEO-226F128</v>
      </c>
      <c r="G18" t="str">
        <v>26G</v>
      </c>
      <c r="H18" t="str">
        <v>210T</v>
      </c>
      <c r="U18" t="str">
        <v>115G</v>
      </c>
    </row>
    <row r="19" spans="2:21" x14ac:dyDescent="0.3">
      <c r="B19" t="str">
        <v>MOVE</v>
      </c>
      <c r="C19" t="str">
        <v>SH-FP1440 DC</v>
      </c>
      <c r="G19" t="str">
        <v>38G</v>
      </c>
      <c r="H19" t="str">
        <v>413T</v>
      </c>
      <c r="U19" t="str">
        <v>90G</v>
      </c>
    </row>
    <row r="20" spans="2:21" x14ac:dyDescent="0.3">
      <c r="B20" t="str">
        <v>덕성</v>
      </c>
      <c r="C20" t="str">
        <v>GD-210C</v>
      </c>
      <c r="G20" t="str">
        <v>172G</v>
      </c>
      <c r="H20" t="str">
        <v>320T</v>
      </c>
      <c r="U20" t="str">
        <v>240G</v>
      </c>
    </row>
    <row r="21" spans="2:21" x14ac:dyDescent="0.3">
      <c r="B21" t="str">
        <v>FLOWTEX</v>
      </c>
      <c r="C21" t="str">
        <v>SL-1417CT</v>
      </c>
      <c r="G21" t="str">
        <v>100G</v>
      </c>
      <c r="H21" t="str">
        <v>398T</v>
      </c>
      <c r="U21" t="str">
        <v>195G</v>
      </c>
    </row>
    <row r="22" spans="2:21" x14ac:dyDescent="0.3">
      <c r="B22" t="str">
        <v>KIS</v>
      </c>
      <c r="C22" t="str">
        <v>PRD812-NFC</v>
      </c>
      <c r="G22" t="str">
        <v>120G</v>
      </c>
      <c r="H22" t="str">
        <v>218T</v>
      </c>
      <c r="U22" t="str">
        <v>290G</v>
      </c>
    </row>
    <row r="23" spans="2:21" x14ac:dyDescent="0.3">
      <c r="B23" t="str">
        <v>라임</v>
      </c>
      <c r="C23" t="str">
        <v>GL-151C</v>
      </c>
      <c r="G23" t="str">
        <v>53G</v>
      </c>
      <c r="H23" t="str">
        <v>444T</v>
      </c>
      <c r="U23" t="str">
        <v>220G</v>
      </c>
    </row>
    <row r="24" spans="2:21" x14ac:dyDescent="0.3">
      <c r="B24" t="str">
        <v>해원</v>
      </c>
      <c r="C24" t="str">
        <v xml:space="preserve">BNRSPL75ES-PX 2L </v>
      </c>
      <c r="G24" t="str">
        <v>108G</v>
      </c>
      <c r="H24" t="str">
        <v>499T</v>
      </c>
      <c r="U24" t="str">
        <v>320G</v>
      </c>
    </row>
    <row r="25" spans="2:21" x14ac:dyDescent="0.3">
      <c r="B25" t="str">
        <v>봄텍스</v>
      </c>
      <c r="C25" t="str">
        <v>TFCT-9039 (3K/3K 2L)</v>
      </c>
      <c r="G25" t="str">
        <v>75G</v>
      </c>
      <c r="H25" t="str">
        <v>435T</v>
      </c>
      <c r="U25" t="str">
        <v>175G</v>
      </c>
    </row>
    <row r="26" spans="2:21" x14ac:dyDescent="0.3">
      <c r="B26" t="str">
        <v>FLOW TEX</v>
      </c>
      <c r="C26" t="str">
        <v>MV-2083 3L</v>
      </c>
      <c r="G26" t="str">
        <v>50G</v>
      </c>
      <c r="H26" t="str">
        <v>322T</v>
      </c>
      <c r="U26" t="str">
        <v>99G</v>
      </c>
    </row>
    <row r="27" spans="2:21" x14ac:dyDescent="0.3">
      <c r="B27" t="str">
        <v>스케치</v>
      </c>
      <c r="C27" t="str">
        <v>PF-20918S-45 (P30D 평행 튜브) 4.5CM</v>
      </c>
      <c r="G27" t="str">
        <v>375G</v>
      </c>
      <c r="H27" t="str">
        <v>279T</v>
      </c>
      <c r="U27" t="str">
        <v>66G</v>
      </c>
    </row>
    <row r="28" spans="2:21" x14ac:dyDescent="0.3">
      <c r="B28" t="str">
        <v>KMI</v>
      </c>
      <c r="C28" t="str">
        <v>PF-23032-11 (P30D 사각 튜브) 11CM</v>
      </c>
      <c r="G28" t="str">
        <v>392G</v>
      </c>
      <c r="H28" t="str">
        <v>357T</v>
      </c>
      <c r="U28" t="str">
        <v>125G</v>
      </c>
    </row>
    <row r="29" spans="2:21" x14ac:dyDescent="0.3">
      <c r="B29" t="str">
        <v>BOMTEX</v>
      </c>
      <c r="C29" t="str">
        <v>PF-23032-10 (P30D 사각 튜브) 10CM</v>
      </c>
      <c r="G29" t="str">
        <v>34G</v>
      </c>
      <c r="H29" t="str">
        <v>241T</v>
      </c>
      <c r="U29" t="str">
        <v>87G</v>
      </c>
    </row>
    <row r="30" spans="2:21" x14ac:dyDescent="0.3">
      <c r="B30" t="str">
        <v>MD글로벌</v>
      </c>
      <c r="C30" t="str">
        <v>PF-24028M (지그재그 9.5*9.5)</v>
      </c>
      <c r="G30" t="str">
        <v>45G</v>
      </c>
      <c r="H30" t="str">
        <v>240T</v>
      </c>
      <c r="U30" t="str">
        <v>106G</v>
      </c>
    </row>
    <row r="31" spans="2:21" x14ac:dyDescent="0.3">
      <c r="C31" t="str">
        <v>PF-24028W (지그재그 튜브 9 * 9)</v>
      </c>
      <c r="G31" t="str">
        <v>102G</v>
      </c>
      <c r="H31" t="str">
        <v>209T</v>
      </c>
      <c r="U31" t="str">
        <v>135G</v>
      </c>
    </row>
    <row r="32" spans="2:21" x14ac:dyDescent="0.3">
      <c r="C32" t="str">
        <v>SOLID PU-1002</v>
      </c>
      <c r="G32" t="str">
        <v>58G</v>
      </c>
      <c r="H32" t="str">
        <v>232T</v>
      </c>
      <c r="U32" t="str">
        <v>105G</v>
      </c>
    </row>
    <row r="33" spans="3:21" x14ac:dyDescent="0.3">
      <c r="C33" t="str">
        <v>CJP-430P-ST</v>
      </c>
      <c r="G33" t="str">
        <v>55G</v>
      </c>
      <c r="H33" t="str">
        <v>310T</v>
      </c>
      <c r="U33" t="str">
        <v>95G</v>
      </c>
    </row>
    <row r="34" spans="3:21" x14ac:dyDescent="0.3">
      <c r="C34" t="str">
        <v>D1417-34C20</v>
      </c>
      <c r="G34" t="str">
        <v>52G</v>
      </c>
      <c r="H34" t="str">
        <v>220T</v>
      </c>
      <c r="U34" t="str">
        <v>75G</v>
      </c>
    </row>
    <row r="35" spans="3:21" x14ac:dyDescent="0.3">
      <c r="C35" t="str">
        <v>KP-4039</v>
      </c>
      <c r="G35" t="str">
        <v>68G</v>
      </c>
      <c r="H35" t="str">
        <v>376T</v>
      </c>
      <c r="U35" t="str">
        <v>265G</v>
      </c>
    </row>
    <row r="36" spans="3:21" x14ac:dyDescent="0.3">
      <c r="C36" t="str">
        <v>MC-2572 FC</v>
      </c>
      <c r="G36" t="str">
        <v>84G</v>
      </c>
      <c r="H36" t="str">
        <v>482T</v>
      </c>
      <c r="U36" t="str">
        <v>215G</v>
      </c>
    </row>
    <row r="37" spans="3:21" x14ac:dyDescent="0.3">
      <c r="C37" t="str">
        <v>TP00-0343</v>
      </c>
      <c r="G37" t="str">
        <v>95G</v>
      </c>
      <c r="H37" t="str">
        <v>370T</v>
      </c>
      <c r="U37" t="str">
        <v>232G</v>
      </c>
    </row>
    <row r="38" spans="3:21" x14ac:dyDescent="0.3">
      <c r="C38" t="str">
        <v>LS-7243</v>
      </c>
      <c r="G38" t="str">
        <v>125G</v>
      </c>
      <c r="H38" t="str">
        <v>219T</v>
      </c>
      <c r="U38" t="str">
        <v>182G</v>
      </c>
    </row>
    <row r="39" spans="3:21" x14ac:dyDescent="0.3">
      <c r="C39" t="str">
        <v>BKW-WMS-421</v>
      </c>
      <c r="G39" t="str">
        <v>192G</v>
      </c>
      <c r="H39" t="str">
        <v>380T</v>
      </c>
      <c r="U39" t="str">
        <v>355G</v>
      </c>
    </row>
    <row r="40" spans="3:21" x14ac:dyDescent="0.3">
      <c r="C40" t="str">
        <v>NEO-K26F19</v>
      </c>
      <c r="G40" t="str">
        <v>54G</v>
      </c>
      <c r="H40" t="str">
        <v>327T</v>
      </c>
      <c r="U40" t="str">
        <v>275G</v>
      </c>
    </row>
    <row r="41" spans="3:21" x14ac:dyDescent="0.3">
      <c r="C41" t="str">
        <v>HWN-2020BR/DPC</v>
      </c>
      <c r="G41" t="str">
        <v>115G</v>
      </c>
      <c r="H41" t="str">
        <v>295T</v>
      </c>
      <c r="U41" t="str">
        <v>250G</v>
      </c>
    </row>
    <row r="42" spans="3:21" x14ac:dyDescent="0.3">
      <c r="C42" t="str">
        <v>BOM-SB1368CA (JS1001 PU 뺀 VER.)</v>
      </c>
      <c r="G42" t="str">
        <v>122G</v>
      </c>
      <c r="H42" t="str">
        <v>470T</v>
      </c>
      <c r="U42" t="str">
        <v>390G</v>
      </c>
    </row>
    <row r="43" spans="3:21" x14ac:dyDescent="0.3">
      <c r="C43" t="str">
        <v>PF-23032 (P30D 사각 튜브) 12CM</v>
      </c>
      <c r="G43" t="str">
        <v>36G</v>
      </c>
      <c r="H43" t="str">
        <v>362T</v>
      </c>
      <c r="U43" t="str">
        <v>300G</v>
      </c>
    </row>
    <row r="44" spans="3:21" x14ac:dyDescent="0.3">
      <c r="C44" t="str">
        <v>bnrSPL50NJ 2L</v>
      </c>
      <c r="G44" t="str">
        <v>111G</v>
      </c>
      <c r="H44" t="str">
        <v>208T</v>
      </c>
      <c r="U44" t="str">
        <v>287G</v>
      </c>
    </row>
    <row r="45" spans="3:21" x14ac:dyDescent="0.3">
      <c r="C45" t="str">
        <v>CJP-336</v>
      </c>
      <c r="G45" t="str">
        <v>72G</v>
      </c>
      <c r="H45" t="str">
        <v>388T</v>
      </c>
      <c r="U45" t="str">
        <v>380G</v>
      </c>
    </row>
    <row r="46" spans="3:21" x14ac:dyDescent="0.3">
      <c r="C46" t="str">
        <v>MC-233 (1)</v>
      </c>
      <c r="G46" t="str">
        <v>28G</v>
      </c>
      <c r="H46" t="str">
        <v>338T</v>
      </c>
      <c r="U46" t="str">
        <v>200G</v>
      </c>
    </row>
    <row r="47" spans="3:21" x14ac:dyDescent="0.3">
      <c r="C47" t="str">
        <v>CAC-6912 2T</v>
      </c>
      <c r="G47" t="str">
        <v>74G</v>
      </c>
      <c r="H47" t="str">
        <v>424T</v>
      </c>
      <c r="U47" t="str">
        <v>211G</v>
      </c>
    </row>
    <row r="48" spans="3:21" x14ac:dyDescent="0.3">
      <c r="C48" t="str">
        <v>BOM-JS1001(SB1368SPCA)</v>
      </c>
      <c r="G48" t="str">
        <v>124G</v>
      </c>
      <c r="H48" t="str">
        <v>330T</v>
      </c>
      <c r="U48" t="str">
        <v>70G</v>
      </c>
    </row>
    <row r="49" spans="3:21" x14ac:dyDescent="0.3">
      <c r="C49" t="str">
        <v>26S-BELLINA-1003</v>
      </c>
      <c r="G49" t="str">
        <v>137G</v>
      </c>
      <c r="H49" t="str">
        <v>392T</v>
      </c>
      <c r="U49" t="str">
        <v>46G</v>
      </c>
    </row>
    <row r="50" spans="3:21" x14ac:dyDescent="0.3">
      <c r="C50" t="str">
        <v>MC-233</v>
      </c>
      <c r="G50" t="str">
        <v>81G</v>
      </c>
      <c r="H50" t="str">
        <v>448T</v>
      </c>
      <c r="U50" t="str">
        <v>77G</v>
      </c>
    </row>
    <row r="51" spans="3:21" x14ac:dyDescent="0.3">
      <c r="C51" t="str">
        <v>CJP-117</v>
      </c>
      <c r="G51" t="str">
        <v>49G</v>
      </c>
      <c r="H51" t="str">
        <v>314T</v>
      </c>
      <c r="U51" t="str">
        <v>63G</v>
      </c>
    </row>
    <row r="52" spans="3:21" x14ac:dyDescent="0.3">
      <c r="C52" t="str">
        <v>CVST19BM0027</v>
      </c>
      <c r="G52" t="str">
        <v>65G</v>
      </c>
      <c r="H52" t="str">
        <v>420T</v>
      </c>
      <c r="U52" t="str">
        <v>100G</v>
      </c>
    </row>
    <row r="53" spans="3:21" x14ac:dyDescent="0.3">
      <c r="C53" t="str">
        <v>NEO-22F231 (10mic)</v>
      </c>
      <c r="U53" t="str">
        <v>184G</v>
      </c>
    </row>
    <row r="54" spans="3:21" x14ac:dyDescent="0.3">
      <c r="C54" t="str">
        <v>SK-20-0621-3F(고투습)</v>
      </c>
      <c r="U54" t="str">
        <v>120G</v>
      </c>
    </row>
    <row r="55" spans="3:21" x14ac:dyDescent="0.3">
      <c r="C55" t="str">
        <v>KIS-180710-02 SKIN</v>
      </c>
      <c r="U55" t="str">
        <v>155G</v>
      </c>
    </row>
    <row r="56" spans="3:21" x14ac:dyDescent="0.3">
      <c r="C56" t="str">
        <v>NEO-C22F238 (N) 10mic</v>
      </c>
      <c r="U56" t="str">
        <v>145G</v>
      </c>
    </row>
    <row r="57" spans="3:21" x14ac:dyDescent="0.3">
      <c r="C57" t="str">
        <v>SK21-B-424</v>
      </c>
      <c r="U57" t="str">
        <v>230G</v>
      </c>
    </row>
    <row r="58" spans="3:21" x14ac:dyDescent="0.3">
      <c r="C58" t="str">
        <v>SK21-B-424 SOFT(10mic)</v>
      </c>
      <c r="U58" t="str">
        <v>225G</v>
      </c>
    </row>
    <row r="59" spans="3:21" x14ac:dyDescent="0.3">
      <c r="C59" t="str">
        <v>PF-20918 (P30D 평행 튜브) 4.5CM</v>
      </c>
      <c r="U59" t="str">
        <v>235G</v>
      </c>
    </row>
    <row r="60" spans="3:21" x14ac:dyDescent="0.3">
      <c r="C60" t="str">
        <v>PF-20785 (P50D 사각 튜브) 11CM</v>
      </c>
      <c r="U60" t="str">
        <v>365G</v>
      </c>
    </row>
    <row r="61" spans="3:21" x14ac:dyDescent="0.3">
      <c r="C61" t="str">
        <v>PF-20785 (P50D 사각 튜브) 10CM</v>
      </c>
      <c r="U61" t="str">
        <v>285G</v>
      </c>
    </row>
    <row r="62" spans="3:21" x14ac:dyDescent="0.3">
      <c r="C62" t="str">
        <v>KIS-180710-02 TPU</v>
      </c>
      <c r="U62" t="str">
        <v>80G</v>
      </c>
    </row>
    <row r="63" spans="3:21" x14ac:dyDescent="0.3">
      <c r="C63" t="str">
        <v>CJP-1448</v>
      </c>
      <c r="U63" t="str">
        <v>92G</v>
      </c>
    </row>
    <row r="64" spans="3:21" x14ac:dyDescent="0.3">
      <c r="C64" t="str">
        <v>SK-23-0628-5BT</v>
      </c>
      <c r="U64" t="str">
        <v>345G</v>
      </c>
    </row>
    <row r="65" spans="3:21" x14ac:dyDescent="0.3">
      <c r="C65" t="str">
        <v>CJP-077</v>
      </c>
      <c r="U65" t="str">
        <v>280G</v>
      </c>
    </row>
    <row r="66" spans="3:21" x14ac:dyDescent="0.3">
      <c r="C66" t="str">
        <v>bnSPL75MT 2L</v>
      </c>
      <c r="U66" t="str">
        <v>190G</v>
      </c>
    </row>
    <row r="67" spans="3:21" x14ac:dyDescent="0.3">
      <c r="C67" t="str">
        <v>DC.1021</v>
      </c>
      <c r="U67" t="str">
        <v>340G</v>
      </c>
    </row>
    <row r="68" spans="3:21" x14ac:dyDescent="0.3">
      <c r="C68" t="str">
        <v>PC1743-DWR</v>
      </c>
      <c r="U68" t="str">
        <v>183G</v>
      </c>
    </row>
    <row r="69" spans="3:21" x14ac:dyDescent="0.3">
      <c r="C69" t="str">
        <v>WS-N2F40S (다운안감)</v>
      </c>
      <c r="U69" t="str">
        <v>315G</v>
      </c>
    </row>
    <row r="70" spans="3:21" x14ac:dyDescent="0.3">
      <c r="C70" t="str">
        <v>MC-2572 HC</v>
      </c>
      <c r="U70" t="str">
        <v>370G</v>
      </c>
    </row>
    <row r="71" spans="3:21" x14ac:dyDescent="0.3">
      <c r="C71" t="str">
        <v>KMI-6084</v>
      </c>
      <c r="U71" t="str">
        <v>260G</v>
      </c>
    </row>
    <row r="72" spans="3:21" x14ac:dyDescent="0.3">
      <c r="C72" t="str">
        <v>PRP511-NFC</v>
      </c>
      <c r="U72" t="str">
        <v>96G</v>
      </c>
    </row>
    <row r="73" spans="3:21" x14ac:dyDescent="0.3">
      <c r="C73" t="str">
        <v>BOM-SB4129CC</v>
      </c>
      <c r="U73" t="str">
        <v>31G</v>
      </c>
    </row>
    <row r="74" spans="3:21" x14ac:dyDescent="0.3">
      <c r="C74" t="str">
        <v>PRP510-NFC</v>
      </c>
      <c r="U74" t="str">
        <v>49G</v>
      </c>
    </row>
    <row r="75" spans="3:21" x14ac:dyDescent="0.3">
      <c r="C75" t="str">
        <v>SK-24-0528-9</v>
      </c>
      <c r="U75" t="str">
        <v>172G</v>
      </c>
    </row>
    <row r="76" spans="3:21" x14ac:dyDescent="0.3">
      <c r="C76" t="str">
        <v>SK-24-0728-3F</v>
      </c>
      <c r="U76" t="str">
        <v>127G</v>
      </c>
    </row>
    <row r="77" spans="3:21" x14ac:dyDescent="0.3">
      <c r="C77" t="str">
        <v>BOM-SB4336WPUA</v>
      </c>
      <c r="U77" t="str">
        <v>206G</v>
      </c>
    </row>
    <row r="78" spans="3:21" x14ac:dyDescent="0.3">
      <c r="C78" t="str">
        <v>TN00-2079</v>
      </c>
      <c r="U78" t="str">
        <v>185G</v>
      </c>
    </row>
    <row r="79" spans="3:21" x14ac:dyDescent="0.3">
      <c r="C79" t="str">
        <v>SK20-0303-4SKIN</v>
      </c>
      <c r="U79" t="str">
        <v>207G</v>
      </c>
    </row>
    <row r="80" spans="3:21" x14ac:dyDescent="0.3">
      <c r="C80" t="str">
        <v>TP00-0343-OPP</v>
      </c>
      <c r="U80" t="str">
        <v>153G</v>
      </c>
    </row>
    <row r="81" spans="3:21" x14ac:dyDescent="0.3">
      <c r="C81" t="str">
        <v>BOM-Y7242</v>
      </c>
      <c r="U81" t="str">
        <v>400G</v>
      </c>
    </row>
    <row r="82" spans="3:21" x14ac:dyDescent="0.3">
      <c r="C82" t="str">
        <v>MDAC-71375</v>
      </c>
      <c r="U82" t="str">
        <v>224G</v>
      </c>
    </row>
    <row r="83" spans="3:21" x14ac:dyDescent="0.3">
      <c r="C83" t="str">
        <v xml:space="preserve">PCR2503-DWR </v>
      </c>
      <c r="U83" t="str">
        <v>126G</v>
      </c>
    </row>
    <row r="84" spans="3:21" x14ac:dyDescent="0.3">
      <c r="C84" t="str">
        <v>bnrSPL75ES-PX 2L</v>
      </c>
      <c r="U84" t="str">
        <v>222G</v>
      </c>
    </row>
    <row r="85" spans="3:21" x14ac:dyDescent="0.3">
      <c r="C85" t="str">
        <v>TN00-2095-1 (11*11 사각TUBE/TN00-2004-1 일반사ver)</v>
      </c>
      <c r="U85" t="str">
        <v>192G</v>
      </c>
    </row>
    <row r="86" spans="3:21" x14ac:dyDescent="0.3">
      <c r="C86" t="str">
        <v>TP-0019-TP</v>
      </c>
      <c r="U86" t="str">
        <v>375G</v>
      </c>
    </row>
    <row r="87" spans="3:21" x14ac:dyDescent="0.3">
      <c r="C87" t="str">
        <v>TP-0376</v>
      </c>
      <c r="U87" t="str">
        <v>270G</v>
      </c>
    </row>
    <row r="88" spans="3:21" x14ac:dyDescent="0.3">
      <c r="C88" t="str">
        <v>TN00-2083-1 (TN00-2004 SOLID COATED))</v>
      </c>
      <c r="U88" t="str">
        <v>360G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28EC-4D82-42B7-AC1E-E114EE1434A2}">
  <sheetPr>
    <tabColor theme="1"/>
  </sheetPr>
  <dimension ref="A1:AS603"/>
  <sheetViews>
    <sheetView topLeftCell="B1" zoomScale="85" zoomScaleNormal="85" workbookViewId="0">
      <pane xSplit="7" ySplit="4" topLeftCell="I326" activePane="bottomRight" state="frozen"/>
      <selection pane="topRight" activeCell="G26" sqref="G26"/>
      <selection pane="bottomLeft" activeCell="G26" sqref="G26"/>
      <selection pane="bottomRight" activeCell="C357" sqref="C357"/>
    </sheetView>
  </sheetViews>
  <sheetFormatPr defaultRowHeight="16.5" outlineLevelCol="1" x14ac:dyDescent="0.3"/>
  <cols>
    <col min="1" max="1" width="5.5" style="31" hidden="1" customWidth="1"/>
    <col min="2" max="2" width="14" style="4" customWidth="1"/>
    <col min="3" max="3" width="9" style="10"/>
    <col min="4" max="4" width="3.625" style="10" customWidth="1"/>
    <col min="5" max="6" width="5.5" style="10" customWidth="1"/>
    <col min="7" max="7" width="3.125" style="10" customWidth="1"/>
    <col min="8" max="8" width="31.125" style="4" customWidth="1"/>
    <col min="9" max="9" width="4.75" style="10" customWidth="1"/>
    <col min="10" max="10" width="4" style="4" customWidth="1"/>
    <col min="11" max="11" width="6" style="4" customWidth="1"/>
    <col min="12" max="12" width="9.375" style="4" customWidth="1"/>
    <col min="13" max="13" width="6.75" style="11" hidden="1" customWidth="1"/>
    <col min="14" max="14" width="10.75" style="4" hidden="1" customWidth="1" outlineLevel="1"/>
    <col min="15" max="15" width="14.875" style="4" customWidth="1" outlineLevel="1"/>
    <col min="16" max="16" width="9" style="4" customWidth="1" outlineLevel="1"/>
    <col min="17" max="17" width="9" style="54" customWidth="1" outlineLevel="1"/>
    <col min="18" max="18" width="9" style="4" customWidth="1" outlineLevel="1"/>
    <col min="19" max="19" width="14.875" style="54" customWidth="1" outlineLevel="1"/>
    <col min="20" max="20" width="9" style="4" customWidth="1" outlineLevel="1"/>
    <col min="21" max="21" width="8.5" style="4" customWidth="1" outlineLevel="1"/>
    <col min="22" max="23" width="9" style="4" customWidth="1" outlineLevel="1"/>
    <col min="24" max="24" width="9" style="9" customWidth="1" outlineLevel="1"/>
    <col min="25" max="25" width="9" style="10" customWidth="1" outlineLevel="1"/>
    <col min="26" max="27" width="8.625" style="54" customWidth="1" outlineLevel="1"/>
    <col min="28" max="28" width="11" style="11" customWidth="1"/>
    <col min="29" max="30" width="7.75" style="4" customWidth="1" outlineLevel="1"/>
    <col min="31" max="31" width="16.25" style="66" customWidth="1" outlineLevel="1"/>
    <col min="32" max="32" width="11" style="54" customWidth="1" outlineLevel="1"/>
    <col min="33" max="33" width="8" style="10" hidden="1" customWidth="1" outlineLevel="1"/>
    <col min="34" max="34" width="7.375" style="10" customWidth="1" outlineLevel="1"/>
    <col min="35" max="35" width="13.375" style="9" customWidth="1"/>
    <col min="36" max="36" width="10.125" style="10" customWidth="1"/>
    <col min="37" max="37" width="9" style="36"/>
    <col min="38" max="38" width="12.25" style="30" customWidth="1"/>
    <col min="39" max="39" width="9" style="30"/>
    <col min="40" max="40" width="12.25" style="30" customWidth="1"/>
    <col min="41" max="41" width="9" style="35"/>
    <col min="43" max="43" width="9" style="3"/>
  </cols>
  <sheetData>
    <row r="1" spans="1:44" ht="31.5" x14ac:dyDescent="0.3">
      <c r="A1" s="1"/>
      <c r="B1" s="40" t="s">
        <v>735</v>
      </c>
      <c r="C1" s="49"/>
      <c r="D1" s="3"/>
      <c r="E1" s="3"/>
      <c r="F1" s="3"/>
      <c r="G1" s="3"/>
      <c r="I1" s="3"/>
      <c r="J1"/>
      <c r="K1"/>
      <c r="L1" s="5"/>
      <c r="M1" s="57"/>
      <c r="N1" s="58"/>
      <c r="O1" s="58"/>
      <c r="P1" s="58"/>
      <c r="Q1" s="20"/>
      <c r="R1" s="59"/>
      <c r="S1" s="80"/>
      <c r="T1" s="59"/>
      <c r="U1" s="93"/>
      <c r="V1" s="59"/>
      <c r="W1" s="59"/>
      <c r="X1" s="57"/>
      <c r="Y1" s="58"/>
      <c r="Z1" s="20"/>
      <c r="AA1" s="80"/>
      <c r="AB1" s="57"/>
      <c r="AC1" s="58"/>
      <c r="AD1" s="59"/>
      <c r="AE1" s="90"/>
      <c r="AF1" s="91"/>
      <c r="AG1" s="44"/>
      <c r="AH1" s="8"/>
      <c r="AJ1" s="8"/>
      <c r="AK1" s="114">
        <f>AK3/'DJ 2025 FW'!AK3-1</f>
        <v>2.0285644235801477</v>
      </c>
      <c r="AL1" s="46">
        <f>AL3/'DJ 2025 FW'!AL3-1</f>
        <v>1.9912610437930556</v>
      </c>
      <c r="AM1" s="46">
        <f>AM3/'DJ 2025 FW'!AQ3-1</f>
        <v>0.31515383208208525</v>
      </c>
      <c r="AN1" s="46">
        <f>AN3/'DJ 2025 FW'!AR3-1</f>
        <v>0.32923884650815594</v>
      </c>
      <c r="AO1" s="47">
        <f>AO3-'DJ 2025 FW'!AS3</f>
        <v>-0.3193370059108972</v>
      </c>
    </row>
    <row r="2" spans="1:44" x14ac:dyDescent="0.3">
      <c r="A2" s="1"/>
      <c r="B2" s="12" t="s">
        <v>1</v>
      </c>
      <c r="C2" s="13"/>
      <c r="D2" s="3"/>
      <c r="E2" s="3"/>
      <c r="F2" s="3"/>
      <c r="G2" s="3"/>
      <c r="I2" s="3"/>
      <c r="J2"/>
      <c r="K2" s="33"/>
      <c r="L2" s="5"/>
      <c r="M2" s="12" t="s">
        <v>2</v>
      </c>
      <c r="N2" s="7"/>
      <c r="O2" s="7"/>
      <c r="P2" s="7"/>
      <c r="Q2" s="79"/>
      <c r="R2" s="8"/>
      <c r="S2" s="80"/>
      <c r="T2" s="8"/>
      <c r="U2" s="109"/>
      <c r="V2" s="8"/>
      <c r="W2" s="8"/>
      <c r="X2" s="12" t="s">
        <v>3</v>
      </c>
      <c r="Y2" s="17"/>
      <c r="Z2" s="20"/>
      <c r="AA2" s="80"/>
      <c r="AB2" s="12" t="s">
        <v>4</v>
      </c>
      <c r="AC2" s="17"/>
      <c r="AD2" s="8"/>
      <c r="AE2" s="12" t="s">
        <v>5</v>
      </c>
      <c r="AF2" s="80"/>
      <c r="AG2" s="8"/>
      <c r="AH2" s="8"/>
      <c r="AI2" s="12" t="s">
        <v>6</v>
      </c>
      <c r="AJ2" s="76"/>
      <c r="AK2" s="37" t="s">
        <v>736</v>
      </c>
      <c r="AN2" s="7"/>
      <c r="AO2" s="33"/>
      <c r="AR2" s="33"/>
    </row>
    <row r="3" spans="1:44" x14ac:dyDescent="0.3">
      <c r="A3" s="14"/>
      <c r="B3" s="12"/>
      <c r="C3" s="13"/>
      <c r="D3" s="13"/>
      <c r="E3" s="13"/>
      <c r="F3" s="13"/>
      <c r="G3" s="13"/>
      <c r="H3" s="15"/>
      <c r="I3" s="110">
        <f>SUBTOTAL(9,$I$5:$I$936)</f>
        <v>43</v>
      </c>
      <c r="J3" s="15">
        <f>SUBTOTAL(9,$J$5:$J$936)</f>
        <v>240</v>
      </c>
      <c r="K3" s="15">
        <f>SUBTOTAL(9,$K$5:$K$936)</f>
        <v>750</v>
      </c>
      <c r="L3" s="16"/>
      <c r="M3" s="12"/>
      <c r="N3" s="17"/>
      <c r="O3" s="17"/>
      <c r="P3" s="17"/>
      <c r="Q3" s="17"/>
      <c r="R3" s="13"/>
      <c r="S3" s="13"/>
      <c r="T3" s="13"/>
      <c r="U3" s="13"/>
      <c r="V3" s="13"/>
      <c r="W3" s="13"/>
      <c r="X3" s="41"/>
      <c r="Y3" s="13"/>
      <c r="Z3" s="20" t="s">
        <v>8</v>
      </c>
      <c r="AA3" s="80" t="s">
        <v>9</v>
      </c>
      <c r="AB3" s="6"/>
      <c r="AC3" s="7"/>
      <c r="AD3" s="8"/>
      <c r="AE3" s="92"/>
      <c r="AF3" s="80"/>
      <c r="AG3" s="8"/>
      <c r="AH3" s="13"/>
      <c r="AI3" s="12"/>
      <c r="AJ3" s="17"/>
      <c r="AK3" s="18">
        <f>SUBTOTAL(9,AK5:AK936)</f>
        <v>1927018</v>
      </c>
      <c r="AL3" s="19">
        <f>SUBTOTAL(9,AL5:AL936)</f>
        <v>626501355000</v>
      </c>
      <c r="AM3" s="19">
        <f>SUBTOTAL(9,AM5:AM936)</f>
        <v>472335</v>
      </c>
      <c r="AN3" s="20">
        <f>SUBTOTAL(9,AN5:AN936)</f>
        <v>141758104080</v>
      </c>
      <c r="AO3" s="21">
        <f>AM3/AK3</f>
        <v>0.24511187752268013</v>
      </c>
    </row>
    <row r="4" spans="1:44" s="29" customFormat="1" ht="30.75" customHeight="1" x14ac:dyDescent="0.3">
      <c r="A4" s="22"/>
      <c r="B4" s="23" t="s">
        <v>10</v>
      </c>
      <c r="C4" s="24" t="s">
        <v>11</v>
      </c>
      <c r="D4" s="24" t="s">
        <v>12</v>
      </c>
      <c r="E4" s="23" t="s">
        <v>13</v>
      </c>
      <c r="F4" s="77" t="s">
        <v>14</v>
      </c>
      <c r="G4" s="25" t="s">
        <v>15</v>
      </c>
      <c r="H4" s="23" t="s">
        <v>16</v>
      </c>
      <c r="I4" s="111" t="s">
        <v>737</v>
      </c>
      <c r="J4" s="23" t="s">
        <v>18</v>
      </c>
      <c r="K4" s="23" t="s">
        <v>19</v>
      </c>
      <c r="L4" s="26" t="s">
        <v>20</v>
      </c>
      <c r="M4" s="27" t="s">
        <v>21</v>
      </c>
      <c r="N4" s="23" t="s">
        <v>22</v>
      </c>
      <c r="O4" s="23" t="s">
        <v>23</v>
      </c>
      <c r="P4" s="23" t="s">
        <v>24</v>
      </c>
      <c r="Q4" s="48" t="s">
        <v>25</v>
      </c>
      <c r="R4" s="23" t="s">
        <v>26</v>
      </c>
      <c r="S4" s="48" t="s">
        <v>27</v>
      </c>
      <c r="T4" s="48" t="s">
        <v>28</v>
      </c>
      <c r="U4" s="23" t="s">
        <v>29</v>
      </c>
      <c r="V4" s="23" t="s">
        <v>30</v>
      </c>
      <c r="W4" s="23" t="s">
        <v>31</v>
      </c>
      <c r="X4" s="27" t="s">
        <v>32</v>
      </c>
      <c r="Y4" s="23" t="s">
        <v>738</v>
      </c>
      <c r="Z4" s="48" t="s">
        <v>34</v>
      </c>
      <c r="AA4" s="48" t="s">
        <v>35</v>
      </c>
      <c r="AB4" s="130" t="s">
        <v>36</v>
      </c>
      <c r="AC4" s="23" t="s">
        <v>37</v>
      </c>
      <c r="AD4" s="23" t="s">
        <v>38</v>
      </c>
      <c r="AE4" s="130" t="s">
        <v>39</v>
      </c>
      <c r="AF4" s="48" t="s">
        <v>40</v>
      </c>
      <c r="AG4" s="23" t="s">
        <v>41</v>
      </c>
      <c r="AH4" s="23" t="s">
        <v>42</v>
      </c>
      <c r="AI4" s="27" t="s">
        <v>43</v>
      </c>
      <c r="AJ4" s="23" t="s">
        <v>44</v>
      </c>
      <c r="AK4" s="38" t="s">
        <v>45</v>
      </c>
      <c r="AL4" s="28" t="s">
        <v>46</v>
      </c>
      <c r="AM4" s="28" t="s">
        <v>739</v>
      </c>
      <c r="AN4" s="28" t="s">
        <v>740</v>
      </c>
      <c r="AO4" s="34" t="s">
        <v>741</v>
      </c>
      <c r="AQ4" s="75" t="s">
        <v>742</v>
      </c>
    </row>
    <row r="5" spans="1:44" x14ac:dyDescent="0.3">
      <c r="A5" s="1" t="str">
        <f t="shared" ref="A5:A51" si="0">B5&amp;I5</f>
        <v>DWDJ9F0661</v>
      </c>
      <c r="B5" s="32" t="s">
        <v>743</v>
      </c>
      <c r="C5" s="10" t="str">
        <f>MID(B5,3,5)</f>
        <v>DJ9F0</v>
      </c>
      <c r="D5" s="10" t="s">
        <v>744</v>
      </c>
      <c r="E5" s="10" t="str">
        <f t="shared" ref="E5:E55" si="1">MID($B5,2,1)</f>
        <v>W</v>
      </c>
      <c r="F5" s="10" t="str">
        <f t="shared" ref="F5:F55" si="2">MID($B5,3,2)</f>
        <v>DJ</v>
      </c>
      <c r="G5" s="10" t="s">
        <v>745</v>
      </c>
      <c r="H5" s="4" t="s">
        <v>498</v>
      </c>
      <c r="I5" s="10">
        <v>1</v>
      </c>
      <c r="J5" s="4">
        <v>1</v>
      </c>
      <c r="K5" s="4">
        <v>3</v>
      </c>
      <c r="L5" s="43">
        <v>249000</v>
      </c>
      <c r="M5" s="65" t="s">
        <v>150</v>
      </c>
      <c r="N5" s="39" t="s">
        <v>746</v>
      </c>
      <c r="O5" s="10" t="s">
        <v>143</v>
      </c>
      <c r="P5" s="10">
        <v>100</v>
      </c>
      <c r="Q5" s="32" t="s">
        <v>62</v>
      </c>
      <c r="R5" s="10" t="s">
        <v>747</v>
      </c>
      <c r="S5" s="39" t="s">
        <v>72</v>
      </c>
      <c r="T5" s="10" t="s">
        <v>65</v>
      </c>
      <c r="U5" s="10"/>
      <c r="V5" s="10" t="s">
        <v>153</v>
      </c>
      <c r="W5" s="10"/>
      <c r="X5" s="9" t="s">
        <v>67</v>
      </c>
      <c r="Y5" s="10" t="s">
        <v>68</v>
      </c>
      <c r="Z5" s="32" t="s">
        <v>69</v>
      </c>
      <c r="AA5" s="32" t="s">
        <v>529</v>
      </c>
      <c r="AB5" s="9" t="s">
        <v>71</v>
      </c>
      <c r="AC5" s="10" t="s">
        <v>62</v>
      </c>
      <c r="AD5" s="10" t="s">
        <v>72</v>
      </c>
      <c r="AE5" s="65" t="s">
        <v>137</v>
      </c>
      <c r="AF5" s="39" t="s">
        <v>311</v>
      </c>
      <c r="AG5" s="10" t="s">
        <v>75</v>
      </c>
      <c r="AH5" s="10">
        <v>650</v>
      </c>
      <c r="AI5" s="9" t="s">
        <v>76</v>
      </c>
      <c r="AJ5" s="10" t="s">
        <v>77</v>
      </c>
      <c r="AK5" s="50">
        <v>4000</v>
      </c>
      <c r="AL5" s="43">
        <f t="shared" ref="AL5:AL36" si="3">AK5*L5</f>
        <v>996000000</v>
      </c>
      <c r="AM5" s="43">
        <f t="shared" ref="AM5:AM36" si="4">AK5*AO5</f>
        <v>2600</v>
      </c>
      <c r="AN5" s="43">
        <f t="shared" ref="AN5:AN36" si="5">(AM5*L5)*92%</f>
        <v>595608000</v>
      </c>
      <c r="AO5" s="51">
        <v>0.65</v>
      </c>
      <c r="AQ5" s="3" t="s">
        <v>748</v>
      </c>
    </row>
    <row r="6" spans="1:44" x14ac:dyDescent="0.3">
      <c r="A6" s="1" t="str">
        <f t="shared" si="0"/>
        <v>DWDJ9Q0661</v>
      </c>
      <c r="B6" s="32" t="s">
        <v>749</v>
      </c>
      <c r="C6" s="10" t="str">
        <f t="shared" ref="C6:C56" si="6">MID(B6,3,5)</f>
        <v>DJ9Q0</v>
      </c>
      <c r="D6" s="10" t="s">
        <v>744</v>
      </c>
      <c r="E6" s="10" t="str">
        <f t="shared" si="1"/>
        <v>W</v>
      </c>
      <c r="F6" s="10" t="str">
        <f t="shared" si="2"/>
        <v>DJ</v>
      </c>
      <c r="G6" s="10" t="s">
        <v>745</v>
      </c>
      <c r="H6" s="4" t="s">
        <v>750</v>
      </c>
      <c r="I6" s="10">
        <v>1</v>
      </c>
      <c r="J6" s="4">
        <f t="shared" ref="J6:J16" si="7">IF(B6=B5,"",1)</f>
        <v>1</v>
      </c>
      <c r="K6" s="4">
        <v>3</v>
      </c>
      <c r="L6" s="43">
        <v>269000</v>
      </c>
      <c r="M6" s="9" t="s">
        <v>83</v>
      </c>
      <c r="N6" s="10" t="s">
        <v>751</v>
      </c>
      <c r="O6" s="10" t="s">
        <v>752</v>
      </c>
      <c r="P6" s="10" t="s">
        <v>255</v>
      </c>
      <c r="Q6" s="32" t="s">
        <v>753</v>
      </c>
      <c r="R6" s="10" t="s">
        <v>754</v>
      </c>
      <c r="S6" s="39" t="s">
        <v>755</v>
      </c>
      <c r="T6" s="10" t="s">
        <v>65</v>
      </c>
      <c r="U6" s="10"/>
      <c r="V6" s="10" t="s">
        <v>66</v>
      </c>
      <c r="W6" s="10"/>
      <c r="X6" s="9" t="s">
        <v>756</v>
      </c>
      <c r="Y6" s="10" t="s">
        <v>88</v>
      </c>
      <c r="Z6" s="32" t="s">
        <v>125</v>
      </c>
      <c r="AA6" s="32" t="s">
        <v>90</v>
      </c>
      <c r="AB6" s="9" t="s">
        <v>91</v>
      </c>
      <c r="AC6" s="10" t="s">
        <v>92</v>
      </c>
      <c r="AD6" s="131" t="s">
        <v>92</v>
      </c>
      <c r="AE6" s="65" t="s">
        <v>73</v>
      </c>
      <c r="AF6" s="39" t="s">
        <v>757</v>
      </c>
      <c r="AG6" s="10" t="s">
        <v>240</v>
      </c>
      <c r="AH6" s="10">
        <v>650</v>
      </c>
      <c r="AI6" s="9" t="s">
        <v>289</v>
      </c>
      <c r="AJ6" s="10" t="s">
        <v>241</v>
      </c>
      <c r="AK6" s="50">
        <v>3300</v>
      </c>
      <c r="AL6" s="43">
        <f t="shared" si="3"/>
        <v>887700000</v>
      </c>
      <c r="AM6" s="43">
        <f t="shared" si="4"/>
        <v>2145</v>
      </c>
      <c r="AN6" s="43">
        <f t="shared" si="5"/>
        <v>530844600</v>
      </c>
      <c r="AO6" s="51">
        <f>$AO$5</f>
        <v>0.65</v>
      </c>
      <c r="AQ6" s="3" t="s">
        <v>748</v>
      </c>
    </row>
    <row r="7" spans="1:44" x14ac:dyDescent="0.3">
      <c r="A7" s="1" t="str">
        <f t="shared" si="0"/>
        <v>DWDJ920661</v>
      </c>
      <c r="B7" s="32" t="s">
        <v>758</v>
      </c>
      <c r="C7" s="10" t="str">
        <f t="shared" si="6"/>
        <v>DJ920</v>
      </c>
      <c r="D7" s="10" t="s">
        <v>744</v>
      </c>
      <c r="E7" s="10" t="str">
        <f t="shared" si="1"/>
        <v>W</v>
      </c>
      <c r="F7" s="10" t="str">
        <f t="shared" si="2"/>
        <v>DJ</v>
      </c>
      <c r="G7" s="10" t="s">
        <v>745</v>
      </c>
      <c r="H7" s="4" t="s">
        <v>504</v>
      </c>
      <c r="I7" s="10">
        <v>1</v>
      </c>
      <c r="J7" s="4">
        <f t="shared" si="7"/>
        <v>1</v>
      </c>
      <c r="K7" s="4">
        <v>4</v>
      </c>
      <c r="L7" s="43">
        <v>299000</v>
      </c>
      <c r="M7" s="65" t="s">
        <v>83</v>
      </c>
      <c r="N7" s="39" t="s">
        <v>505</v>
      </c>
      <c r="O7" s="10" t="s">
        <v>485</v>
      </c>
      <c r="P7" s="10">
        <v>100</v>
      </c>
      <c r="Q7" s="32" t="s">
        <v>85</v>
      </c>
      <c r="R7" s="10" t="s">
        <v>86</v>
      </c>
      <c r="S7" s="39" t="s">
        <v>87</v>
      </c>
      <c r="T7" s="10" t="s">
        <v>65</v>
      </c>
      <c r="U7" s="10"/>
      <c r="V7" s="10" t="s">
        <v>66</v>
      </c>
      <c r="W7" s="10"/>
      <c r="X7" s="9" t="s">
        <v>756</v>
      </c>
      <c r="Y7" s="10" t="s">
        <v>88</v>
      </c>
      <c r="Z7" s="32" t="s">
        <v>125</v>
      </c>
      <c r="AA7" s="32" t="s">
        <v>90</v>
      </c>
      <c r="AB7" s="9" t="s">
        <v>91</v>
      </c>
      <c r="AC7" s="10" t="s">
        <v>92</v>
      </c>
      <c r="AD7" s="131" t="s">
        <v>92</v>
      </c>
      <c r="AE7" s="65" t="s">
        <v>137</v>
      </c>
      <c r="AF7" s="39" t="s">
        <v>754</v>
      </c>
      <c r="AG7" s="10" t="s">
        <v>75</v>
      </c>
      <c r="AH7" s="10">
        <v>650</v>
      </c>
      <c r="AI7" s="9" t="s">
        <v>76</v>
      </c>
      <c r="AJ7" s="10" t="s">
        <v>94</v>
      </c>
      <c r="AK7" s="50">
        <v>6000</v>
      </c>
      <c r="AL7" s="43">
        <f t="shared" si="3"/>
        <v>1794000000</v>
      </c>
      <c r="AM7" s="43">
        <f t="shared" si="4"/>
        <v>3900</v>
      </c>
      <c r="AN7" s="43">
        <f t="shared" si="5"/>
        <v>1072812000</v>
      </c>
      <c r="AO7" s="51">
        <f t="shared" ref="AO7:AO72" si="8">$AO$5</f>
        <v>0.65</v>
      </c>
      <c r="AQ7" s="3" t="s">
        <v>748</v>
      </c>
    </row>
    <row r="8" spans="1:44" x14ac:dyDescent="0.3">
      <c r="A8" s="1" t="str">
        <f t="shared" si="0"/>
        <v>DWDJ9H066</v>
      </c>
      <c r="B8" s="32" t="s">
        <v>759</v>
      </c>
      <c r="C8" s="10" t="str">
        <f t="shared" si="6"/>
        <v>DJ9H0</v>
      </c>
      <c r="D8" s="10" t="s">
        <v>744</v>
      </c>
      <c r="E8" s="10" t="str">
        <f t="shared" si="1"/>
        <v>W</v>
      </c>
      <c r="F8" s="10" t="str">
        <f t="shared" si="2"/>
        <v>DJ</v>
      </c>
      <c r="G8" s="10" t="s">
        <v>745</v>
      </c>
      <c r="H8" s="4" t="s">
        <v>760</v>
      </c>
      <c r="I8" s="56"/>
      <c r="J8" s="4">
        <f t="shared" si="7"/>
        <v>1</v>
      </c>
      <c r="K8" s="4">
        <v>3</v>
      </c>
      <c r="L8" s="43">
        <v>319000</v>
      </c>
      <c r="M8" s="65" t="s">
        <v>83</v>
      </c>
      <c r="N8" s="39" t="s">
        <v>761</v>
      </c>
      <c r="O8" s="10" t="s">
        <v>485</v>
      </c>
      <c r="P8" s="10">
        <v>100</v>
      </c>
      <c r="Q8" s="32" t="s">
        <v>85</v>
      </c>
      <c r="R8" s="10" t="s">
        <v>86</v>
      </c>
      <c r="S8" s="39" t="s">
        <v>87</v>
      </c>
      <c r="T8" s="10" t="s">
        <v>65</v>
      </c>
      <c r="U8" s="10"/>
      <c r="V8" s="10" t="s">
        <v>222</v>
      </c>
      <c r="W8" s="10"/>
      <c r="X8" s="9" t="s">
        <v>756</v>
      </c>
      <c r="Y8" s="10" t="s">
        <v>88</v>
      </c>
      <c r="Z8" s="32" t="s">
        <v>125</v>
      </c>
      <c r="AA8" s="32" t="s">
        <v>90</v>
      </c>
      <c r="AB8" s="9" t="s">
        <v>91</v>
      </c>
      <c r="AC8" s="10" t="s">
        <v>92</v>
      </c>
      <c r="AD8" s="131" t="s">
        <v>92</v>
      </c>
      <c r="AE8" s="65" t="s">
        <v>137</v>
      </c>
      <c r="AF8" s="39" t="s">
        <v>343</v>
      </c>
      <c r="AG8" s="10" t="s">
        <v>75</v>
      </c>
      <c r="AH8" s="10">
        <v>650</v>
      </c>
      <c r="AI8" s="9" t="s">
        <v>76</v>
      </c>
      <c r="AJ8" s="10" t="s">
        <v>100</v>
      </c>
      <c r="AK8" s="50">
        <v>3500</v>
      </c>
      <c r="AL8" s="43">
        <f t="shared" si="3"/>
        <v>1116500000</v>
      </c>
      <c r="AM8" s="43">
        <f t="shared" si="4"/>
        <v>2275</v>
      </c>
      <c r="AN8" s="43">
        <f t="shared" si="5"/>
        <v>667667000</v>
      </c>
      <c r="AO8" s="51">
        <f t="shared" si="8"/>
        <v>0.65</v>
      </c>
      <c r="AQ8" s="3" t="s">
        <v>748</v>
      </c>
    </row>
    <row r="9" spans="1:44" x14ac:dyDescent="0.3">
      <c r="A9" s="1" t="str">
        <f t="shared" si="0"/>
        <v>DWDJ930661</v>
      </c>
      <c r="B9" s="32" t="s">
        <v>762</v>
      </c>
      <c r="C9" s="10" t="str">
        <f t="shared" si="6"/>
        <v>DJ930</v>
      </c>
      <c r="D9" s="10" t="s">
        <v>744</v>
      </c>
      <c r="E9" s="10" t="str">
        <f t="shared" si="1"/>
        <v>W</v>
      </c>
      <c r="F9" s="10" t="str">
        <f t="shared" si="2"/>
        <v>DJ</v>
      </c>
      <c r="G9" s="10" t="s">
        <v>745</v>
      </c>
      <c r="H9" s="4" t="s">
        <v>763</v>
      </c>
      <c r="I9" s="10">
        <v>1</v>
      </c>
      <c r="J9" s="4">
        <f t="shared" si="7"/>
        <v>1</v>
      </c>
      <c r="K9" s="4">
        <v>4</v>
      </c>
      <c r="L9" s="43">
        <v>299000</v>
      </c>
      <c r="M9" s="65" t="s">
        <v>194</v>
      </c>
      <c r="N9" s="39" t="s">
        <v>764</v>
      </c>
      <c r="O9" s="10" t="s">
        <v>485</v>
      </c>
      <c r="P9" s="10">
        <v>100</v>
      </c>
      <c r="Q9" s="32" t="s">
        <v>119</v>
      </c>
      <c r="R9" s="10" t="s">
        <v>720</v>
      </c>
      <c r="S9" s="39" t="s">
        <v>331</v>
      </c>
      <c r="T9" s="10" t="s">
        <v>122</v>
      </c>
      <c r="U9" s="10" t="s">
        <v>136</v>
      </c>
      <c r="V9" s="10"/>
      <c r="W9" s="10"/>
      <c r="X9" s="9" t="s">
        <v>756</v>
      </c>
      <c r="Y9" s="10" t="s">
        <v>68</v>
      </c>
      <c r="Z9" s="32" t="s">
        <v>125</v>
      </c>
      <c r="AA9" s="32" t="s">
        <v>90</v>
      </c>
      <c r="AB9" s="9" t="s">
        <v>71</v>
      </c>
      <c r="AC9" s="10" t="s">
        <v>62</v>
      </c>
      <c r="AD9" s="10" t="s">
        <v>72</v>
      </c>
      <c r="AE9" s="65" t="s">
        <v>137</v>
      </c>
      <c r="AF9" s="39" t="s">
        <v>106</v>
      </c>
      <c r="AG9" s="10" t="s">
        <v>127</v>
      </c>
      <c r="AH9" s="10">
        <v>650</v>
      </c>
      <c r="AI9" s="9" t="s">
        <v>128</v>
      </c>
      <c r="AJ9" s="10" t="s">
        <v>94</v>
      </c>
      <c r="AK9" s="50">
        <v>23000</v>
      </c>
      <c r="AL9" s="43">
        <f t="shared" si="3"/>
        <v>6877000000</v>
      </c>
      <c r="AM9" s="43">
        <f t="shared" si="4"/>
        <v>14950</v>
      </c>
      <c r="AN9" s="43">
        <f t="shared" si="5"/>
        <v>4112446000</v>
      </c>
      <c r="AO9" s="51">
        <f t="shared" si="8"/>
        <v>0.65</v>
      </c>
      <c r="AQ9" s="3" t="s">
        <v>748</v>
      </c>
    </row>
    <row r="10" spans="1:44" x14ac:dyDescent="0.3">
      <c r="A10" s="1" t="str">
        <f t="shared" si="0"/>
        <v>DWDJ93166</v>
      </c>
      <c r="B10" s="32" t="s">
        <v>765</v>
      </c>
      <c r="C10" s="10" t="str">
        <f t="shared" si="6"/>
        <v>DJ931</v>
      </c>
      <c r="D10" s="10" t="s">
        <v>744</v>
      </c>
      <c r="E10" s="10" t="str">
        <f t="shared" si="1"/>
        <v>W</v>
      </c>
      <c r="F10" s="10" t="str">
        <f t="shared" si="2"/>
        <v>DJ</v>
      </c>
      <c r="G10" s="10" t="s">
        <v>745</v>
      </c>
      <c r="H10" s="4" t="s">
        <v>766</v>
      </c>
      <c r="J10" s="4">
        <f t="shared" si="7"/>
        <v>1</v>
      </c>
      <c r="K10" s="4">
        <v>3</v>
      </c>
      <c r="L10" s="43">
        <v>299000</v>
      </c>
      <c r="M10" s="65" t="s">
        <v>767</v>
      </c>
      <c r="N10" s="39" t="s">
        <v>768</v>
      </c>
      <c r="O10" s="10" t="s">
        <v>143</v>
      </c>
      <c r="P10" s="10">
        <v>100</v>
      </c>
      <c r="Q10" s="32" t="s">
        <v>62</v>
      </c>
      <c r="R10" s="10" t="s">
        <v>692</v>
      </c>
      <c r="S10" s="39" t="s">
        <v>72</v>
      </c>
      <c r="T10" s="10" t="s">
        <v>65</v>
      </c>
      <c r="U10" s="10"/>
      <c r="V10" s="10" t="s">
        <v>222</v>
      </c>
      <c r="W10" s="10"/>
      <c r="X10" s="9" t="s">
        <v>756</v>
      </c>
      <c r="Y10" s="10" t="s">
        <v>68</v>
      </c>
      <c r="Z10" s="32" t="s">
        <v>154</v>
      </c>
      <c r="AA10" s="32" t="s">
        <v>185</v>
      </c>
      <c r="AB10" s="9" t="s">
        <v>71</v>
      </c>
      <c r="AC10" s="10" t="s">
        <v>62</v>
      </c>
      <c r="AD10" s="10" t="s">
        <v>72</v>
      </c>
      <c r="AE10" s="65" t="s">
        <v>137</v>
      </c>
      <c r="AF10" s="39" t="s">
        <v>106</v>
      </c>
      <c r="AG10" s="10" t="s">
        <v>127</v>
      </c>
      <c r="AH10" s="10">
        <v>650</v>
      </c>
      <c r="AI10" s="9" t="s">
        <v>128</v>
      </c>
      <c r="AJ10" s="10" t="s">
        <v>94</v>
      </c>
      <c r="AK10" s="50">
        <v>6500</v>
      </c>
      <c r="AL10" s="43">
        <f t="shared" si="3"/>
        <v>1943500000</v>
      </c>
      <c r="AM10" s="43">
        <f t="shared" si="4"/>
        <v>4225</v>
      </c>
      <c r="AN10" s="43">
        <f t="shared" si="5"/>
        <v>1162213000</v>
      </c>
      <c r="AO10" s="51">
        <f t="shared" si="8"/>
        <v>0.65</v>
      </c>
      <c r="AQ10" s="3" t="s">
        <v>748</v>
      </c>
    </row>
    <row r="11" spans="1:44" x14ac:dyDescent="0.3">
      <c r="A11" s="1" t="str">
        <f t="shared" si="0"/>
        <v>DWDJ940661</v>
      </c>
      <c r="B11" s="32" t="s">
        <v>769</v>
      </c>
      <c r="C11" s="10" t="str">
        <f t="shared" si="6"/>
        <v>DJ940</v>
      </c>
      <c r="D11" s="10" t="s">
        <v>744</v>
      </c>
      <c r="E11" s="10" t="str">
        <f t="shared" si="1"/>
        <v>W</v>
      </c>
      <c r="F11" s="10" t="str">
        <f t="shared" si="2"/>
        <v>DJ</v>
      </c>
      <c r="G11" s="10" t="s">
        <v>745</v>
      </c>
      <c r="H11" s="4" t="s">
        <v>770</v>
      </c>
      <c r="I11" s="10">
        <v>1</v>
      </c>
      <c r="J11" s="4">
        <f t="shared" si="7"/>
        <v>1</v>
      </c>
      <c r="K11" s="4">
        <v>3</v>
      </c>
      <c r="L11" s="43">
        <v>299000</v>
      </c>
      <c r="M11" s="65" t="s">
        <v>194</v>
      </c>
      <c r="N11" s="39" t="s">
        <v>764</v>
      </c>
      <c r="O11" s="10" t="s">
        <v>485</v>
      </c>
      <c r="P11" s="10">
        <v>100</v>
      </c>
      <c r="Q11" s="32" t="s">
        <v>119</v>
      </c>
      <c r="R11" s="10" t="s">
        <v>720</v>
      </c>
      <c r="S11" s="39" t="s">
        <v>331</v>
      </c>
      <c r="T11" s="10" t="s">
        <v>122</v>
      </c>
      <c r="U11" s="10" t="s">
        <v>136</v>
      </c>
      <c r="V11" s="10"/>
      <c r="W11" s="10"/>
      <c r="X11" s="9" t="s">
        <v>756</v>
      </c>
      <c r="Y11" s="10" t="s">
        <v>68</v>
      </c>
      <c r="Z11" s="32" t="s">
        <v>125</v>
      </c>
      <c r="AA11" s="32" t="s">
        <v>90</v>
      </c>
      <c r="AB11" s="9" t="s">
        <v>71</v>
      </c>
      <c r="AC11" s="10" t="s">
        <v>62</v>
      </c>
      <c r="AD11" s="10" t="s">
        <v>72</v>
      </c>
      <c r="AE11" s="65" t="s">
        <v>137</v>
      </c>
      <c r="AF11" s="39" t="s">
        <v>106</v>
      </c>
      <c r="AG11" s="10" t="s">
        <v>127</v>
      </c>
      <c r="AH11" s="10">
        <v>650</v>
      </c>
      <c r="AI11" s="9" t="s">
        <v>128</v>
      </c>
      <c r="AJ11" s="10" t="s">
        <v>77</v>
      </c>
      <c r="AK11" s="50">
        <v>17000</v>
      </c>
      <c r="AL11" s="43">
        <f t="shared" si="3"/>
        <v>5083000000</v>
      </c>
      <c r="AM11" s="43">
        <f t="shared" si="4"/>
        <v>11050</v>
      </c>
      <c r="AN11" s="43">
        <f t="shared" si="5"/>
        <v>3039634000</v>
      </c>
      <c r="AO11" s="51">
        <f t="shared" si="8"/>
        <v>0.65</v>
      </c>
      <c r="AQ11" s="3" t="s">
        <v>748</v>
      </c>
    </row>
    <row r="12" spans="1:44" x14ac:dyDescent="0.3">
      <c r="A12" s="1" t="str">
        <f t="shared" si="0"/>
        <v>DWDJ94166</v>
      </c>
      <c r="B12" s="32" t="s">
        <v>771</v>
      </c>
      <c r="C12" s="10" t="str">
        <f t="shared" si="6"/>
        <v>DJ941</v>
      </c>
      <c r="D12" s="10" t="s">
        <v>744</v>
      </c>
      <c r="E12" s="10" t="str">
        <f t="shared" si="1"/>
        <v>W</v>
      </c>
      <c r="F12" s="10" t="str">
        <f t="shared" si="2"/>
        <v>DJ</v>
      </c>
      <c r="G12" s="10" t="s">
        <v>745</v>
      </c>
      <c r="H12" s="4" t="s">
        <v>772</v>
      </c>
      <c r="J12" s="4">
        <f t="shared" si="7"/>
        <v>1</v>
      </c>
      <c r="K12" s="4">
        <v>3</v>
      </c>
      <c r="L12" s="43">
        <v>299000</v>
      </c>
      <c r="M12" s="65" t="s">
        <v>150</v>
      </c>
      <c r="N12" s="39" t="s">
        <v>746</v>
      </c>
      <c r="O12" s="10" t="s">
        <v>143</v>
      </c>
      <c r="P12" s="10">
        <v>100</v>
      </c>
      <c r="Q12" s="42" t="s">
        <v>62</v>
      </c>
      <c r="R12" s="10" t="s">
        <v>747</v>
      </c>
      <c r="S12" s="39" t="s">
        <v>72</v>
      </c>
      <c r="T12" s="10" t="s">
        <v>65</v>
      </c>
      <c r="U12" s="10"/>
      <c r="V12" s="10" t="s">
        <v>153</v>
      </c>
      <c r="W12" s="10"/>
      <c r="X12" s="9" t="s">
        <v>67</v>
      </c>
      <c r="Y12" s="10" t="s">
        <v>68</v>
      </c>
      <c r="Z12" s="94" t="s">
        <v>125</v>
      </c>
      <c r="AA12" s="94" t="s">
        <v>70</v>
      </c>
      <c r="AB12" s="9" t="s">
        <v>71</v>
      </c>
      <c r="AC12" s="10" t="s">
        <v>62</v>
      </c>
      <c r="AD12" s="10" t="s">
        <v>72</v>
      </c>
      <c r="AE12" s="65" t="s">
        <v>137</v>
      </c>
      <c r="AF12" s="39" t="s">
        <v>106</v>
      </c>
      <c r="AG12" s="10" t="s">
        <v>127</v>
      </c>
      <c r="AH12" s="10">
        <v>650</v>
      </c>
      <c r="AI12" s="9" t="s">
        <v>128</v>
      </c>
      <c r="AJ12" s="10" t="s">
        <v>77</v>
      </c>
      <c r="AK12" s="50">
        <f>3000+4000+1000</f>
        <v>8000</v>
      </c>
      <c r="AL12" s="43">
        <f t="shared" si="3"/>
        <v>2392000000</v>
      </c>
      <c r="AM12" s="43">
        <f t="shared" si="4"/>
        <v>5200</v>
      </c>
      <c r="AN12" s="43">
        <f t="shared" si="5"/>
        <v>1430416000</v>
      </c>
      <c r="AO12" s="51">
        <f t="shared" si="8"/>
        <v>0.65</v>
      </c>
      <c r="AQ12" s="3" t="s">
        <v>748</v>
      </c>
    </row>
    <row r="13" spans="1:44" x14ac:dyDescent="0.3">
      <c r="A13" s="1" t="str">
        <f t="shared" si="0"/>
        <v>DWDJ9R0661</v>
      </c>
      <c r="B13" s="32" t="s">
        <v>773</v>
      </c>
      <c r="C13" s="10" t="str">
        <f t="shared" si="6"/>
        <v>DJ9R0</v>
      </c>
      <c r="D13" s="10" t="s">
        <v>744</v>
      </c>
      <c r="E13" s="10" t="str">
        <f t="shared" si="1"/>
        <v>W</v>
      </c>
      <c r="F13" s="10" t="str">
        <f t="shared" si="2"/>
        <v>DJ</v>
      </c>
      <c r="G13" s="10" t="s">
        <v>745</v>
      </c>
      <c r="H13" s="4" t="s">
        <v>774</v>
      </c>
      <c r="I13" s="10">
        <v>1</v>
      </c>
      <c r="J13" s="4">
        <f t="shared" si="7"/>
        <v>1</v>
      </c>
      <c r="K13" s="4">
        <v>2</v>
      </c>
      <c r="L13" s="43">
        <v>309000</v>
      </c>
      <c r="M13" s="9" t="s">
        <v>167</v>
      </c>
      <c r="N13" s="10" t="s">
        <v>775</v>
      </c>
      <c r="O13" s="10" t="s">
        <v>532</v>
      </c>
      <c r="P13" s="10">
        <v>100</v>
      </c>
      <c r="Q13" s="32" t="s">
        <v>119</v>
      </c>
      <c r="R13" s="10" t="s">
        <v>169</v>
      </c>
      <c r="S13" s="39" t="s">
        <v>776</v>
      </c>
      <c r="T13" s="10" t="s">
        <v>65</v>
      </c>
      <c r="U13" s="10"/>
      <c r="V13" s="10"/>
      <c r="W13" s="10"/>
      <c r="X13" s="9" t="s">
        <v>756</v>
      </c>
      <c r="Y13" s="10" t="s">
        <v>68</v>
      </c>
      <c r="Z13" s="32" t="s">
        <v>69</v>
      </c>
      <c r="AA13" s="32" t="s">
        <v>70</v>
      </c>
      <c r="AB13" s="9" t="s">
        <v>71</v>
      </c>
      <c r="AC13" s="10" t="s">
        <v>62</v>
      </c>
      <c r="AD13" s="10" t="s">
        <v>72</v>
      </c>
      <c r="AE13" s="65" t="s">
        <v>137</v>
      </c>
      <c r="AF13" s="39" t="s">
        <v>191</v>
      </c>
      <c r="AG13" s="10" t="s">
        <v>127</v>
      </c>
      <c r="AH13" s="10">
        <v>650</v>
      </c>
      <c r="AI13" s="9" t="s">
        <v>128</v>
      </c>
      <c r="AJ13" s="10" t="s">
        <v>77</v>
      </c>
      <c r="AK13" s="50">
        <v>18000</v>
      </c>
      <c r="AL13" s="43">
        <f t="shared" si="3"/>
        <v>5562000000</v>
      </c>
      <c r="AM13" s="43">
        <f t="shared" si="4"/>
        <v>11700</v>
      </c>
      <c r="AN13" s="43">
        <f t="shared" si="5"/>
        <v>3326076000</v>
      </c>
      <c r="AO13" s="51">
        <f t="shared" si="8"/>
        <v>0.65</v>
      </c>
      <c r="AQ13" s="3" t="s">
        <v>748</v>
      </c>
    </row>
    <row r="14" spans="1:44" x14ac:dyDescent="0.3">
      <c r="A14" s="1" t="str">
        <f t="shared" si="0"/>
        <v>DWDJ9R166</v>
      </c>
      <c r="B14" s="32" t="s">
        <v>777</v>
      </c>
      <c r="C14" s="10" t="str">
        <f t="shared" si="6"/>
        <v>DJ9R1</v>
      </c>
      <c r="D14" s="10" t="s">
        <v>744</v>
      </c>
      <c r="E14" s="10" t="str">
        <f t="shared" si="1"/>
        <v>W</v>
      </c>
      <c r="F14" s="10" t="str">
        <f t="shared" si="2"/>
        <v>DJ</v>
      </c>
      <c r="G14" s="10" t="s">
        <v>745</v>
      </c>
      <c r="H14" s="4" t="s">
        <v>778</v>
      </c>
      <c r="J14" s="4">
        <f t="shared" si="7"/>
        <v>1</v>
      </c>
      <c r="K14" s="4">
        <v>2</v>
      </c>
      <c r="L14" s="43">
        <v>309000</v>
      </c>
      <c r="M14" s="65" t="s">
        <v>533</v>
      </c>
      <c r="N14" s="39" t="s">
        <v>534</v>
      </c>
      <c r="O14" s="98" t="s">
        <v>532</v>
      </c>
      <c r="P14" s="10">
        <v>100</v>
      </c>
      <c r="Q14" s="32" t="s">
        <v>62</v>
      </c>
      <c r="R14" s="10" t="s">
        <v>535</v>
      </c>
      <c r="S14" s="39" t="s">
        <v>72</v>
      </c>
      <c r="T14" s="10" t="s">
        <v>65</v>
      </c>
      <c r="U14" s="10"/>
      <c r="V14" s="10"/>
      <c r="W14" s="10"/>
      <c r="X14" s="9" t="s">
        <v>756</v>
      </c>
      <c r="Y14" s="10" t="s">
        <v>68</v>
      </c>
      <c r="Z14" s="32" t="s">
        <v>536</v>
      </c>
      <c r="AA14" s="32" t="s">
        <v>529</v>
      </c>
      <c r="AB14" s="9" t="s">
        <v>71</v>
      </c>
      <c r="AC14" s="10" t="s">
        <v>62</v>
      </c>
      <c r="AD14" s="10" t="s">
        <v>72</v>
      </c>
      <c r="AE14" s="65" t="s">
        <v>137</v>
      </c>
      <c r="AF14" s="39" t="s">
        <v>191</v>
      </c>
      <c r="AG14" s="10" t="s">
        <v>127</v>
      </c>
      <c r="AH14" s="10">
        <v>650</v>
      </c>
      <c r="AI14" s="9" t="s">
        <v>128</v>
      </c>
      <c r="AJ14" s="10" t="s">
        <v>77</v>
      </c>
      <c r="AK14" s="50">
        <v>6000</v>
      </c>
      <c r="AL14" s="43">
        <f t="shared" si="3"/>
        <v>1854000000</v>
      </c>
      <c r="AM14" s="43">
        <f t="shared" si="4"/>
        <v>3900</v>
      </c>
      <c r="AN14" s="43">
        <f t="shared" si="5"/>
        <v>1108692000</v>
      </c>
      <c r="AO14" s="51">
        <f t="shared" si="8"/>
        <v>0.65</v>
      </c>
      <c r="AQ14" s="3" t="s">
        <v>748</v>
      </c>
    </row>
    <row r="15" spans="1:44" x14ac:dyDescent="0.3">
      <c r="A15" s="1" t="str">
        <f t="shared" si="0"/>
        <v>DWDJ9G0661</v>
      </c>
      <c r="B15" s="32" t="s">
        <v>779</v>
      </c>
      <c r="C15" s="10" t="str">
        <f t="shared" si="6"/>
        <v>DJ9G0</v>
      </c>
      <c r="D15" s="10" t="s">
        <v>744</v>
      </c>
      <c r="E15" s="10" t="str">
        <f t="shared" si="1"/>
        <v>W</v>
      </c>
      <c r="F15" s="10" t="str">
        <f t="shared" si="2"/>
        <v>DJ</v>
      </c>
      <c r="G15" s="10" t="s">
        <v>745</v>
      </c>
      <c r="H15" s="4" t="s">
        <v>780</v>
      </c>
      <c r="I15" s="10">
        <v>1</v>
      </c>
      <c r="J15" s="4">
        <f t="shared" si="7"/>
        <v>1</v>
      </c>
      <c r="K15" s="4">
        <v>3</v>
      </c>
      <c r="L15" s="43">
        <v>299000</v>
      </c>
      <c r="M15" s="65" t="s">
        <v>509</v>
      </c>
      <c r="N15" s="39" t="s">
        <v>781</v>
      </c>
      <c r="O15" s="10" t="s">
        <v>143</v>
      </c>
      <c r="P15" s="10">
        <v>100</v>
      </c>
      <c r="Q15" s="32" t="s">
        <v>62</v>
      </c>
      <c r="R15" s="10" t="s">
        <v>392</v>
      </c>
      <c r="S15" s="39" t="s">
        <v>72</v>
      </c>
      <c r="T15" s="10" t="s">
        <v>65</v>
      </c>
      <c r="U15" s="10"/>
      <c r="V15" s="10" t="s">
        <v>66</v>
      </c>
      <c r="W15" s="10"/>
      <c r="X15" s="9" t="s">
        <v>756</v>
      </c>
      <c r="Y15" s="10" t="s">
        <v>68</v>
      </c>
      <c r="Z15" s="32" t="s">
        <v>69</v>
      </c>
      <c r="AA15" s="32" t="s">
        <v>426</v>
      </c>
      <c r="AB15" s="9" t="s">
        <v>71</v>
      </c>
      <c r="AC15" s="10" t="s">
        <v>62</v>
      </c>
      <c r="AD15" s="10" t="s">
        <v>72</v>
      </c>
      <c r="AE15" s="65" t="s">
        <v>137</v>
      </c>
      <c r="AF15" s="39" t="s">
        <v>343</v>
      </c>
      <c r="AG15" s="10" t="s">
        <v>127</v>
      </c>
      <c r="AH15" s="10">
        <v>650</v>
      </c>
      <c r="AI15" s="9" t="s">
        <v>128</v>
      </c>
      <c r="AJ15" s="10" t="s">
        <v>129</v>
      </c>
      <c r="AK15" s="50">
        <f>4000+1500+1000</f>
        <v>6500</v>
      </c>
      <c r="AL15" s="43">
        <f t="shared" si="3"/>
        <v>1943500000</v>
      </c>
      <c r="AM15" s="43">
        <f t="shared" si="4"/>
        <v>4225</v>
      </c>
      <c r="AN15" s="43">
        <f t="shared" si="5"/>
        <v>1162213000</v>
      </c>
      <c r="AO15" s="51">
        <f t="shared" si="8"/>
        <v>0.65</v>
      </c>
      <c r="AQ15" s="3" t="s">
        <v>748</v>
      </c>
    </row>
    <row r="16" spans="1:44" x14ac:dyDescent="0.3">
      <c r="A16" s="1" t="str">
        <f t="shared" si="0"/>
        <v>DWDJ9G166</v>
      </c>
      <c r="B16" s="32" t="s">
        <v>782</v>
      </c>
      <c r="C16" s="10" t="str">
        <f t="shared" si="6"/>
        <v>DJ9G1</v>
      </c>
      <c r="D16" s="10" t="s">
        <v>744</v>
      </c>
      <c r="E16" s="10" t="str">
        <f t="shared" si="1"/>
        <v>W</v>
      </c>
      <c r="F16" s="10" t="str">
        <f t="shared" si="2"/>
        <v>DJ</v>
      </c>
      <c r="G16" s="10" t="s">
        <v>745</v>
      </c>
      <c r="H16" s="4" t="s">
        <v>783</v>
      </c>
      <c r="J16" s="4">
        <f t="shared" si="7"/>
        <v>1</v>
      </c>
      <c r="K16" s="4">
        <v>4</v>
      </c>
      <c r="L16" s="43">
        <v>299000</v>
      </c>
      <c r="M16" s="9" t="s">
        <v>167</v>
      </c>
      <c r="N16" s="10" t="s">
        <v>775</v>
      </c>
      <c r="O16" s="10" t="s">
        <v>532</v>
      </c>
      <c r="P16" s="10">
        <v>100</v>
      </c>
      <c r="Q16" s="32" t="s">
        <v>119</v>
      </c>
      <c r="R16" s="10" t="s">
        <v>169</v>
      </c>
      <c r="S16" s="39" t="s">
        <v>776</v>
      </c>
      <c r="T16" s="10" t="s">
        <v>65</v>
      </c>
      <c r="U16" s="10"/>
      <c r="V16" s="10"/>
      <c r="W16" s="10"/>
      <c r="X16" s="9" t="s">
        <v>756</v>
      </c>
      <c r="Y16" s="10" t="s">
        <v>68</v>
      </c>
      <c r="Z16" s="32" t="s">
        <v>69</v>
      </c>
      <c r="AA16" s="32" t="s">
        <v>70</v>
      </c>
      <c r="AB16" s="9" t="s">
        <v>71</v>
      </c>
      <c r="AC16" s="10" t="s">
        <v>62</v>
      </c>
      <c r="AD16" s="10" t="s">
        <v>72</v>
      </c>
      <c r="AE16" s="65" t="s">
        <v>137</v>
      </c>
      <c r="AF16" s="39" t="s">
        <v>343</v>
      </c>
      <c r="AG16" s="10" t="s">
        <v>127</v>
      </c>
      <c r="AH16" s="10">
        <v>650</v>
      </c>
      <c r="AI16" s="9" t="s">
        <v>128</v>
      </c>
      <c r="AJ16" s="10" t="s">
        <v>129</v>
      </c>
      <c r="AK16" s="50">
        <v>10500</v>
      </c>
      <c r="AL16" s="43">
        <f t="shared" si="3"/>
        <v>3139500000</v>
      </c>
      <c r="AM16" s="43">
        <f t="shared" si="4"/>
        <v>6825</v>
      </c>
      <c r="AN16" s="43">
        <f t="shared" si="5"/>
        <v>1877421000</v>
      </c>
      <c r="AO16" s="51">
        <f t="shared" si="8"/>
        <v>0.65</v>
      </c>
      <c r="AQ16" s="3" t="s">
        <v>748</v>
      </c>
    </row>
    <row r="17" spans="1:43" x14ac:dyDescent="0.3">
      <c r="A17" s="1" t="str">
        <f t="shared" si="0"/>
        <v>DWDJ9G266</v>
      </c>
      <c r="B17" s="32" t="s">
        <v>784</v>
      </c>
      <c r="C17" s="10" t="str">
        <f t="shared" si="6"/>
        <v>DJ9G2</v>
      </c>
      <c r="D17" s="10" t="s">
        <v>744</v>
      </c>
      <c r="E17" s="10" t="str">
        <f t="shared" si="1"/>
        <v>W</v>
      </c>
      <c r="F17" s="10" t="str">
        <f t="shared" si="2"/>
        <v>DJ</v>
      </c>
      <c r="G17" s="10" t="s">
        <v>745</v>
      </c>
      <c r="H17" s="4" t="s">
        <v>785</v>
      </c>
      <c r="J17" s="4">
        <v>1</v>
      </c>
      <c r="K17" s="4">
        <v>2</v>
      </c>
      <c r="L17" s="43">
        <v>299000</v>
      </c>
      <c r="M17" s="65"/>
      <c r="N17" s="39"/>
      <c r="O17" s="10" t="s">
        <v>143</v>
      </c>
      <c r="P17" s="10">
        <v>100</v>
      </c>
      <c r="Q17" s="71" t="s">
        <v>786</v>
      </c>
      <c r="R17" s="10" t="s">
        <v>787</v>
      </c>
      <c r="S17" s="39" t="s">
        <v>788</v>
      </c>
      <c r="T17" s="10" t="s">
        <v>182</v>
      </c>
      <c r="U17" s="10"/>
      <c r="V17" s="10" t="s">
        <v>66</v>
      </c>
      <c r="W17" s="10"/>
      <c r="X17" s="9" t="s">
        <v>756</v>
      </c>
      <c r="Y17" s="10" t="s">
        <v>789</v>
      </c>
      <c r="Z17" s="32" t="s">
        <v>89</v>
      </c>
      <c r="AA17" s="32" t="s">
        <v>353</v>
      </c>
      <c r="AB17" s="9" t="s">
        <v>342</v>
      </c>
      <c r="AC17" s="10" t="s">
        <v>92</v>
      </c>
      <c r="AD17" s="131" t="s">
        <v>92</v>
      </c>
      <c r="AE17" s="65" t="s">
        <v>137</v>
      </c>
      <c r="AF17" s="39" t="s">
        <v>333</v>
      </c>
      <c r="AG17" s="10" t="s">
        <v>127</v>
      </c>
      <c r="AH17" s="10">
        <v>650</v>
      </c>
      <c r="AI17" s="9" t="s">
        <v>128</v>
      </c>
      <c r="AJ17" s="10" t="s">
        <v>129</v>
      </c>
      <c r="AK17" s="50">
        <v>5000</v>
      </c>
      <c r="AL17" s="43">
        <f t="shared" si="3"/>
        <v>1495000000</v>
      </c>
      <c r="AM17" s="43">
        <f t="shared" si="4"/>
        <v>3250</v>
      </c>
      <c r="AN17" s="43">
        <f t="shared" si="5"/>
        <v>894010000</v>
      </c>
      <c r="AO17" s="51">
        <f t="shared" si="8"/>
        <v>0.65</v>
      </c>
      <c r="AQ17" s="3" t="s">
        <v>748</v>
      </c>
    </row>
    <row r="18" spans="1:43" x14ac:dyDescent="0.3">
      <c r="A18" s="1" t="str">
        <f t="shared" si="0"/>
        <v>DWDJ910661</v>
      </c>
      <c r="B18" s="32" t="s">
        <v>790</v>
      </c>
      <c r="C18" s="10" t="str">
        <f t="shared" si="6"/>
        <v>DJ910</v>
      </c>
      <c r="D18" s="10" t="s">
        <v>744</v>
      </c>
      <c r="E18" s="10" t="str">
        <f t="shared" si="1"/>
        <v>W</v>
      </c>
      <c r="F18" s="10" t="str">
        <f t="shared" si="2"/>
        <v>DJ</v>
      </c>
      <c r="G18" s="10" t="s">
        <v>745</v>
      </c>
      <c r="H18" s="4" t="s">
        <v>791</v>
      </c>
      <c r="I18" s="10">
        <v>1</v>
      </c>
      <c r="J18" s="4">
        <f>IF(B18=B16,"",1)</f>
        <v>1</v>
      </c>
      <c r="K18" s="4">
        <v>4</v>
      </c>
      <c r="L18" s="43">
        <v>319000</v>
      </c>
      <c r="M18" s="65" t="s">
        <v>150</v>
      </c>
      <c r="N18" s="39" t="s">
        <v>792</v>
      </c>
      <c r="O18" s="10" t="s">
        <v>793</v>
      </c>
      <c r="P18" s="10">
        <v>100</v>
      </c>
      <c r="Q18" s="32" t="s">
        <v>119</v>
      </c>
      <c r="R18" s="10" t="s">
        <v>262</v>
      </c>
      <c r="S18" s="39" t="s">
        <v>121</v>
      </c>
      <c r="T18" s="10" t="s">
        <v>122</v>
      </c>
      <c r="U18" s="10"/>
      <c r="V18" s="10"/>
      <c r="W18" s="10"/>
      <c r="X18" s="9" t="s">
        <v>756</v>
      </c>
      <c r="Y18" s="10" t="s">
        <v>68</v>
      </c>
      <c r="Z18" s="32" t="s">
        <v>154</v>
      </c>
      <c r="AA18" s="32" t="s">
        <v>70</v>
      </c>
      <c r="AB18" s="9" t="s">
        <v>71</v>
      </c>
      <c r="AC18" s="10" t="s">
        <v>62</v>
      </c>
      <c r="AD18" s="10" t="s">
        <v>72</v>
      </c>
      <c r="AE18" s="65" t="s">
        <v>137</v>
      </c>
      <c r="AF18" s="39" t="s">
        <v>93</v>
      </c>
      <c r="AG18" s="10" t="s">
        <v>127</v>
      </c>
      <c r="AH18" s="10">
        <v>650</v>
      </c>
      <c r="AI18" s="9" t="s">
        <v>128</v>
      </c>
      <c r="AJ18" s="10" t="s">
        <v>77</v>
      </c>
      <c r="AK18" s="50">
        <v>8300</v>
      </c>
      <c r="AL18" s="43">
        <f t="shared" si="3"/>
        <v>2647700000</v>
      </c>
      <c r="AM18" s="43">
        <f t="shared" si="4"/>
        <v>5395</v>
      </c>
      <c r="AN18" s="43">
        <f t="shared" si="5"/>
        <v>1583324600</v>
      </c>
      <c r="AO18" s="51">
        <f t="shared" si="8"/>
        <v>0.65</v>
      </c>
      <c r="AQ18" s="3" t="s">
        <v>748</v>
      </c>
    </row>
    <row r="19" spans="1:43" x14ac:dyDescent="0.3">
      <c r="A19" s="1" t="str">
        <f t="shared" si="0"/>
        <v>DWDJ9S0661</v>
      </c>
      <c r="B19" s="32" t="s">
        <v>794</v>
      </c>
      <c r="C19" s="10" t="str">
        <f t="shared" si="6"/>
        <v>DJ9S0</v>
      </c>
      <c r="D19" s="10" t="s">
        <v>744</v>
      </c>
      <c r="E19" s="10" t="str">
        <f t="shared" si="1"/>
        <v>W</v>
      </c>
      <c r="F19" s="10" t="str">
        <f t="shared" si="2"/>
        <v>DJ</v>
      </c>
      <c r="G19" s="10" t="s">
        <v>745</v>
      </c>
      <c r="H19" s="4" t="s">
        <v>795</v>
      </c>
      <c r="I19" s="10">
        <v>1</v>
      </c>
      <c r="J19" s="4">
        <f t="shared" ref="J19:J51" si="9">IF(B19=B18,"",1)</f>
        <v>1</v>
      </c>
      <c r="K19" s="4">
        <v>2</v>
      </c>
      <c r="L19" s="43">
        <v>319000</v>
      </c>
      <c r="M19" s="65" t="s">
        <v>533</v>
      </c>
      <c r="N19" s="39" t="s">
        <v>796</v>
      </c>
      <c r="O19" s="98" t="s">
        <v>752</v>
      </c>
      <c r="P19" s="98" t="s">
        <v>797</v>
      </c>
      <c r="Q19" s="32" t="s">
        <v>798</v>
      </c>
      <c r="R19" s="98" t="s">
        <v>581</v>
      </c>
      <c r="S19" s="39" t="s">
        <v>799</v>
      </c>
      <c r="T19" s="10" t="s">
        <v>65</v>
      </c>
      <c r="U19" s="10"/>
      <c r="V19" s="10"/>
      <c r="W19" s="10"/>
      <c r="X19" s="9" t="s">
        <v>800</v>
      </c>
      <c r="Y19" s="10" t="s">
        <v>801</v>
      </c>
      <c r="Z19" s="32" t="s">
        <v>802</v>
      </c>
      <c r="AA19" s="32" t="s">
        <v>353</v>
      </c>
      <c r="AB19" s="9" t="s">
        <v>71</v>
      </c>
      <c r="AC19" s="10" t="s">
        <v>62</v>
      </c>
      <c r="AD19" s="10" t="s">
        <v>72</v>
      </c>
      <c r="AE19" s="65" t="s">
        <v>137</v>
      </c>
      <c r="AF19" s="39" t="s">
        <v>343</v>
      </c>
      <c r="AG19" s="10" t="s">
        <v>75</v>
      </c>
      <c r="AH19" s="10">
        <v>650</v>
      </c>
      <c r="AI19" s="9" t="s">
        <v>128</v>
      </c>
      <c r="AJ19" s="10" t="s">
        <v>129</v>
      </c>
      <c r="AK19" s="50">
        <v>4000</v>
      </c>
      <c r="AL19" s="43">
        <f t="shared" si="3"/>
        <v>1276000000</v>
      </c>
      <c r="AM19" s="43">
        <f t="shared" si="4"/>
        <v>2600</v>
      </c>
      <c r="AN19" s="43">
        <f t="shared" si="5"/>
        <v>763048000</v>
      </c>
      <c r="AO19" s="51">
        <f t="shared" si="8"/>
        <v>0.65</v>
      </c>
      <c r="AQ19" s="3" t="s">
        <v>748</v>
      </c>
    </row>
    <row r="20" spans="1:43" x14ac:dyDescent="0.3">
      <c r="A20" s="1" t="str">
        <f t="shared" si="0"/>
        <v>DWDJ9S166</v>
      </c>
      <c r="B20" s="32" t="s">
        <v>803</v>
      </c>
      <c r="C20" s="10" t="str">
        <f t="shared" si="6"/>
        <v>DJ9S1</v>
      </c>
      <c r="D20" s="10" t="s">
        <v>744</v>
      </c>
      <c r="E20" s="10" t="str">
        <f t="shared" si="1"/>
        <v>W</v>
      </c>
      <c r="F20" s="10" t="str">
        <f t="shared" si="2"/>
        <v>DJ</v>
      </c>
      <c r="G20" s="10" t="s">
        <v>745</v>
      </c>
      <c r="H20" s="4" t="s">
        <v>804</v>
      </c>
      <c r="J20" s="4">
        <f t="shared" si="9"/>
        <v>1</v>
      </c>
      <c r="K20" s="4">
        <v>2</v>
      </c>
      <c r="L20" s="43">
        <v>319000</v>
      </c>
      <c r="M20" s="78" t="s">
        <v>805</v>
      </c>
      <c r="N20" s="98" t="s">
        <v>806</v>
      </c>
      <c r="O20" s="98" t="s">
        <v>807</v>
      </c>
      <c r="P20" s="98">
        <v>100</v>
      </c>
      <c r="Q20" s="32" t="s">
        <v>808</v>
      </c>
      <c r="R20" s="98" t="s">
        <v>430</v>
      </c>
      <c r="S20" s="39" t="s">
        <v>799</v>
      </c>
      <c r="T20" s="10" t="s">
        <v>65</v>
      </c>
      <c r="U20" s="10"/>
      <c r="V20" s="10"/>
      <c r="W20" s="10"/>
      <c r="X20" s="9" t="s">
        <v>800</v>
      </c>
      <c r="Y20" s="10" t="s">
        <v>809</v>
      </c>
      <c r="Z20" s="32" t="s">
        <v>802</v>
      </c>
      <c r="AA20" s="32" t="s">
        <v>353</v>
      </c>
      <c r="AB20" s="9" t="s">
        <v>71</v>
      </c>
      <c r="AC20" s="10" t="s">
        <v>62</v>
      </c>
      <c r="AD20" s="10" t="s">
        <v>72</v>
      </c>
      <c r="AE20" s="65" t="s">
        <v>137</v>
      </c>
      <c r="AF20" s="39" t="s">
        <v>333</v>
      </c>
      <c r="AG20" s="10" t="s">
        <v>75</v>
      </c>
      <c r="AH20" s="10">
        <v>650</v>
      </c>
      <c r="AI20" s="9" t="s">
        <v>128</v>
      </c>
      <c r="AJ20" s="10" t="s">
        <v>129</v>
      </c>
      <c r="AK20" s="50">
        <v>4500</v>
      </c>
      <c r="AL20" s="43">
        <f t="shared" si="3"/>
        <v>1435500000</v>
      </c>
      <c r="AM20" s="43">
        <f t="shared" si="4"/>
        <v>2925</v>
      </c>
      <c r="AN20" s="43">
        <f t="shared" si="5"/>
        <v>858429000</v>
      </c>
      <c r="AO20" s="51">
        <f t="shared" si="8"/>
        <v>0.65</v>
      </c>
      <c r="AQ20" s="3" t="s">
        <v>748</v>
      </c>
    </row>
    <row r="21" spans="1:43" x14ac:dyDescent="0.3">
      <c r="A21" s="1" t="str">
        <f t="shared" si="0"/>
        <v>DWDJ960661</v>
      </c>
      <c r="B21" s="32" t="s">
        <v>810</v>
      </c>
      <c r="C21" s="10" t="str">
        <f t="shared" si="6"/>
        <v>DJ960</v>
      </c>
      <c r="D21" s="10" t="s">
        <v>744</v>
      </c>
      <c r="E21" s="10" t="str">
        <f t="shared" si="1"/>
        <v>W</v>
      </c>
      <c r="F21" s="10" t="str">
        <f t="shared" si="2"/>
        <v>DJ</v>
      </c>
      <c r="G21" s="10" t="s">
        <v>745</v>
      </c>
      <c r="H21" s="4" t="s">
        <v>811</v>
      </c>
      <c r="I21" s="10">
        <v>1</v>
      </c>
      <c r="J21" s="4">
        <f t="shared" si="9"/>
        <v>1</v>
      </c>
      <c r="K21" s="4">
        <v>2</v>
      </c>
      <c r="L21" s="43">
        <v>379000</v>
      </c>
      <c r="M21" s="65" t="s">
        <v>509</v>
      </c>
      <c r="N21" s="39" t="s">
        <v>781</v>
      </c>
      <c r="O21" s="10" t="s">
        <v>143</v>
      </c>
      <c r="P21" s="10">
        <v>100</v>
      </c>
      <c r="Q21" s="32" t="s">
        <v>62</v>
      </c>
      <c r="R21" s="10" t="s">
        <v>392</v>
      </c>
      <c r="S21" s="39" t="s">
        <v>72</v>
      </c>
      <c r="T21" s="10" t="s">
        <v>65</v>
      </c>
      <c r="U21" s="10"/>
      <c r="V21" s="10" t="s">
        <v>66</v>
      </c>
      <c r="W21" s="10"/>
      <c r="X21" s="9" t="s">
        <v>756</v>
      </c>
      <c r="Y21" s="10" t="s">
        <v>68</v>
      </c>
      <c r="Z21" s="32" t="s">
        <v>69</v>
      </c>
      <c r="AA21" s="32" t="s">
        <v>426</v>
      </c>
      <c r="AB21" s="9" t="s">
        <v>71</v>
      </c>
      <c r="AC21" s="10" t="s">
        <v>62</v>
      </c>
      <c r="AD21" s="10" t="s">
        <v>72</v>
      </c>
      <c r="AE21" s="65" t="s">
        <v>73</v>
      </c>
      <c r="AF21" s="39" t="s">
        <v>169</v>
      </c>
      <c r="AG21" s="10" t="s">
        <v>127</v>
      </c>
      <c r="AH21" s="10">
        <v>650</v>
      </c>
      <c r="AI21" s="9" t="s">
        <v>99</v>
      </c>
      <c r="AJ21" s="10" t="s">
        <v>100</v>
      </c>
      <c r="AK21" s="50">
        <v>4000</v>
      </c>
      <c r="AL21" s="43">
        <f t="shared" si="3"/>
        <v>1516000000</v>
      </c>
      <c r="AM21" s="43">
        <f t="shared" si="4"/>
        <v>2600</v>
      </c>
      <c r="AN21" s="43">
        <f t="shared" si="5"/>
        <v>906568000</v>
      </c>
      <c r="AO21" s="51">
        <f t="shared" si="8"/>
        <v>0.65</v>
      </c>
      <c r="AQ21" s="3" t="s">
        <v>748</v>
      </c>
    </row>
    <row r="22" spans="1:43" x14ac:dyDescent="0.3">
      <c r="A22" s="1" t="str">
        <f t="shared" si="0"/>
        <v>DWDJ96166</v>
      </c>
      <c r="B22" s="32" t="s">
        <v>812</v>
      </c>
      <c r="C22" s="10" t="str">
        <f t="shared" si="6"/>
        <v>DJ961</v>
      </c>
      <c r="D22" s="10" t="s">
        <v>744</v>
      </c>
      <c r="E22" s="10" t="str">
        <f t="shared" si="1"/>
        <v>W</v>
      </c>
      <c r="F22" s="10" t="str">
        <f t="shared" si="2"/>
        <v>DJ</v>
      </c>
      <c r="G22" s="10" t="s">
        <v>745</v>
      </c>
      <c r="H22" s="4" t="s">
        <v>813</v>
      </c>
      <c r="J22" s="4">
        <f t="shared" si="9"/>
        <v>1</v>
      </c>
      <c r="K22" s="4">
        <v>2</v>
      </c>
      <c r="L22" s="43">
        <v>379000</v>
      </c>
      <c r="M22" s="65" t="s">
        <v>141</v>
      </c>
      <c r="N22" s="39" t="s">
        <v>814</v>
      </c>
      <c r="O22" s="10" t="s">
        <v>143</v>
      </c>
      <c r="P22" s="10">
        <v>100</v>
      </c>
      <c r="Q22" s="32" t="s">
        <v>337</v>
      </c>
      <c r="R22" s="10" t="s">
        <v>747</v>
      </c>
      <c r="S22" s="39" t="s">
        <v>815</v>
      </c>
      <c r="T22" s="10" t="s">
        <v>65</v>
      </c>
      <c r="U22" s="10"/>
      <c r="V22" s="10" t="s">
        <v>66</v>
      </c>
      <c r="W22" s="10"/>
      <c r="X22" s="9" t="s">
        <v>756</v>
      </c>
      <c r="Y22" s="10" t="s">
        <v>340</v>
      </c>
      <c r="Z22" s="32" t="s">
        <v>238</v>
      </c>
      <c r="AA22" s="32" t="s">
        <v>341</v>
      </c>
      <c r="AB22" s="9" t="s">
        <v>71</v>
      </c>
      <c r="AC22" s="10" t="s">
        <v>62</v>
      </c>
      <c r="AD22" s="10" t="s">
        <v>72</v>
      </c>
      <c r="AE22" s="65" t="s">
        <v>73</v>
      </c>
      <c r="AF22" s="39" t="s">
        <v>169</v>
      </c>
      <c r="AG22" s="10" t="s">
        <v>127</v>
      </c>
      <c r="AH22" s="10">
        <v>650</v>
      </c>
      <c r="AI22" s="9" t="s">
        <v>99</v>
      </c>
      <c r="AJ22" s="10" t="s">
        <v>100</v>
      </c>
      <c r="AK22" s="50">
        <v>3000</v>
      </c>
      <c r="AL22" s="43">
        <f t="shared" si="3"/>
        <v>1137000000</v>
      </c>
      <c r="AM22" s="43">
        <f t="shared" si="4"/>
        <v>1950</v>
      </c>
      <c r="AN22" s="43">
        <f t="shared" si="5"/>
        <v>679926000</v>
      </c>
      <c r="AO22" s="51">
        <f t="shared" si="8"/>
        <v>0.65</v>
      </c>
      <c r="AQ22" s="3" t="s">
        <v>748</v>
      </c>
    </row>
    <row r="23" spans="1:43" x14ac:dyDescent="0.3">
      <c r="A23" s="1" t="str">
        <f t="shared" si="0"/>
        <v>DWDJ990661</v>
      </c>
      <c r="B23" s="32" t="s">
        <v>816</v>
      </c>
      <c r="C23" s="10" t="str">
        <f t="shared" si="6"/>
        <v>DJ990</v>
      </c>
      <c r="D23" s="10" t="s">
        <v>744</v>
      </c>
      <c r="E23" s="10" t="str">
        <f t="shared" si="1"/>
        <v>W</v>
      </c>
      <c r="F23" s="10" t="str">
        <f t="shared" si="2"/>
        <v>DJ</v>
      </c>
      <c r="G23" s="10" t="s">
        <v>745</v>
      </c>
      <c r="H23" s="4" t="s">
        <v>211</v>
      </c>
      <c r="I23" s="10">
        <v>1</v>
      </c>
      <c r="J23" s="4">
        <f t="shared" si="9"/>
        <v>1</v>
      </c>
      <c r="K23" s="4">
        <v>4</v>
      </c>
      <c r="L23" s="43">
        <v>399000</v>
      </c>
      <c r="M23" s="65" t="s">
        <v>202</v>
      </c>
      <c r="N23" s="39" t="s">
        <v>817</v>
      </c>
      <c r="O23" s="10" t="s">
        <v>485</v>
      </c>
      <c r="P23" s="10">
        <v>100</v>
      </c>
      <c r="Q23" s="32" t="s">
        <v>204</v>
      </c>
      <c r="R23" s="10" t="s">
        <v>239</v>
      </c>
      <c r="S23" s="39" t="s">
        <v>551</v>
      </c>
      <c r="T23" s="10" t="s">
        <v>122</v>
      </c>
      <c r="U23" s="10" t="s">
        <v>332</v>
      </c>
      <c r="V23" s="10" t="s">
        <v>66</v>
      </c>
      <c r="W23" s="10"/>
      <c r="X23" s="9" t="s">
        <v>756</v>
      </c>
      <c r="Y23" s="10" t="s">
        <v>68</v>
      </c>
      <c r="Z23" s="32" t="s">
        <v>125</v>
      </c>
      <c r="AA23" s="32" t="s">
        <v>90</v>
      </c>
      <c r="AB23" s="9" t="s">
        <v>71</v>
      </c>
      <c r="AC23" s="10" t="s">
        <v>85</v>
      </c>
      <c r="AD23" s="10" t="s">
        <v>208</v>
      </c>
      <c r="AE23" s="65" t="s">
        <v>73</v>
      </c>
      <c r="AF23" s="39" t="s">
        <v>106</v>
      </c>
      <c r="AG23" s="10" t="s">
        <v>127</v>
      </c>
      <c r="AH23" s="10">
        <v>650</v>
      </c>
      <c r="AI23" s="9" t="s">
        <v>128</v>
      </c>
      <c r="AJ23" s="10" t="s">
        <v>94</v>
      </c>
      <c r="AK23" s="50">
        <v>11000</v>
      </c>
      <c r="AL23" s="43">
        <f t="shared" si="3"/>
        <v>4389000000</v>
      </c>
      <c r="AM23" s="43">
        <f t="shared" si="4"/>
        <v>7150</v>
      </c>
      <c r="AN23" s="43">
        <f t="shared" si="5"/>
        <v>2624622000</v>
      </c>
      <c r="AO23" s="51">
        <f t="shared" si="8"/>
        <v>0.65</v>
      </c>
      <c r="AQ23" s="3" t="s">
        <v>748</v>
      </c>
    </row>
    <row r="24" spans="1:43" x14ac:dyDescent="0.3">
      <c r="A24" s="1" t="str">
        <f t="shared" si="0"/>
        <v>DWDJ98066</v>
      </c>
      <c r="B24" s="32" t="s">
        <v>818</v>
      </c>
      <c r="C24" s="10" t="str">
        <f t="shared" si="6"/>
        <v>DJ980</v>
      </c>
      <c r="D24" s="10" t="s">
        <v>744</v>
      </c>
      <c r="E24" s="10" t="str">
        <f t="shared" si="1"/>
        <v>W</v>
      </c>
      <c r="F24" s="10" t="str">
        <f t="shared" si="2"/>
        <v>DJ</v>
      </c>
      <c r="G24" s="10" t="s">
        <v>745</v>
      </c>
      <c r="H24" s="4" t="s">
        <v>201</v>
      </c>
      <c r="I24" s="56"/>
      <c r="J24" s="4">
        <f t="shared" si="9"/>
        <v>1</v>
      </c>
      <c r="K24" s="4">
        <v>4</v>
      </c>
      <c r="L24" s="43">
        <v>499000</v>
      </c>
      <c r="M24" s="65" t="s">
        <v>202</v>
      </c>
      <c r="N24" s="39" t="s">
        <v>817</v>
      </c>
      <c r="O24" s="10" t="s">
        <v>485</v>
      </c>
      <c r="P24" s="10">
        <v>100</v>
      </c>
      <c r="Q24" s="32" t="s">
        <v>204</v>
      </c>
      <c r="R24" s="10" t="s">
        <v>239</v>
      </c>
      <c r="S24" s="39" t="s">
        <v>551</v>
      </c>
      <c r="T24" s="10" t="s">
        <v>122</v>
      </c>
      <c r="U24" s="10" t="s">
        <v>332</v>
      </c>
      <c r="V24" s="10" t="s">
        <v>66</v>
      </c>
      <c r="W24" s="10"/>
      <c r="X24" s="9" t="s">
        <v>756</v>
      </c>
      <c r="Y24" s="10" t="s">
        <v>68</v>
      </c>
      <c r="Z24" s="32" t="s">
        <v>125</v>
      </c>
      <c r="AA24" s="32" t="s">
        <v>90</v>
      </c>
      <c r="AB24" s="9" t="s">
        <v>71</v>
      </c>
      <c r="AC24" s="10" t="s">
        <v>85</v>
      </c>
      <c r="AD24" s="10" t="s">
        <v>208</v>
      </c>
      <c r="AE24" s="65" t="s">
        <v>73</v>
      </c>
      <c r="AF24" s="39" t="s">
        <v>417</v>
      </c>
      <c r="AG24" s="10" t="s">
        <v>127</v>
      </c>
      <c r="AH24" s="10">
        <v>650</v>
      </c>
      <c r="AI24" s="9" t="s">
        <v>99</v>
      </c>
      <c r="AJ24" s="10" t="s">
        <v>100</v>
      </c>
      <c r="AK24" s="67">
        <v>9500</v>
      </c>
      <c r="AL24" s="43">
        <f t="shared" si="3"/>
        <v>4740500000</v>
      </c>
      <c r="AM24" s="43">
        <f t="shared" si="4"/>
        <v>6175</v>
      </c>
      <c r="AN24" s="43">
        <f t="shared" si="5"/>
        <v>2834819000</v>
      </c>
      <c r="AO24" s="51">
        <f t="shared" si="8"/>
        <v>0.65</v>
      </c>
      <c r="AQ24" s="3" t="s">
        <v>748</v>
      </c>
    </row>
    <row r="25" spans="1:43" x14ac:dyDescent="0.3">
      <c r="A25" s="1" t="str">
        <f t="shared" si="0"/>
        <v>DWDJ9A066</v>
      </c>
      <c r="B25" s="32" t="s">
        <v>819</v>
      </c>
      <c r="C25" s="10" t="str">
        <f t="shared" si="6"/>
        <v>DJ9A0</v>
      </c>
      <c r="D25" s="10" t="s">
        <v>744</v>
      </c>
      <c r="E25" s="10" t="str">
        <f t="shared" si="1"/>
        <v>W</v>
      </c>
      <c r="F25" s="10" t="str">
        <f t="shared" si="2"/>
        <v>DJ</v>
      </c>
      <c r="G25" s="10" t="s">
        <v>745</v>
      </c>
      <c r="H25" s="4" t="s">
        <v>820</v>
      </c>
      <c r="I25" s="56"/>
      <c r="J25" s="4">
        <f t="shared" si="9"/>
        <v>1</v>
      </c>
      <c r="K25" s="4">
        <v>3</v>
      </c>
      <c r="L25" s="43">
        <v>590000</v>
      </c>
      <c r="M25" s="65" t="s">
        <v>202</v>
      </c>
      <c r="N25" s="39" t="s">
        <v>817</v>
      </c>
      <c r="O25" s="10" t="s">
        <v>485</v>
      </c>
      <c r="P25" s="10">
        <v>100</v>
      </c>
      <c r="Q25" s="32" t="s">
        <v>204</v>
      </c>
      <c r="R25" s="10" t="s">
        <v>239</v>
      </c>
      <c r="S25" s="39" t="s">
        <v>551</v>
      </c>
      <c r="T25" s="10" t="s">
        <v>122</v>
      </c>
      <c r="U25" s="10" t="s">
        <v>332</v>
      </c>
      <c r="V25" s="10" t="s">
        <v>66</v>
      </c>
      <c r="W25" s="10"/>
      <c r="X25" s="9" t="s">
        <v>756</v>
      </c>
      <c r="Y25" s="10" t="s">
        <v>68</v>
      </c>
      <c r="Z25" s="32" t="s">
        <v>125</v>
      </c>
      <c r="AA25" s="32" t="s">
        <v>90</v>
      </c>
      <c r="AB25" s="9" t="s">
        <v>71</v>
      </c>
      <c r="AC25" s="10" t="s">
        <v>85</v>
      </c>
      <c r="AD25" s="10" t="s">
        <v>208</v>
      </c>
      <c r="AE25" s="65" t="s">
        <v>73</v>
      </c>
      <c r="AF25" s="39" t="s">
        <v>557</v>
      </c>
      <c r="AG25" s="10" t="s">
        <v>127</v>
      </c>
      <c r="AH25" s="10">
        <v>650</v>
      </c>
      <c r="AI25" s="9" t="s">
        <v>107</v>
      </c>
      <c r="AJ25" s="10" t="s">
        <v>108</v>
      </c>
      <c r="AK25" s="50">
        <v>13000</v>
      </c>
      <c r="AL25" s="43">
        <f t="shared" si="3"/>
        <v>7670000000</v>
      </c>
      <c r="AM25" s="43">
        <f t="shared" si="4"/>
        <v>8450</v>
      </c>
      <c r="AN25" s="43">
        <f t="shared" si="5"/>
        <v>4586660000</v>
      </c>
      <c r="AO25" s="51">
        <f t="shared" si="8"/>
        <v>0.65</v>
      </c>
      <c r="AQ25" s="3" t="s">
        <v>748</v>
      </c>
    </row>
    <row r="26" spans="1:43" x14ac:dyDescent="0.3">
      <c r="A26" s="1" t="str">
        <f t="shared" si="0"/>
        <v>DWDJ9A166</v>
      </c>
      <c r="B26" s="32" t="s">
        <v>821</v>
      </c>
      <c r="C26" s="10" t="str">
        <f t="shared" si="6"/>
        <v>DJ9A1</v>
      </c>
      <c r="D26" s="10" t="s">
        <v>744</v>
      </c>
      <c r="E26" s="10" t="str">
        <f t="shared" si="1"/>
        <v>W</v>
      </c>
      <c r="F26" s="10" t="str">
        <f t="shared" si="2"/>
        <v>DJ</v>
      </c>
      <c r="G26" s="10" t="s">
        <v>745</v>
      </c>
      <c r="H26" s="4" t="s">
        <v>822</v>
      </c>
      <c r="J26" s="4">
        <f t="shared" si="9"/>
        <v>1</v>
      </c>
      <c r="K26" s="4">
        <v>3</v>
      </c>
      <c r="L26" s="43">
        <v>620000</v>
      </c>
      <c r="M26" s="65" t="s">
        <v>767</v>
      </c>
      <c r="N26" s="39" t="s">
        <v>768</v>
      </c>
      <c r="O26" s="10" t="s">
        <v>143</v>
      </c>
      <c r="P26" s="10">
        <v>100</v>
      </c>
      <c r="Q26" s="32" t="s">
        <v>62</v>
      </c>
      <c r="R26" s="10" t="s">
        <v>692</v>
      </c>
      <c r="S26" s="39" t="s">
        <v>72</v>
      </c>
      <c r="T26" s="10" t="s">
        <v>65</v>
      </c>
      <c r="U26" s="10"/>
      <c r="V26" s="10" t="s">
        <v>222</v>
      </c>
      <c r="W26" s="10"/>
      <c r="X26" s="9" t="s">
        <v>756</v>
      </c>
      <c r="Y26" s="10" t="s">
        <v>68</v>
      </c>
      <c r="Z26" s="32" t="s">
        <v>154</v>
      </c>
      <c r="AA26" s="32" t="s">
        <v>185</v>
      </c>
      <c r="AB26" s="9" t="s">
        <v>71</v>
      </c>
      <c r="AC26" s="10" t="s">
        <v>62</v>
      </c>
      <c r="AD26" s="10" t="s">
        <v>72</v>
      </c>
      <c r="AE26" s="65" t="s">
        <v>73</v>
      </c>
      <c r="AF26" s="39" t="s">
        <v>557</v>
      </c>
      <c r="AG26" s="10" t="s">
        <v>127</v>
      </c>
      <c r="AH26" s="10">
        <v>650</v>
      </c>
      <c r="AI26" s="9" t="s">
        <v>107</v>
      </c>
      <c r="AJ26" s="10" t="s">
        <v>108</v>
      </c>
      <c r="AK26" s="50">
        <v>3600</v>
      </c>
      <c r="AL26" s="43">
        <f t="shared" si="3"/>
        <v>2232000000</v>
      </c>
      <c r="AM26" s="43">
        <f t="shared" si="4"/>
        <v>2340</v>
      </c>
      <c r="AN26" s="43">
        <f t="shared" si="5"/>
        <v>1334736000</v>
      </c>
      <c r="AO26" s="51">
        <f t="shared" si="8"/>
        <v>0.65</v>
      </c>
      <c r="AQ26" s="3" t="s">
        <v>748</v>
      </c>
    </row>
    <row r="27" spans="1:43" x14ac:dyDescent="0.3">
      <c r="A27" s="1" t="str">
        <f t="shared" si="0"/>
        <v>DMPD750661</v>
      </c>
      <c r="B27" s="32" t="s">
        <v>823</v>
      </c>
      <c r="C27" s="10" t="str">
        <f t="shared" si="6"/>
        <v>PD750</v>
      </c>
      <c r="D27" s="10" t="s">
        <v>744</v>
      </c>
      <c r="E27" s="10" t="str">
        <f t="shared" si="1"/>
        <v>M</v>
      </c>
      <c r="F27" s="10" t="str">
        <f t="shared" si="2"/>
        <v>PD</v>
      </c>
      <c r="G27" s="10" t="s">
        <v>745</v>
      </c>
      <c r="H27" s="4" t="s">
        <v>824</v>
      </c>
      <c r="I27" s="10">
        <v>1</v>
      </c>
      <c r="J27" s="4">
        <f t="shared" si="9"/>
        <v>1</v>
      </c>
      <c r="K27" s="4">
        <v>4</v>
      </c>
      <c r="L27" s="43">
        <v>209000</v>
      </c>
      <c r="M27" s="65" t="s">
        <v>825</v>
      </c>
      <c r="N27" s="39" t="s">
        <v>826</v>
      </c>
      <c r="O27" s="10" t="s">
        <v>143</v>
      </c>
      <c r="P27" s="10">
        <v>100</v>
      </c>
      <c r="Q27" s="32" t="s">
        <v>479</v>
      </c>
      <c r="R27" s="10" t="s">
        <v>787</v>
      </c>
      <c r="S27" s="39" t="s">
        <v>827</v>
      </c>
      <c r="T27" s="10" t="s">
        <v>65</v>
      </c>
      <c r="U27" s="10"/>
      <c r="V27" s="10" t="s">
        <v>66</v>
      </c>
      <c r="W27" s="10"/>
      <c r="X27" s="9" t="s">
        <v>756</v>
      </c>
      <c r="Y27" s="10" t="s">
        <v>340</v>
      </c>
      <c r="Z27" s="32" t="s">
        <v>125</v>
      </c>
      <c r="AA27" s="32" t="s">
        <v>185</v>
      </c>
      <c r="AB27" s="9" t="s">
        <v>342</v>
      </c>
      <c r="AC27" s="10" t="s">
        <v>92</v>
      </c>
      <c r="AD27" s="131" t="s">
        <v>92</v>
      </c>
      <c r="AE27" s="65" t="s">
        <v>828</v>
      </c>
      <c r="AF27" s="39" t="s">
        <v>106</v>
      </c>
      <c r="AG27" s="10" t="s">
        <v>240</v>
      </c>
      <c r="AI27" s="9" t="s">
        <v>289</v>
      </c>
      <c r="AJ27" s="10" t="s">
        <v>241</v>
      </c>
      <c r="AK27" s="50">
        <v>6500</v>
      </c>
      <c r="AL27" s="43">
        <f t="shared" si="3"/>
        <v>1358500000</v>
      </c>
      <c r="AM27" s="43">
        <f t="shared" si="4"/>
        <v>4225</v>
      </c>
      <c r="AN27" s="43">
        <f t="shared" si="5"/>
        <v>812383000</v>
      </c>
      <c r="AO27" s="51">
        <f t="shared" si="8"/>
        <v>0.65</v>
      </c>
      <c r="AQ27" s="3" t="s">
        <v>829</v>
      </c>
    </row>
    <row r="28" spans="1:43" x14ac:dyDescent="0.3">
      <c r="A28" s="1" t="str">
        <f t="shared" si="0"/>
        <v>DWPD76066</v>
      </c>
      <c r="B28" s="32" t="s">
        <v>830</v>
      </c>
      <c r="C28" s="10" t="str">
        <f t="shared" si="6"/>
        <v>PD760</v>
      </c>
      <c r="D28" s="10" t="s">
        <v>744</v>
      </c>
      <c r="E28" s="10" t="str">
        <f t="shared" si="1"/>
        <v>W</v>
      </c>
      <c r="F28" s="10" t="str">
        <f t="shared" si="2"/>
        <v>PD</v>
      </c>
      <c r="G28" s="10" t="s">
        <v>745</v>
      </c>
      <c r="H28" s="4" t="s">
        <v>831</v>
      </c>
      <c r="J28" s="4">
        <f t="shared" si="9"/>
        <v>1</v>
      </c>
      <c r="K28" s="4">
        <v>3</v>
      </c>
      <c r="L28" s="43">
        <v>209000</v>
      </c>
      <c r="M28" s="65" t="s">
        <v>825</v>
      </c>
      <c r="N28" s="39" t="s">
        <v>826</v>
      </c>
      <c r="O28" s="10" t="s">
        <v>143</v>
      </c>
      <c r="P28" s="10">
        <v>100</v>
      </c>
      <c r="Q28" s="32" t="s">
        <v>479</v>
      </c>
      <c r="R28" s="10" t="s">
        <v>787</v>
      </c>
      <c r="S28" s="39" t="s">
        <v>827</v>
      </c>
      <c r="T28" s="10" t="s">
        <v>65</v>
      </c>
      <c r="U28" s="10"/>
      <c r="V28" s="10" t="s">
        <v>66</v>
      </c>
      <c r="W28" s="10"/>
      <c r="X28" s="9" t="s">
        <v>756</v>
      </c>
      <c r="Y28" s="10" t="s">
        <v>340</v>
      </c>
      <c r="Z28" s="32" t="s">
        <v>125</v>
      </c>
      <c r="AA28" s="32" t="s">
        <v>185</v>
      </c>
      <c r="AB28" s="9" t="s">
        <v>342</v>
      </c>
      <c r="AC28" s="10" t="s">
        <v>92</v>
      </c>
      <c r="AD28" s="131" t="s">
        <v>92</v>
      </c>
      <c r="AE28" s="65" t="s">
        <v>828</v>
      </c>
      <c r="AF28" s="39" t="s">
        <v>317</v>
      </c>
      <c r="AG28" s="10" t="s">
        <v>240</v>
      </c>
      <c r="AI28" s="9" t="s">
        <v>289</v>
      </c>
      <c r="AJ28" s="10" t="s">
        <v>241</v>
      </c>
      <c r="AK28" s="50">
        <v>3000</v>
      </c>
      <c r="AL28" s="43">
        <f t="shared" si="3"/>
        <v>627000000</v>
      </c>
      <c r="AM28" s="43">
        <f t="shared" si="4"/>
        <v>1950</v>
      </c>
      <c r="AN28" s="43">
        <f t="shared" si="5"/>
        <v>374946000</v>
      </c>
      <c r="AO28" s="51">
        <f t="shared" si="8"/>
        <v>0.65</v>
      </c>
      <c r="AQ28" s="3" t="s">
        <v>829</v>
      </c>
    </row>
    <row r="29" spans="1:43" x14ac:dyDescent="0.3">
      <c r="A29" s="1" t="str">
        <f t="shared" si="0"/>
        <v>DMDJ7i0661</v>
      </c>
      <c r="B29" s="32" t="s">
        <v>832</v>
      </c>
      <c r="C29" s="10" t="str">
        <f t="shared" si="6"/>
        <v>DJ7i0</v>
      </c>
      <c r="D29" s="10" t="s">
        <v>744</v>
      </c>
      <c r="E29" s="10" t="str">
        <f t="shared" si="1"/>
        <v>M</v>
      </c>
      <c r="F29" s="10" t="str">
        <f t="shared" si="2"/>
        <v>DJ</v>
      </c>
      <c r="G29" s="10" t="s">
        <v>745</v>
      </c>
      <c r="H29" s="4" t="s">
        <v>833</v>
      </c>
      <c r="I29" s="10">
        <v>1</v>
      </c>
      <c r="J29" s="4">
        <f t="shared" si="9"/>
        <v>1</v>
      </c>
      <c r="K29" s="4">
        <v>3</v>
      </c>
      <c r="L29" s="43">
        <v>259000</v>
      </c>
      <c r="M29" s="65" t="s">
        <v>767</v>
      </c>
      <c r="N29" s="39" t="s">
        <v>834</v>
      </c>
      <c r="O29" s="10" t="s">
        <v>143</v>
      </c>
      <c r="P29" s="10">
        <v>100</v>
      </c>
      <c r="Q29" s="32" t="s">
        <v>479</v>
      </c>
      <c r="R29" s="10" t="s">
        <v>835</v>
      </c>
      <c r="S29" s="39" t="s">
        <v>788</v>
      </c>
      <c r="T29" s="10" t="s">
        <v>65</v>
      </c>
      <c r="U29" s="10"/>
      <c r="V29" s="10" t="s">
        <v>66</v>
      </c>
      <c r="W29" s="10"/>
      <c r="X29" s="9" t="s">
        <v>756</v>
      </c>
      <c r="Y29" s="10" t="s">
        <v>340</v>
      </c>
      <c r="Z29" s="32" t="s">
        <v>125</v>
      </c>
      <c r="AA29" s="32" t="s">
        <v>70</v>
      </c>
      <c r="AB29" s="9" t="s">
        <v>342</v>
      </c>
      <c r="AC29" s="10" t="s">
        <v>92</v>
      </c>
      <c r="AD29" s="131" t="s">
        <v>92</v>
      </c>
      <c r="AE29" s="65" t="s">
        <v>836</v>
      </c>
      <c r="AF29" s="39" t="s">
        <v>311</v>
      </c>
      <c r="AG29" s="10" t="s">
        <v>240</v>
      </c>
      <c r="AH29" s="10">
        <v>700</v>
      </c>
      <c r="AI29" s="9" t="s">
        <v>289</v>
      </c>
      <c r="AJ29" s="10" t="s">
        <v>241</v>
      </c>
      <c r="AK29" s="50">
        <v>5000</v>
      </c>
      <c r="AL29" s="43">
        <f t="shared" si="3"/>
        <v>1295000000</v>
      </c>
      <c r="AM29" s="43">
        <f t="shared" si="4"/>
        <v>3250</v>
      </c>
      <c r="AN29" s="43">
        <f t="shared" si="5"/>
        <v>774410000</v>
      </c>
      <c r="AO29" s="51">
        <f t="shared" si="8"/>
        <v>0.65</v>
      </c>
      <c r="AQ29" s="3" t="s">
        <v>829</v>
      </c>
    </row>
    <row r="30" spans="1:43" x14ac:dyDescent="0.3">
      <c r="A30" s="1" t="str">
        <f t="shared" si="0"/>
        <v>DWDJ7J066</v>
      </c>
      <c r="B30" s="32" t="s">
        <v>837</v>
      </c>
      <c r="C30" s="10" t="str">
        <f t="shared" si="6"/>
        <v>DJ7J0</v>
      </c>
      <c r="D30" s="10" t="s">
        <v>744</v>
      </c>
      <c r="E30" s="10" t="str">
        <f t="shared" si="1"/>
        <v>W</v>
      </c>
      <c r="F30" s="10" t="str">
        <f t="shared" si="2"/>
        <v>DJ</v>
      </c>
      <c r="G30" s="10" t="s">
        <v>745</v>
      </c>
      <c r="H30" s="4" t="s">
        <v>838</v>
      </c>
      <c r="J30" s="4">
        <f t="shared" si="9"/>
        <v>1</v>
      </c>
      <c r="K30" s="4">
        <v>3</v>
      </c>
      <c r="L30" s="43">
        <v>259000</v>
      </c>
      <c r="M30" s="65" t="s">
        <v>767</v>
      </c>
      <c r="N30" s="39" t="s">
        <v>834</v>
      </c>
      <c r="O30" s="10" t="s">
        <v>143</v>
      </c>
      <c r="P30" s="10">
        <v>100</v>
      </c>
      <c r="Q30" s="32" t="s">
        <v>479</v>
      </c>
      <c r="R30" s="10" t="s">
        <v>835</v>
      </c>
      <c r="S30" s="39" t="s">
        <v>788</v>
      </c>
      <c r="T30" s="10" t="s">
        <v>65</v>
      </c>
      <c r="U30" s="10"/>
      <c r="V30" s="10" t="s">
        <v>66</v>
      </c>
      <c r="W30" s="10"/>
      <c r="X30" s="9" t="s">
        <v>756</v>
      </c>
      <c r="Y30" s="10" t="s">
        <v>340</v>
      </c>
      <c r="Z30" s="32" t="s">
        <v>125</v>
      </c>
      <c r="AA30" s="32" t="s">
        <v>70</v>
      </c>
      <c r="AB30" s="9" t="s">
        <v>342</v>
      </c>
      <c r="AC30" s="10" t="s">
        <v>92</v>
      </c>
      <c r="AD30" s="131" t="s">
        <v>92</v>
      </c>
      <c r="AE30" s="65" t="s">
        <v>836</v>
      </c>
      <c r="AF30" s="39" t="s">
        <v>839</v>
      </c>
      <c r="AG30" s="10" t="s">
        <v>240</v>
      </c>
      <c r="AH30" s="10">
        <v>700</v>
      </c>
      <c r="AI30" s="9" t="s">
        <v>289</v>
      </c>
      <c r="AJ30" s="10" t="s">
        <v>241</v>
      </c>
      <c r="AK30" s="50">
        <v>2600</v>
      </c>
      <c r="AL30" s="43">
        <f t="shared" si="3"/>
        <v>673400000</v>
      </c>
      <c r="AM30" s="43">
        <f t="shared" si="4"/>
        <v>1690</v>
      </c>
      <c r="AN30" s="43">
        <f t="shared" si="5"/>
        <v>402693200</v>
      </c>
      <c r="AO30" s="51">
        <f t="shared" si="8"/>
        <v>0.65</v>
      </c>
      <c r="AQ30" s="3" t="s">
        <v>829</v>
      </c>
    </row>
    <row r="31" spans="1:43" x14ac:dyDescent="0.3">
      <c r="A31" s="1" t="str">
        <f t="shared" si="0"/>
        <v>DMDJ7M0661</v>
      </c>
      <c r="B31" s="32" t="s">
        <v>840</v>
      </c>
      <c r="C31" s="10" t="str">
        <f t="shared" si="6"/>
        <v>DJ7M0</v>
      </c>
      <c r="D31" s="10" t="s">
        <v>744</v>
      </c>
      <c r="E31" s="10" t="str">
        <f t="shared" si="1"/>
        <v>M</v>
      </c>
      <c r="F31" s="10" t="str">
        <f t="shared" si="2"/>
        <v>DJ</v>
      </c>
      <c r="G31" s="10" t="s">
        <v>745</v>
      </c>
      <c r="H31" s="4" t="s">
        <v>575</v>
      </c>
      <c r="I31" s="10">
        <v>1</v>
      </c>
      <c r="J31" s="4">
        <f t="shared" si="9"/>
        <v>1</v>
      </c>
      <c r="K31" s="4">
        <v>4</v>
      </c>
      <c r="L31" s="43">
        <v>279000</v>
      </c>
      <c r="M31" s="65" t="s">
        <v>825</v>
      </c>
      <c r="N31" s="39" t="s">
        <v>841</v>
      </c>
      <c r="O31" s="10" t="s">
        <v>143</v>
      </c>
      <c r="P31" s="10">
        <v>100</v>
      </c>
      <c r="Q31" s="32" t="s">
        <v>337</v>
      </c>
      <c r="R31" s="10" t="s">
        <v>585</v>
      </c>
      <c r="S31" s="39" t="s">
        <v>842</v>
      </c>
      <c r="T31" s="10" t="s">
        <v>65</v>
      </c>
      <c r="U31" s="10"/>
      <c r="V31" s="10" t="s">
        <v>222</v>
      </c>
      <c r="W31" s="10"/>
      <c r="X31" s="9" t="s">
        <v>756</v>
      </c>
      <c r="Y31" s="10" t="s">
        <v>340</v>
      </c>
      <c r="Z31" s="32" t="s">
        <v>441</v>
      </c>
      <c r="AA31" s="32" t="s">
        <v>426</v>
      </c>
      <c r="AB31" s="9" t="s">
        <v>71</v>
      </c>
      <c r="AC31" s="10" t="s">
        <v>62</v>
      </c>
      <c r="AD31" s="10" t="s">
        <v>72</v>
      </c>
      <c r="AE31" s="65" t="s">
        <v>73</v>
      </c>
      <c r="AF31" s="39" t="s">
        <v>357</v>
      </c>
      <c r="AG31" s="10" t="s">
        <v>240</v>
      </c>
      <c r="AH31" s="10">
        <v>650</v>
      </c>
      <c r="AI31" s="9" t="s">
        <v>289</v>
      </c>
      <c r="AJ31" s="10" t="s">
        <v>241</v>
      </c>
      <c r="AK31" s="50">
        <v>4600</v>
      </c>
      <c r="AL31" s="43">
        <f t="shared" si="3"/>
        <v>1283400000</v>
      </c>
      <c r="AM31" s="43">
        <f t="shared" si="4"/>
        <v>2990</v>
      </c>
      <c r="AN31" s="43">
        <f t="shared" si="5"/>
        <v>767473200</v>
      </c>
      <c r="AO31" s="51">
        <f t="shared" si="8"/>
        <v>0.65</v>
      </c>
      <c r="AQ31" s="3" t="s">
        <v>829</v>
      </c>
    </row>
    <row r="32" spans="1:43" x14ac:dyDescent="0.3">
      <c r="A32" s="1" t="str">
        <f t="shared" si="0"/>
        <v>DWDJ9M066</v>
      </c>
      <c r="B32" s="32" t="s">
        <v>843</v>
      </c>
      <c r="C32" s="10" t="str">
        <f t="shared" si="6"/>
        <v>DJ9M0</v>
      </c>
      <c r="D32" s="10" t="s">
        <v>744</v>
      </c>
      <c r="E32" s="10" t="str">
        <f t="shared" si="1"/>
        <v>W</v>
      </c>
      <c r="F32" s="10" t="str">
        <f t="shared" si="2"/>
        <v>DJ</v>
      </c>
      <c r="G32" s="10" t="s">
        <v>745</v>
      </c>
      <c r="H32" s="4" t="s">
        <v>476</v>
      </c>
      <c r="J32" s="4">
        <f t="shared" si="9"/>
        <v>1</v>
      </c>
      <c r="K32" s="4">
        <v>4</v>
      </c>
      <c r="L32" s="43">
        <v>279000</v>
      </c>
      <c r="M32" s="65" t="s">
        <v>825</v>
      </c>
      <c r="N32" s="39" t="s">
        <v>841</v>
      </c>
      <c r="O32" s="10" t="s">
        <v>143</v>
      </c>
      <c r="P32" s="10">
        <v>100</v>
      </c>
      <c r="Q32" s="32" t="s">
        <v>337</v>
      </c>
      <c r="R32" s="10" t="s">
        <v>585</v>
      </c>
      <c r="S32" s="39" t="s">
        <v>842</v>
      </c>
      <c r="T32" s="10" t="s">
        <v>65</v>
      </c>
      <c r="U32" s="10"/>
      <c r="V32" s="10" t="s">
        <v>222</v>
      </c>
      <c r="W32" s="10"/>
      <c r="X32" s="9" t="s">
        <v>756</v>
      </c>
      <c r="Y32" s="10" t="s">
        <v>340</v>
      </c>
      <c r="Z32" s="32" t="s">
        <v>441</v>
      </c>
      <c r="AA32" s="32" t="s">
        <v>426</v>
      </c>
      <c r="AB32" s="9" t="s">
        <v>71</v>
      </c>
      <c r="AC32" s="10" t="s">
        <v>62</v>
      </c>
      <c r="AD32" s="10" t="s">
        <v>72</v>
      </c>
      <c r="AE32" s="65" t="s">
        <v>73</v>
      </c>
      <c r="AF32" s="39" t="s">
        <v>239</v>
      </c>
      <c r="AG32" s="10" t="s">
        <v>240</v>
      </c>
      <c r="AH32" s="10">
        <v>650</v>
      </c>
      <c r="AI32" s="9" t="s">
        <v>289</v>
      </c>
      <c r="AJ32" s="10" t="s">
        <v>77</v>
      </c>
      <c r="AK32" s="50">
        <v>7800</v>
      </c>
      <c r="AL32" s="43">
        <f t="shared" si="3"/>
        <v>2176200000</v>
      </c>
      <c r="AM32" s="43">
        <f t="shared" si="4"/>
        <v>5070</v>
      </c>
      <c r="AN32" s="43">
        <f t="shared" si="5"/>
        <v>1301367600</v>
      </c>
      <c r="AO32" s="51">
        <f t="shared" si="8"/>
        <v>0.65</v>
      </c>
      <c r="AQ32" s="3" t="s">
        <v>748</v>
      </c>
    </row>
    <row r="33" spans="1:43" x14ac:dyDescent="0.3">
      <c r="A33" s="1" t="str">
        <f t="shared" si="0"/>
        <v>DMDJ7G0661</v>
      </c>
      <c r="B33" s="32" t="s">
        <v>844</v>
      </c>
      <c r="C33" s="10" t="str">
        <f t="shared" si="6"/>
        <v>DJ7G0</v>
      </c>
      <c r="D33" s="10" t="s">
        <v>744</v>
      </c>
      <c r="E33" s="10" t="str">
        <f t="shared" si="1"/>
        <v>M</v>
      </c>
      <c r="F33" s="10" t="str">
        <f t="shared" si="2"/>
        <v>DJ</v>
      </c>
      <c r="G33" s="10" t="s">
        <v>745</v>
      </c>
      <c r="H33" s="4" t="s">
        <v>845</v>
      </c>
      <c r="I33" s="10">
        <v>1</v>
      </c>
      <c r="J33" s="4">
        <f t="shared" si="9"/>
        <v>1</v>
      </c>
      <c r="K33" s="4">
        <v>3</v>
      </c>
      <c r="L33" s="43">
        <v>499000</v>
      </c>
      <c r="M33" s="65" t="s">
        <v>408</v>
      </c>
      <c r="N33" s="39" t="s">
        <v>846</v>
      </c>
      <c r="O33" s="10" t="s">
        <v>143</v>
      </c>
      <c r="P33" s="10">
        <v>100</v>
      </c>
      <c r="Q33" s="32" t="s">
        <v>62</v>
      </c>
      <c r="R33" s="10" t="s">
        <v>585</v>
      </c>
      <c r="S33" s="39" t="s">
        <v>72</v>
      </c>
      <c r="T33" s="10" t="s">
        <v>65</v>
      </c>
      <c r="U33" s="10"/>
      <c r="V33" s="10" t="s">
        <v>66</v>
      </c>
      <c r="W33" s="10" t="s">
        <v>408</v>
      </c>
      <c r="X33" s="9" t="s">
        <v>756</v>
      </c>
      <c r="Y33" s="10" t="s">
        <v>68</v>
      </c>
      <c r="Z33" s="32" t="s">
        <v>154</v>
      </c>
      <c r="AA33" s="32" t="s">
        <v>147</v>
      </c>
      <c r="AB33" s="9" t="s">
        <v>342</v>
      </c>
      <c r="AC33" s="10" t="s">
        <v>92</v>
      </c>
      <c r="AD33" s="131" t="s">
        <v>92</v>
      </c>
      <c r="AE33" s="65" t="s">
        <v>847</v>
      </c>
      <c r="AF33" s="39" t="s">
        <v>383</v>
      </c>
      <c r="AG33" s="10" t="s">
        <v>127</v>
      </c>
      <c r="AH33" s="10">
        <v>700</v>
      </c>
      <c r="AI33" s="9" t="s">
        <v>264</v>
      </c>
      <c r="AJ33" s="10" t="s">
        <v>241</v>
      </c>
      <c r="AK33" s="50">
        <v>6000</v>
      </c>
      <c r="AL33" s="43">
        <f t="shared" si="3"/>
        <v>2994000000</v>
      </c>
      <c r="AM33" s="43">
        <f t="shared" si="4"/>
        <v>3900</v>
      </c>
      <c r="AN33" s="43">
        <f t="shared" si="5"/>
        <v>1790412000</v>
      </c>
      <c r="AO33" s="51">
        <f t="shared" si="8"/>
        <v>0.65</v>
      </c>
      <c r="AQ33" s="3" t="s">
        <v>829</v>
      </c>
    </row>
    <row r="34" spans="1:43" x14ac:dyDescent="0.3">
      <c r="A34" s="1" t="str">
        <f t="shared" si="0"/>
        <v>DWDJ7H066</v>
      </c>
      <c r="B34" s="32" t="s">
        <v>848</v>
      </c>
      <c r="C34" s="10" t="str">
        <f t="shared" si="6"/>
        <v>DJ7H0</v>
      </c>
      <c r="D34" s="10" t="s">
        <v>744</v>
      </c>
      <c r="E34" s="10" t="str">
        <f t="shared" si="1"/>
        <v>W</v>
      </c>
      <c r="F34" s="10" t="str">
        <f t="shared" si="2"/>
        <v>DJ</v>
      </c>
      <c r="G34" s="10" t="s">
        <v>745</v>
      </c>
      <c r="H34" s="4" t="s">
        <v>849</v>
      </c>
      <c r="J34" s="4">
        <f t="shared" si="9"/>
        <v>1</v>
      </c>
      <c r="K34" s="4">
        <v>2</v>
      </c>
      <c r="L34" s="43">
        <v>499000</v>
      </c>
      <c r="M34" s="65" t="s">
        <v>408</v>
      </c>
      <c r="N34" s="39" t="s">
        <v>846</v>
      </c>
      <c r="O34" s="10" t="s">
        <v>143</v>
      </c>
      <c r="P34" s="10">
        <v>100</v>
      </c>
      <c r="Q34" s="32" t="s">
        <v>62</v>
      </c>
      <c r="R34" s="10" t="s">
        <v>585</v>
      </c>
      <c r="S34" s="39" t="s">
        <v>72</v>
      </c>
      <c r="T34" s="10" t="s">
        <v>65</v>
      </c>
      <c r="U34" s="10"/>
      <c r="V34" s="10" t="s">
        <v>66</v>
      </c>
      <c r="W34" s="10" t="s">
        <v>408</v>
      </c>
      <c r="X34" s="9" t="s">
        <v>756</v>
      </c>
      <c r="Y34" s="10" t="s">
        <v>68</v>
      </c>
      <c r="Z34" s="32" t="s">
        <v>154</v>
      </c>
      <c r="AA34" s="32" t="s">
        <v>147</v>
      </c>
      <c r="AB34" s="9" t="s">
        <v>342</v>
      </c>
      <c r="AC34" s="10" t="s">
        <v>92</v>
      </c>
      <c r="AD34" s="131" t="s">
        <v>92</v>
      </c>
      <c r="AE34" s="65" t="s">
        <v>847</v>
      </c>
      <c r="AF34" s="39" t="s">
        <v>276</v>
      </c>
      <c r="AG34" s="10" t="s">
        <v>127</v>
      </c>
      <c r="AH34" s="10">
        <v>700</v>
      </c>
      <c r="AI34" s="9" t="s">
        <v>264</v>
      </c>
      <c r="AJ34" s="10" t="s">
        <v>241</v>
      </c>
      <c r="AK34" s="50">
        <v>3000</v>
      </c>
      <c r="AL34" s="43">
        <f t="shared" si="3"/>
        <v>1497000000</v>
      </c>
      <c r="AM34" s="43">
        <f t="shared" si="4"/>
        <v>1950</v>
      </c>
      <c r="AN34" s="43">
        <f t="shared" si="5"/>
        <v>895206000</v>
      </c>
      <c r="AO34" s="51">
        <f t="shared" si="8"/>
        <v>0.65</v>
      </c>
      <c r="AQ34" s="3" t="s">
        <v>829</v>
      </c>
    </row>
    <row r="35" spans="1:43" x14ac:dyDescent="0.3">
      <c r="A35" s="1" t="str">
        <f t="shared" si="0"/>
        <v>DWDJ9J0661</v>
      </c>
      <c r="B35" s="32" t="s">
        <v>850</v>
      </c>
      <c r="C35" s="10" t="str">
        <f t="shared" si="6"/>
        <v>DJ9J0</v>
      </c>
      <c r="D35" s="10" t="s">
        <v>744</v>
      </c>
      <c r="E35" s="10" t="str">
        <f t="shared" si="1"/>
        <v>W</v>
      </c>
      <c r="F35" s="10" t="str">
        <f t="shared" si="2"/>
        <v>DJ</v>
      </c>
      <c r="G35" s="10" t="s">
        <v>745</v>
      </c>
      <c r="H35" s="4" t="s">
        <v>851</v>
      </c>
      <c r="I35" s="10">
        <v>1</v>
      </c>
      <c r="J35" s="4">
        <f t="shared" si="9"/>
        <v>1</v>
      </c>
      <c r="K35" s="4">
        <v>4</v>
      </c>
      <c r="L35" s="43">
        <v>329000</v>
      </c>
      <c r="M35" s="65" t="s">
        <v>767</v>
      </c>
      <c r="N35" s="39" t="s">
        <v>834</v>
      </c>
      <c r="O35" s="10" t="s">
        <v>143</v>
      </c>
      <c r="P35" s="10">
        <v>100</v>
      </c>
      <c r="Q35" s="71" t="s">
        <v>479</v>
      </c>
      <c r="R35" s="10" t="s">
        <v>835</v>
      </c>
      <c r="S35" s="39" t="s">
        <v>788</v>
      </c>
      <c r="T35" s="10" t="s">
        <v>65</v>
      </c>
      <c r="U35" s="10"/>
      <c r="V35" s="10" t="s">
        <v>66</v>
      </c>
      <c r="W35" s="10"/>
      <c r="X35" s="9" t="s">
        <v>756</v>
      </c>
      <c r="Y35" s="10" t="s">
        <v>340</v>
      </c>
      <c r="Z35" s="32" t="s">
        <v>125</v>
      </c>
      <c r="AA35" s="32" t="s">
        <v>353</v>
      </c>
      <c r="AB35" s="9" t="s">
        <v>342</v>
      </c>
      <c r="AC35" s="10" t="s">
        <v>92</v>
      </c>
      <c r="AD35" s="131" t="s">
        <v>92</v>
      </c>
      <c r="AE35" s="65" t="s">
        <v>836</v>
      </c>
      <c r="AF35" s="39" t="s">
        <v>333</v>
      </c>
      <c r="AG35" s="10" t="s">
        <v>75</v>
      </c>
      <c r="AH35" s="10">
        <v>650</v>
      </c>
      <c r="AI35" s="9" t="s">
        <v>128</v>
      </c>
      <c r="AJ35" s="10" t="s">
        <v>129</v>
      </c>
      <c r="AK35" s="50">
        <v>8000</v>
      </c>
      <c r="AL35" s="43">
        <f t="shared" si="3"/>
        <v>2632000000</v>
      </c>
      <c r="AM35" s="43">
        <f t="shared" si="4"/>
        <v>5200</v>
      </c>
      <c r="AN35" s="43">
        <f t="shared" si="5"/>
        <v>1573936000</v>
      </c>
      <c r="AO35" s="51">
        <f t="shared" si="8"/>
        <v>0.65</v>
      </c>
      <c r="AQ35" s="3" t="s">
        <v>748</v>
      </c>
    </row>
    <row r="36" spans="1:43" x14ac:dyDescent="0.3">
      <c r="A36" s="1" t="str">
        <f t="shared" si="0"/>
        <v>DMDJ7U0661</v>
      </c>
      <c r="B36" s="32" t="s">
        <v>852</v>
      </c>
      <c r="C36" s="10" t="str">
        <f t="shared" si="6"/>
        <v>DJ7U0</v>
      </c>
      <c r="D36" s="10" t="s">
        <v>744</v>
      </c>
      <c r="E36" s="10" t="str">
        <f t="shared" si="1"/>
        <v>M</v>
      </c>
      <c r="F36" s="10" t="str">
        <f t="shared" si="2"/>
        <v>DJ</v>
      </c>
      <c r="G36" s="10" t="s">
        <v>745</v>
      </c>
      <c r="H36" s="4" t="s">
        <v>853</v>
      </c>
      <c r="I36" s="10">
        <v>1</v>
      </c>
      <c r="J36" s="4">
        <f t="shared" si="9"/>
        <v>1</v>
      </c>
      <c r="K36" s="4">
        <v>3</v>
      </c>
      <c r="L36" s="43">
        <v>690000</v>
      </c>
      <c r="M36" s="65" t="s">
        <v>767</v>
      </c>
      <c r="N36" s="39" t="s">
        <v>854</v>
      </c>
      <c r="O36" s="10" t="s">
        <v>855</v>
      </c>
      <c r="P36" s="113" t="s">
        <v>856</v>
      </c>
      <c r="Q36" s="32" t="s">
        <v>857</v>
      </c>
      <c r="R36" s="10" t="s">
        <v>858</v>
      </c>
      <c r="S36" s="39" t="s">
        <v>859</v>
      </c>
      <c r="T36" s="10" t="s">
        <v>860</v>
      </c>
      <c r="U36" s="10" t="s">
        <v>198</v>
      </c>
      <c r="V36" s="10"/>
      <c r="W36" s="10"/>
      <c r="X36" s="9" t="s">
        <v>756</v>
      </c>
      <c r="Y36" s="10" t="s">
        <v>861</v>
      </c>
      <c r="Z36" s="32" t="s">
        <v>125</v>
      </c>
      <c r="AA36" s="32" t="s">
        <v>90</v>
      </c>
      <c r="AB36" s="9" t="s">
        <v>71</v>
      </c>
      <c r="AC36" s="10" t="s">
        <v>62</v>
      </c>
      <c r="AD36" s="10" t="s">
        <v>72</v>
      </c>
      <c r="AE36" s="65" t="s">
        <v>73</v>
      </c>
      <c r="AF36" s="39" t="s">
        <v>674</v>
      </c>
      <c r="AG36" s="10" t="s">
        <v>127</v>
      </c>
      <c r="AH36" s="10">
        <v>650</v>
      </c>
      <c r="AI36" s="9" t="s">
        <v>99</v>
      </c>
      <c r="AJ36" s="10" t="s">
        <v>100</v>
      </c>
      <c r="AK36" s="50">
        <v>4300</v>
      </c>
      <c r="AL36" s="43">
        <f t="shared" si="3"/>
        <v>2967000000</v>
      </c>
      <c r="AM36" s="43">
        <f t="shared" si="4"/>
        <v>2795</v>
      </c>
      <c r="AN36" s="43">
        <f t="shared" si="5"/>
        <v>1774266000</v>
      </c>
      <c r="AO36" s="51">
        <f t="shared" si="8"/>
        <v>0.65</v>
      </c>
      <c r="AQ36" s="3" t="s">
        <v>829</v>
      </c>
    </row>
    <row r="37" spans="1:43" x14ac:dyDescent="0.3">
      <c r="A37" s="1" t="str">
        <f t="shared" si="0"/>
        <v>DMDJ7K0661</v>
      </c>
      <c r="B37" s="32" t="s">
        <v>862</v>
      </c>
      <c r="C37" s="10" t="str">
        <f t="shared" si="6"/>
        <v>DJ7K0</v>
      </c>
      <c r="D37" s="10" t="s">
        <v>744</v>
      </c>
      <c r="E37" s="10" t="str">
        <f t="shared" si="1"/>
        <v>M</v>
      </c>
      <c r="F37" s="10" t="str">
        <f t="shared" si="2"/>
        <v>DJ</v>
      </c>
      <c r="G37" s="10" t="s">
        <v>745</v>
      </c>
      <c r="H37" s="4" t="s">
        <v>364</v>
      </c>
      <c r="I37" s="10">
        <v>1</v>
      </c>
      <c r="J37" s="4">
        <f t="shared" si="9"/>
        <v>1</v>
      </c>
      <c r="K37" s="4">
        <v>2</v>
      </c>
      <c r="L37" s="43">
        <v>520000</v>
      </c>
      <c r="M37" s="65" t="s">
        <v>117</v>
      </c>
      <c r="N37" s="39" t="s">
        <v>863</v>
      </c>
      <c r="O37" s="10" t="s">
        <v>485</v>
      </c>
      <c r="P37" s="10">
        <v>100</v>
      </c>
      <c r="Q37" s="32" t="s">
        <v>204</v>
      </c>
      <c r="R37" s="10" t="s">
        <v>566</v>
      </c>
      <c r="S37" s="39" t="s">
        <v>121</v>
      </c>
      <c r="T37" s="10" t="s">
        <v>122</v>
      </c>
      <c r="U37" s="10" t="s">
        <v>123</v>
      </c>
      <c r="V37" s="10" t="s">
        <v>412</v>
      </c>
      <c r="W37" s="10" t="s">
        <v>864</v>
      </c>
      <c r="X37" s="9" t="s">
        <v>756</v>
      </c>
      <c r="Y37" s="10" t="s">
        <v>68</v>
      </c>
      <c r="Z37" s="32" t="s">
        <v>125</v>
      </c>
      <c r="AA37" s="32" t="s">
        <v>90</v>
      </c>
      <c r="AB37" s="9" t="s">
        <v>71</v>
      </c>
      <c r="AC37" s="10" t="s">
        <v>62</v>
      </c>
      <c r="AD37" s="10" t="s">
        <v>72</v>
      </c>
      <c r="AE37" s="65" t="s">
        <v>73</v>
      </c>
      <c r="AF37" s="39" t="s">
        <v>865</v>
      </c>
      <c r="AG37" s="10" t="s">
        <v>127</v>
      </c>
      <c r="AH37" s="10">
        <v>650</v>
      </c>
      <c r="AI37" s="9" t="s">
        <v>264</v>
      </c>
      <c r="AJ37" s="10" t="s">
        <v>241</v>
      </c>
      <c r="AK37" s="50">
        <v>6300</v>
      </c>
      <c r="AL37" s="43">
        <f t="shared" ref="AL37:AL68" si="10">AK37*L37</f>
        <v>3276000000</v>
      </c>
      <c r="AM37" s="43">
        <f t="shared" ref="AM37:AM68" si="11">AK37*AO37</f>
        <v>4095</v>
      </c>
      <c r="AN37" s="43">
        <f t="shared" ref="AN37:AN68" si="12">(AM37*L37)*92%</f>
        <v>1959048000</v>
      </c>
      <c r="AO37" s="51">
        <f t="shared" si="8"/>
        <v>0.65</v>
      </c>
      <c r="AQ37" s="3" t="s">
        <v>829</v>
      </c>
    </row>
    <row r="38" spans="1:43" x14ac:dyDescent="0.3">
      <c r="A38" s="1" t="str">
        <f t="shared" si="0"/>
        <v>DMDJ7O0661</v>
      </c>
      <c r="B38" s="32" t="s">
        <v>866</v>
      </c>
      <c r="C38" s="10" t="str">
        <f t="shared" si="6"/>
        <v>DJ7O0</v>
      </c>
      <c r="D38" s="10" t="s">
        <v>744</v>
      </c>
      <c r="E38" s="10" t="str">
        <f t="shared" si="1"/>
        <v>M</v>
      </c>
      <c r="F38" s="10" t="str">
        <f t="shared" si="2"/>
        <v>DJ</v>
      </c>
      <c r="G38" s="10" t="s">
        <v>745</v>
      </c>
      <c r="H38" s="4" t="s">
        <v>610</v>
      </c>
      <c r="I38" s="10">
        <v>1</v>
      </c>
      <c r="J38" s="4">
        <f t="shared" si="9"/>
        <v>1</v>
      </c>
      <c r="K38" s="4">
        <v>2</v>
      </c>
      <c r="L38" s="43">
        <v>750000</v>
      </c>
      <c r="M38" s="65" t="s">
        <v>509</v>
      </c>
      <c r="N38" s="39" t="s">
        <v>867</v>
      </c>
      <c r="O38" s="10" t="s">
        <v>254</v>
      </c>
      <c r="P38" s="10" t="s">
        <v>797</v>
      </c>
      <c r="Q38" s="32" t="s">
        <v>330</v>
      </c>
      <c r="R38" s="10" t="s">
        <v>86</v>
      </c>
      <c r="S38" s="39" t="s">
        <v>868</v>
      </c>
      <c r="T38" s="10" t="s">
        <v>122</v>
      </c>
      <c r="U38" s="10" t="s">
        <v>198</v>
      </c>
      <c r="V38" s="10" t="s">
        <v>66</v>
      </c>
      <c r="W38" s="10" t="s">
        <v>229</v>
      </c>
      <c r="X38" s="9" t="s">
        <v>756</v>
      </c>
      <c r="Y38" s="10" t="s">
        <v>68</v>
      </c>
      <c r="Z38" s="32" t="s">
        <v>238</v>
      </c>
      <c r="AA38" s="32" t="s">
        <v>90</v>
      </c>
      <c r="AB38" s="9" t="s">
        <v>71</v>
      </c>
      <c r="AC38" s="10" t="s">
        <v>62</v>
      </c>
      <c r="AD38" s="10" t="s">
        <v>72</v>
      </c>
      <c r="AE38" s="65" t="s">
        <v>73</v>
      </c>
      <c r="AF38" s="39" t="s">
        <v>613</v>
      </c>
      <c r="AG38" s="10" t="s">
        <v>127</v>
      </c>
      <c r="AH38" s="10">
        <v>650</v>
      </c>
      <c r="AI38" s="9" t="s">
        <v>107</v>
      </c>
      <c r="AJ38" s="10" t="s">
        <v>108</v>
      </c>
      <c r="AK38" s="50">
        <v>2300</v>
      </c>
      <c r="AL38" s="43">
        <f t="shared" si="10"/>
        <v>1725000000</v>
      </c>
      <c r="AM38" s="43">
        <f t="shared" si="11"/>
        <v>1495</v>
      </c>
      <c r="AN38" s="43">
        <f t="shared" si="12"/>
        <v>1031550000</v>
      </c>
      <c r="AO38" s="51">
        <f t="shared" si="8"/>
        <v>0.65</v>
      </c>
      <c r="AQ38" s="3" t="s">
        <v>829</v>
      </c>
    </row>
    <row r="39" spans="1:43" x14ac:dyDescent="0.3">
      <c r="A39" s="1" t="str">
        <f t="shared" si="0"/>
        <v>DWDJ9K0661</v>
      </c>
      <c r="B39" s="32" t="s">
        <v>869</v>
      </c>
      <c r="C39" s="10" t="str">
        <f t="shared" si="6"/>
        <v>DJ9K0</v>
      </c>
      <c r="D39" s="10" t="s">
        <v>744</v>
      </c>
      <c r="E39" s="10" t="str">
        <f t="shared" si="1"/>
        <v>W</v>
      </c>
      <c r="F39" s="10" t="str">
        <f t="shared" si="2"/>
        <v>DJ</v>
      </c>
      <c r="G39" s="10" t="s">
        <v>745</v>
      </c>
      <c r="H39" s="4" t="s">
        <v>488</v>
      </c>
      <c r="I39" s="10">
        <v>1</v>
      </c>
      <c r="J39" s="4">
        <f t="shared" si="9"/>
        <v>1</v>
      </c>
      <c r="K39" s="4">
        <v>2</v>
      </c>
      <c r="L39" s="43">
        <v>550000</v>
      </c>
      <c r="M39" s="9" t="s">
        <v>390</v>
      </c>
      <c r="N39" s="10" t="s">
        <v>870</v>
      </c>
      <c r="O39" s="10" t="s">
        <v>485</v>
      </c>
      <c r="P39" s="10">
        <v>100</v>
      </c>
      <c r="Q39" s="32" t="s">
        <v>85</v>
      </c>
      <c r="R39" s="10" t="s">
        <v>112</v>
      </c>
      <c r="S39" s="39" t="s">
        <v>871</v>
      </c>
      <c r="T39" s="10" t="s">
        <v>228</v>
      </c>
      <c r="U39" s="10" t="s">
        <v>198</v>
      </c>
      <c r="V39" s="10"/>
      <c r="W39" s="10" t="s">
        <v>229</v>
      </c>
      <c r="X39" s="9" t="s">
        <v>756</v>
      </c>
      <c r="Y39" s="10" t="s">
        <v>340</v>
      </c>
      <c r="Z39" s="32" t="s">
        <v>238</v>
      </c>
      <c r="AA39" s="32" t="s">
        <v>90</v>
      </c>
      <c r="AB39" s="9" t="s">
        <v>71</v>
      </c>
      <c r="AC39" s="10" t="s">
        <v>62</v>
      </c>
      <c r="AD39" s="10" t="s">
        <v>72</v>
      </c>
      <c r="AE39" s="65" t="s">
        <v>73</v>
      </c>
      <c r="AF39" s="39" t="s">
        <v>175</v>
      </c>
      <c r="AG39" s="10" t="s">
        <v>127</v>
      </c>
      <c r="AH39" s="10">
        <v>650</v>
      </c>
      <c r="AI39" s="9" t="s">
        <v>99</v>
      </c>
      <c r="AJ39" s="10" t="s">
        <v>100</v>
      </c>
      <c r="AK39" s="50">
        <v>2500</v>
      </c>
      <c r="AL39" s="43">
        <f t="shared" si="10"/>
        <v>1375000000</v>
      </c>
      <c r="AM39" s="43">
        <f t="shared" si="11"/>
        <v>1625</v>
      </c>
      <c r="AN39" s="43">
        <f t="shared" si="12"/>
        <v>822250000</v>
      </c>
      <c r="AO39" s="51">
        <f t="shared" si="8"/>
        <v>0.65</v>
      </c>
      <c r="AQ39" s="3" t="s">
        <v>748</v>
      </c>
    </row>
    <row r="40" spans="1:43" x14ac:dyDescent="0.3">
      <c r="A40" s="1" t="str">
        <f t="shared" si="0"/>
        <v>DWDJ9B0661</v>
      </c>
      <c r="B40" s="32" t="s">
        <v>872</v>
      </c>
      <c r="C40" s="10" t="str">
        <f t="shared" si="6"/>
        <v>DJ9B0</v>
      </c>
      <c r="D40" s="10" t="s">
        <v>744</v>
      </c>
      <c r="E40" s="10" t="str">
        <f t="shared" si="1"/>
        <v>W</v>
      </c>
      <c r="F40" s="10" t="str">
        <f t="shared" si="2"/>
        <v>DJ</v>
      </c>
      <c r="G40" s="10" t="s">
        <v>745</v>
      </c>
      <c r="H40" s="4" t="s">
        <v>493</v>
      </c>
      <c r="I40" s="10">
        <v>1</v>
      </c>
      <c r="J40" s="4">
        <f t="shared" si="9"/>
        <v>1</v>
      </c>
      <c r="K40" s="4">
        <v>2</v>
      </c>
      <c r="L40" s="43">
        <v>630000</v>
      </c>
      <c r="M40" s="9" t="s">
        <v>390</v>
      </c>
      <c r="N40" s="10" t="s">
        <v>870</v>
      </c>
      <c r="O40" s="10" t="s">
        <v>485</v>
      </c>
      <c r="P40" s="10">
        <v>100</v>
      </c>
      <c r="Q40" s="32" t="s">
        <v>85</v>
      </c>
      <c r="R40" s="10" t="s">
        <v>112</v>
      </c>
      <c r="S40" s="39" t="s">
        <v>871</v>
      </c>
      <c r="T40" s="10" t="s">
        <v>228</v>
      </c>
      <c r="U40" s="10" t="s">
        <v>198</v>
      </c>
      <c r="V40" s="10"/>
      <c r="W40" s="10" t="s">
        <v>229</v>
      </c>
      <c r="X40" s="9" t="s">
        <v>756</v>
      </c>
      <c r="Y40" s="10" t="s">
        <v>340</v>
      </c>
      <c r="Z40" s="32" t="s">
        <v>238</v>
      </c>
      <c r="AA40" s="32" t="s">
        <v>90</v>
      </c>
      <c r="AB40" s="9" t="s">
        <v>71</v>
      </c>
      <c r="AC40" s="10" t="s">
        <v>62</v>
      </c>
      <c r="AD40" s="10" t="s">
        <v>72</v>
      </c>
      <c r="AE40" s="65" t="s">
        <v>73</v>
      </c>
      <c r="AF40" s="39" t="s">
        <v>417</v>
      </c>
      <c r="AG40" s="10" t="s">
        <v>127</v>
      </c>
      <c r="AH40" s="10">
        <v>650</v>
      </c>
      <c r="AI40" s="9" t="s">
        <v>107</v>
      </c>
      <c r="AJ40" s="10" t="s">
        <v>108</v>
      </c>
      <c r="AK40" s="50">
        <v>4200</v>
      </c>
      <c r="AL40" s="43">
        <f t="shared" si="10"/>
        <v>2646000000</v>
      </c>
      <c r="AM40" s="43">
        <f t="shared" si="11"/>
        <v>2730</v>
      </c>
      <c r="AN40" s="43">
        <f t="shared" si="12"/>
        <v>1582308000</v>
      </c>
      <c r="AO40" s="51">
        <f t="shared" si="8"/>
        <v>0.65</v>
      </c>
      <c r="AQ40" s="3" t="s">
        <v>748</v>
      </c>
    </row>
    <row r="41" spans="1:43" x14ac:dyDescent="0.3">
      <c r="A41" s="1" t="str">
        <f t="shared" si="0"/>
        <v>DMDJ710661</v>
      </c>
      <c r="B41" s="32" t="s">
        <v>873</v>
      </c>
      <c r="C41" s="10" t="str">
        <f t="shared" si="6"/>
        <v>DJ710</v>
      </c>
      <c r="D41" s="10" t="s">
        <v>744</v>
      </c>
      <c r="E41" s="10" t="str">
        <f t="shared" si="1"/>
        <v>M</v>
      </c>
      <c r="F41" s="10" t="str">
        <f t="shared" si="2"/>
        <v>DJ</v>
      </c>
      <c r="G41" s="10" t="s">
        <v>745</v>
      </c>
      <c r="H41" s="4" t="s">
        <v>874</v>
      </c>
      <c r="I41" s="10">
        <v>1</v>
      </c>
      <c r="J41" s="4">
        <f t="shared" si="9"/>
        <v>1</v>
      </c>
      <c r="K41" s="4">
        <v>2</v>
      </c>
      <c r="L41" s="43">
        <v>169000</v>
      </c>
      <c r="M41" s="65" t="s">
        <v>83</v>
      </c>
      <c r="N41" s="39" t="s">
        <v>617</v>
      </c>
      <c r="O41" s="10" t="s">
        <v>485</v>
      </c>
      <c r="P41" s="10">
        <v>100</v>
      </c>
      <c r="Q41" s="32" t="s">
        <v>85</v>
      </c>
      <c r="R41" s="10" t="s">
        <v>86</v>
      </c>
      <c r="S41" s="39" t="s">
        <v>87</v>
      </c>
      <c r="T41" s="10" t="s">
        <v>65</v>
      </c>
      <c r="U41" s="10"/>
      <c r="V41" s="10" t="s">
        <v>66</v>
      </c>
      <c r="W41" s="10"/>
      <c r="X41" s="9" t="s">
        <v>756</v>
      </c>
      <c r="Y41" s="10" t="s">
        <v>88</v>
      </c>
      <c r="Z41" s="32" t="s">
        <v>125</v>
      </c>
      <c r="AA41" s="32" t="s">
        <v>90</v>
      </c>
      <c r="AB41" s="9" t="s">
        <v>91</v>
      </c>
      <c r="AC41" s="10" t="s">
        <v>92</v>
      </c>
      <c r="AD41" s="131" t="s">
        <v>92</v>
      </c>
      <c r="AE41" s="65" t="s">
        <v>137</v>
      </c>
      <c r="AF41" s="39" t="s">
        <v>288</v>
      </c>
      <c r="AG41" s="10" t="s">
        <v>240</v>
      </c>
      <c r="AH41" s="10">
        <v>650</v>
      </c>
      <c r="AI41" s="9" t="s">
        <v>289</v>
      </c>
      <c r="AJ41" s="10" t="s">
        <v>241</v>
      </c>
      <c r="AK41" s="50">
        <v>8000</v>
      </c>
      <c r="AL41" s="43">
        <f t="shared" si="10"/>
        <v>1352000000</v>
      </c>
      <c r="AM41" s="43">
        <f t="shared" si="11"/>
        <v>5200</v>
      </c>
      <c r="AN41" s="43">
        <f t="shared" si="12"/>
        <v>808496000</v>
      </c>
      <c r="AO41" s="51">
        <f t="shared" si="8"/>
        <v>0.65</v>
      </c>
      <c r="AQ41" s="3" t="s">
        <v>875</v>
      </c>
    </row>
    <row r="42" spans="1:43" x14ac:dyDescent="0.3">
      <c r="A42" s="1" t="str">
        <f t="shared" si="0"/>
        <v>DWDJ72066</v>
      </c>
      <c r="B42" s="32" t="s">
        <v>876</v>
      </c>
      <c r="C42" s="10" t="str">
        <f t="shared" si="6"/>
        <v>DJ720</v>
      </c>
      <c r="D42" s="10" t="s">
        <v>744</v>
      </c>
      <c r="E42" s="10" t="str">
        <f t="shared" si="1"/>
        <v>W</v>
      </c>
      <c r="F42" s="10" t="str">
        <f t="shared" si="2"/>
        <v>DJ</v>
      </c>
      <c r="G42" s="10" t="s">
        <v>745</v>
      </c>
      <c r="H42" s="4" t="s">
        <v>877</v>
      </c>
      <c r="J42" s="4">
        <f t="shared" si="9"/>
        <v>1</v>
      </c>
      <c r="K42" s="4">
        <v>2</v>
      </c>
      <c r="L42" s="43">
        <v>169000</v>
      </c>
      <c r="M42" s="65" t="s">
        <v>83</v>
      </c>
      <c r="N42" s="39" t="s">
        <v>617</v>
      </c>
      <c r="O42" s="10" t="s">
        <v>485</v>
      </c>
      <c r="P42" s="10">
        <v>100</v>
      </c>
      <c r="Q42" s="32" t="s">
        <v>85</v>
      </c>
      <c r="R42" s="10" t="s">
        <v>86</v>
      </c>
      <c r="S42" s="39" t="s">
        <v>87</v>
      </c>
      <c r="T42" s="10" t="s">
        <v>65</v>
      </c>
      <c r="U42" s="10"/>
      <c r="V42" s="10" t="s">
        <v>66</v>
      </c>
      <c r="W42" s="10"/>
      <c r="X42" s="9" t="s">
        <v>756</v>
      </c>
      <c r="Y42" s="10" t="s">
        <v>88</v>
      </c>
      <c r="Z42" s="32" t="s">
        <v>125</v>
      </c>
      <c r="AA42" s="32" t="s">
        <v>90</v>
      </c>
      <c r="AB42" s="9" t="s">
        <v>91</v>
      </c>
      <c r="AC42" s="10" t="s">
        <v>92</v>
      </c>
      <c r="AD42" s="131" t="s">
        <v>92</v>
      </c>
      <c r="AE42" s="65" t="s">
        <v>137</v>
      </c>
      <c r="AF42" s="39" t="s">
        <v>293</v>
      </c>
      <c r="AG42" s="10" t="s">
        <v>240</v>
      </c>
      <c r="AH42" s="10">
        <v>650</v>
      </c>
      <c r="AI42" s="9" t="s">
        <v>289</v>
      </c>
      <c r="AJ42" s="10" t="s">
        <v>241</v>
      </c>
      <c r="AK42" s="50">
        <v>4000</v>
      </c>
      <c r="AL42" s="43">
        <f t="shared" si="10"/>
        <v>676000000</v>
      </c>
      <c r="AM42" s="43">
        <f t="shared" si="11"/>
        <v>2600</v>
      </c>
      <c r="AN42" s="43">
        <f t="shared" si="12"/>
        <v>404248000</v>
      </c>
      <c r="AO42" s="51">
        <f t="shared" si="8"/>
        <v>0.65</v>
      </c>
      <c r="AQ42" s="3" t="s">
        <v>875</v>
      </c>
    </row>
    <row r="43" spans="1:43" x14ac:dyDescent="0.3">
      <c r="A43" s="1" t="str">
        <f t="shared" si="0"/>
        <v>DMDJ730661</v>
      </c>
      <c r="B43" s="32" t="s">
        <v>878</v>
      </c>
      <c r="C43" s="10" t="str">
        <f t="shared" si="6"/>
        <v>DJ730</v>
      </c>
      <c r="D43" s="10" t="s">
        <v>744</v>
      </c>
      <c r="E43" s="10" t="str">
        <f t="shared" si="1"/>
        <v>M</v>
      </c>
      <c r="F43" s="10" t="str">
        <f t="shared" si="2"/>
        <v>DJ</v>
      </c>
      <c r="G43" s="10" t="s">
        <v>745</v>
      </c>
      <c r="H43" s="4" t="s">
        <v>622</v>
      </c>
      <c r="I43" s="10">
        <v>1</v>
      </c>
      <c r="J43" s="4">
        <f t="shared" si="9"/>
        <v>1</v>
      </c>
      <c r="K43" s="4">
        <v>2</v>
      </c>
      <c r="L43" s="43">
        <v>199000</v>
      </c>
      <c r="M43" s="65" t="s">
        <v>83</v>
      </c>
      <c r="N43" s="39" t="s">
        <v>623</v>
      </c>
      <c r="O43" s="10" t="s">
        <v>485</v>
      </c>
      <c r="P43" s="10">
        <v>100</v>
      </c>
      <c r="Q43" s="32" t="s">
        <v>85</v>
      </c>
      <c r="R43" s="10" t="s">
        <v>86</v>
      </c>
      <c r="S43" s="39" t="s">
        <v>87</v>
      </c>
      <c r="T43" s="10" t="s">
        <v>65</v>
      </c>
      <c r="U43" s="10"/>
      <c r="V43" s="10" t="s">
        <v>66</v>
      </c>
      <c r="W43" s="10"/>
      <c r="X43" s="9" t="s">
        <v>756</v>
      </c>
      <c r="Y43" s="10" t="s">
        <v>88</v>
      </c>
      <c r="Z43" s="32" t="s">
        <v>125</v>
      </c>
      <c r="AA43" s="32" t="s">
        <v>90</v>
      </c>
      <c r="AB43" s="9" t="s">
        <v>91</v>
      </c>
      <c r="AC43" s="10" t="s">
        <v>92</v>
      </c>
      <c r="AD43" s="131" t="s">
        <v>92</v>
      </c>
      <c r="AE43" s="65" t="s">
        <v>137</v>
      </c>
      <c r="AF43" s="39" t="s">
        <v>126</v>
      </c>
      <c r="AG43" s="10" t="s">
        <v>75</v>
      </c>
      <c r="AH43" s="10">
        <v>650</v>
      </c>
      <c r="AI43" s="9" t="s">
        <v>76</v>
      </c>
      <c r="AJ43" s="10" t="s">
        <v>241</v>
      </c>
      <c r="AK43" s="50">
        <v>6000</v>
      </c>
      <c r="AL43" s="43">
        <f t="shared" si="10"/>
        <v>1194000000</v>
      </c>
      <c r="AM43" s="43">
        <f t="shared" si="11"/>
        <v>3900</v>
      </c>
      <c r="AN43" s="43">
        <f t="shared" si="12"/>
        <v>714012000</v>
      </c>
      <c r="AO43" s="51">
        <f t="shared" si="8"/>
        <v>0.65</v>
      </c>
      <c r="AQ43" s="3" t="s">
        <v>875</v>
      </c>
    </row>
    <row r="44" spans="1:43" x14ac:dyDescent="0.3">
      <c r="A44" s="1" t="str">
        <f t="shared" si="0"/>
        <v>DWDJ74066</v>
      </c>
      <c r="B44" s="32" t="s">
        <v>879</v>
      </c>
      <c r="C44" s="10" t="str">
        <f t="shared" si="6"/>
        <v>DJ740</v>
      </c>
      <c r="D44" s="10" t="s">
        <v>744</v>
      </c>
      <c r="E44" s="10" t="str">
        <f t="shared" si="1"/>
        <v>W</v>
      </c>
      <c r="F44" s="10" t="str">
        <f t="shared" si="2"/>
        <v>DJ</v>
      </c>
      <c r="G44" s="10" t="s">
        <v>745</v>
      </c>
      <c r="H44" s="4" t="s">
        <v>625</v>
      </c>
      <c r="J44" s="4">
        <f t="shared" si="9"/>
        <v>1</v>
      </c>
      <c r="K44" s="4">
        <v>3</v>
      </c>
      <c r="L44" s="43">
        <v>199000</v>
      </c>
      <c r="M44" s="65" t="s">
        <v>83</v>
      </c>
      <c r="N44" s="39" t="s">
        <v>626</v>
      </c>
      <c r="O44" s="10" t="s">
        <v>485</v>
      </c>
      <c r="P44" s="10">
        <v>100</v>
      </c>
      <c r="Q44" s="32" t="s">
        <v>85</v>
      </c>
      <c r="R44" s="10" t="s">
        <v>86</v>
      </c>
      <c r="S44" s="39" t="s">
        <v>87</v>
      </c>
      <c r="T44" s="10" t="s">
        <v>65</v>
      </c>
      <c r="U44" s="10"/>
      <c r="V44" s="10" t="s">
        <v>66</v>
      </c>
      <c r="W44" s="10"/>
      <c r="X44" s="9" t="s">
        <v>756</v>
      </c>
      <c r="Y44" s="10" t="s">
        <v>88</v>
      </c>
      <c r="Z44" s="32" t="s">
        <v>125</v>
      </c>
      <c r="AA44" s="32" t="s">
        <v>90</v>
      </c>
      <c r="AB44" s="9" t="s">
        <v>91</v>
      </c>
      <c r="AC44" s="10" t="s">
        <v>92</v>
      </c>
      <c r="AD44" s="131" t="s">
        <v>92</v>
      </c>
      <c r="AE44" s="65" t="s">
        <v>137</v>
      </c>
      <c r="AF44" s="39" t="s">
        <v>880</v>
      </c>
      <c r="AG44" s="10" t="s">
        <v>75</v>
      </c>
      <c r="AH44" s="10">
        <v>650</v>
      </c>
      <c r="AI44" s="9" t="s">
        <v>76</v>
      </c>
      <c r="AJ44" s="10" t="s">
        <v>241</v>
      </c>
      <c r="AK44" s="50">
        <v>6800</v>
      </c>
      <c r="AL44" s="43">
        <f t="shared" si="10"/>
        <v>1353200000</v>
      </c>
      <c r="AM44" s="43">
        <f t="shared" si="11"/>
        <v>4420</v>
      </c>
      <c r="AN44" s="43">
        <f t="shared" si="12"/>
        <v>809213600</v>
      </c>
      <c r="AO44" s="51">
        <f t="shared" si="8"/>
        <v>0.65</v>
      </c>
      <c r="AQ44" s="3" t="s">
        <v>875</v>
      </c>
    </row>
    <row r="45" spans="1:43" x14ac:dyDescent="0.3">
      <c r="A45" s="1" t="str">
        <f t="shared" si="0"/>
        <v>DMDJ790661</v>
      </c>
      <c r="B45" s="32" t="s">
        <v>881</v>
      </c>
      <c r="C45" s="10" t="str">
        <f t="shared" si="6"/>
        <v>DJ790</v>
      </c>
      <c r="D45" s="10" t="s">
        <v>744</v>
      </c>
      <c r="E45" s="10" t="str">
        <f t="shared" si="1"/>
        <v>M</v>
      </c>
      <c r="F45" s="10" t="str">
        <f t="shared" si="2"/>
        <v>DJ</v>
      </c>
      <c r="G45" s="10" t="s">
        <v>745</v>
      </c>
      <c r="H45" s="4" t="s">
        <v>628</v>
      </c>
      <c r="I45" s="10">
        <v>1</v>
      </c>
      <c r="J45" s="4">
        <f t="shared" si="9"/>
        <v>1</v>
      </c>
      <c r="K45" s="4">
        <v>4</v>
      </c>
      <c r="L45" s="43">
        <v>279000</v>
      </c>
      <c r="M45" s="65" t="s">
        <v>83</v>
      </c>
      <c r="N45" s="39" t="s">
        <v>623</v>
      </c>
      <c r="O45" s="10" t="s">
        <v>485</v>
      </c>
      <c r="P45" s="10">
        <v>100</v>
      </c>
      <c r="Q45" s="32" t="s">
        <v>85</v>
      </c>
      <c r="R45" s="10" t="s">
        <v>86</v>
      </c>
      <c r="S45" s="39" t="s">
        <v>87</v>
      </c>
      <c r="T45" s="10" t="s">
        <v>65</v>
      </c>
      <c r="U45" s="10"/>
      <c r="V45" s="10" t="s">
        <v>66</v>
      </c>
      <c r="W45" s="10"/>
      <c r="X45" s="9" t="s">
        <v>756</v>
      </c>
      <c r="Y45" s="10" t="s">
        <v>88</v>
      </c>
      <c r="Z45" s="32" t="s">
        <v>125</v>
      </c>
      <c r="AA45" s="32" t="s">
        <v>90</v>
      </c>
      <c r="AB45" s="9" t="s">
        <v>91</v>
      </c>
      <c r="AC45" s="10" t="s">
        <v>92</v>
      </c>
      <c r="AD45" s="131" t="s">
        <v>92</v>
      </c>
      <c r="AE45" s="65" t="s">
        <v>137</v>
      </c>
      <c r="AF45" s="39" t="s">
        <v>333</v>
      </c>
      <c r="AG45" s="10" t="s">
        <v>75</v>
      </c>
      <c r="AH45" s="10">
        <v>650</v>
      </c>
      <c r="AI45" s="9" t="s">
        <v>76</v>
      </c>
      <c r="AJ45" s="10" t="s">
        <v>241</v>
      </c>
      <c r="AK45" s="50">
        <v>15500</v>
      </c>
      <c r="AL45" s="43">
        <f t="shared" si="10"/>
        <v>4324500000</v>
      </c>
      <c r="AM45" s="43">
        <f t="shared" si="11"/>
        <v>10075</v>
      </c>
      <c r="AN45" s="43">
        <f t="shared" si="12"/>
        <v>2586051000</v>
      </c>
      <c r="AO45" s="51">
        <f t="shared" si="8"/>
        <v>0.65</v>
      </c>
      <c r="AQ45" s="3" t="s">
        <v>875</v>
      </c>
    </row>
    <row r="46" spans="1:43" x14ac:dyDescent="0.3">
      <c r="A46" s="1" t="str">
        <f t="shared" si="0"/>
        <v>DWDJ80066</v>
      </c>
      <c r="B46" s="32" t="s">
        <v>882</v>
      </c>
      <c r="C46" s="10" t="str">
        <f t="shared" si="6"/>
        <v>DJ800</v>
      </c>
      <c r="D46" s="10" t="s">
        <v>744</v>
      </c>
      <c r="E46" s="10" t="str">
        <f t="shared" si="1"/>
        <v>W</v>
      </c>
      <c r="F46" s="10" t="str">
        <f t="shared" si="2"/>
        <v>DJ</v>
      </c>
      <c r="G46" s="10" t="s">
        <v>745</v>
      </c>
      <c r="H46" s="4" t="s">
        <v>635</v>
      </c>
      <c r="J46" s="4">
        <f t="shared" si="9"/>
        <v>1</v>
      </c>
      <c r="K46" s="4">
        <v>3</v>
      </c>
      <c r="L46" s="43">
        <v>279000</v>
      </c>
      <c r="M46" s="65" t="s">
        <v>83</v>
      </c>
      <c r="N46" s="39" t="s">
        <v>626</v>
      </c>
      <c r="O46" s="10" t="s">
        <v>485</v>
      </c>
      <c r="P46" s="10">
        <v>100</v>
      </c>
      <c r="Q46" s="32" t="s">
        <v>85</v>
      </c>
      <c r="R46" s="10" t="s">
        <v>86</v>
      </c>
      <c r="S46" s="39" t="s">
        <v>87</v>
      </c>
      <c r="T46" s="10" t="s">
        <v>65</v>
      </c>
      <c r="U46" s="10"/>
      <c r="V46" s="10" t="s">
        <v>66</v>
      </c>
      <c r="W46" s="10"/>
      <c r="X46" s="9" t="s">
        <v>756</v>
      </c>
      <c r="Y46" s="10" t="s">
        <v>88</v>
      </c>
      <c r="Z46" s="32" t="s">
        <v>125</v>
      </c>
      <c r="AA46" s="32" t="s">
        <v>90</v>
      </c>
      <c r="AB46" s="9" t="s">
        <v>91</v>
      </c>
      <c r="AC46" s="10" t="s">
        <v>92</v>
      </c>
      <c r="AD46" s="131" t="s">
        <v>92</v>
      </c>
      <c r="AE46" s="65" t="s">
        <v>137</v>
      </c>
      <c r="AF46" s="39" t="s">
        <v>321</v>
      </c>
      <c r="AG46" s="10" t="s">
        <v>75</v>
      </c>
      <c r="AH46" s="10">
        <v>650</v>
      </c>
      <c r="AI46" s="9" t="s">
        <v>76</v>
      </c>
      <c r="AJ46" s="10" t="s">
        <v>241</v>
      </c>
      <c r="AK46" s="50">
        <v>5500</v>
      </c>
      <c r="AL46" s="43">
        <f t="shared" si="10"/>
        <v>1534500000</v>
      </c>
      <c r="AM46" s="43">
        <f t="shared" si="11"/>
        <v>3575</v>
      </c>
      <c r="AN46" s="43">
        <f t="shared" si="12"/>
        <v>917631000</v>
      </c>
      <c r="AO46" s="51">
        <f t="shared" si="8"/>
        <v>0.65</v>
      </c>
      <c r="AQ46" s="3" t="s">
        <v>875</v>
      </c>
    </row>
    <row r="47" spans="1:43" x14ac:dyDescent="0.3">
      <c r="A47" s="1" t="str">
        <f t="shared" si="0"/>
        <v>DMDJ810661</v>
      </c>
      <c r="B47" s="32" t="s">
        <v>883</v>
      </c>
      <c r="C47" s="10" t="str">
        <f t="shared" si="6"/>
        <v>DJ810</v>
      </c>
      <c r="D47" s="10" t="s">
        <v>744</v>
      </c>
      <c r="E47" s="10" t="str">
        <f t="shared" si="1"/>
        <v>M</v>
      </c>
      <c r="F47" s="10" t="str">
        <f t="shared" si="2"/>
        <v>DJ</v>
      </c>
      <c r="G47" s="10" t="s">
        <v>745</v>
      </c>
      <c r="H47" s="4" t="s">
        <v>884</v>
      </c>
      <c r="I47" s="10">
        <v>1</v>
      </c>
      <c r="J47" s="4">
        <f t="shared" si="9"/>
        <v>1</v>
      </c>
      <c r="K47" s="4">
        <v>2</v>
      </c>
      <c r="L47" s="43">
        <v>299000</v>
      </c>
      <c r="M47" s="65" t="s">
        <v>83</v>
      </c>
      <c r="N47" s="39" t="s">
        <v>623</v>
      </c>
      <c r="O47" s="10" t="s">
        <v>485</v>
      </c>
      <c r="P47" s="10">
        <v>100</v>
      </c>
      <c r="Q47" s="32" t="s">
        <v>85</v>
      </c>
      <c r="R47" s="10" t="s">
        <v>86</v>
      </c>
      <c r="S47" s="39" t="s">
        <v>87</v>
      </c>
      <c r="T47" s="10" t="s">
        <v>65</v>
      </c>
      <c r="U47" s="10"/>
      <c r="V47" s="10" t="s">
        <v>66</v>
      </c>
      <c r="W47" s="10"/>
      <c r="X47" s="9" t="s">
        <v>756</v>
      </c>
      <c r="Y47" s="10" t="s">
        <v>88</v>
      </c>
      <c r="Z47" s="32" t="s">
        <v>125</v>
      </c>
      <c r="AA47" s="32" t="s">
        <v>90</v>
      </c>
      <c r="AB47" s="9" t="s">
        <v>91</v>
      </c>
      <c r="AC47" s="10" t="s">
        <v>92</v>
      </c>
      <c r="AD47" s="131" t="s">
        <v>92</v>
      </c>
      <c r="AE47" s="65" t="s">
        <v>137</v>
      </c>
      <c r="AF47" s="39" t="s">
        <v>86</v>
      </c>
      <c r="AG47" s="10" t="s">
        <v>75</v>
      </c>
      <c r="AH47" s="10">
        <v>650</v>
      </c>
      <c r="AI47" s="9" t="s">
        <v>76</v>
      </c>
      <c r="AJ47" s="10" t="s">
        <v>241</v>
      </c>
      <c r="AK47" s="50">
        <v>4700</v>
      </c>
      <c r="AL47" s="43">
        <f t="shared" si="10"/>
        <v>1405300000</v>
      </c>
      <c r="AM47" s="43">
        <f t="shared" si="11"/>
        <v>3055</v>
      </c>
      <c r="AN47" s="43">
        <f t="shared" si="12"/>
        <v>840369400</v>
      </c>
      <c r="AO47" s="51">
        <f t="shared" si="8"/>
        <v>0.65</v>
      </c>
      <c r="AQ47" s="3" t="s">
        <v>875</v>
      </c>
    </row>
    <row r="48" spans="1:43" x14ac:dyDescent="0.3">
      <c r="A48" s="1" t="str">
        <f t="shared" si="0"/>
        <v>DWDJ82066</v>
      </c>
      <c r="B48" s="32" t="s">
        <v>885</v>
      </c>
      <c r="C48" s="10" t="str">
        <f t="shared" si="6"/>
        <v>DJ820</v>
      </c>
      <c r="D48" s="10" t="s">
        <v>744</v>
      </c>
      <c r="E48" s="10" t="str">
        <f t="shared" si="1"/>
        <v>W</v>
      </c>
      <c r="F48" s="10" t="str">
        <f t="shared" si="2"/>
        <v>DJ</v>
      </c>
      <c r="G48" s="10" t="s">
        <v>745</v>
      </c>
      <c r="H48" s="4" t="s">
        <v>886</v>
      </c>
      <c r="J48" s="4">
        <f t="shared" si="9"/>
        <v>1</v>
      </c>
      <c r="K48" s="4">
        <v>2</v>
      </c>
      <c r="L48" s="43">
        <v>299000</v>
      </c>
      <c r="M48" s="65" t="s">
        <v>83</v>
      </c>
      <c r="N48" s="39" t="s">
        <v>626</v>
      </c>
      <c r="O48" s="10" t="s">
        <v>485</v>
      </c>
      <c r="P48" s="10">
        <v>100</v>
      </c>
      <c r="Q48" s="32" t="s">
        <v>85</v>
      </c>
      <c r="R48" s="10" t="s">
        <v>86</v>
      </c>
      <c r="S48" s="39" t="s">
        <v>87</v>
      </c>
      <c r="T48" s="10" t="s">
        <v>65</v>
      </c>
      <c r="U48" s="10"/>
      <c r="V48" s="10" t="s">
        <v>66</v>
      </c>
      <c r="W48" s="10"/>
      <c r="X48" s="9" t="s">
        <v>756</v>
      </c>
      <c r="Y48" s="10" t="s">
        <v>88</v>
      </c>
      <c r="Z48" s="32" t="s">
        <v>125</v>
      </c>
      <c r="AA48" s="32" t="s">
        <v>90</v>
      </c>
      <c r="AB48" s="9" t="s">
        <v>91</v>
      </c>
      <c r="AC48" s="10" t="s">
        <v>92</v>
      </c>
      <c r="AD48" s="131" t="s">
        <v>92</v>
      </c>
      <c r="AE48" s="65" t="s">
        <v>137</v>
      </c>
      <c r="AF48" s="39" t="s">
        <v>326</v>
      </c>
      <c r="AG48" s="10" t="s">
        <v>75</v>
      </c>
      <c r="AH48" s="10">
        <v>650</v>
      </c>
      <c r="AI48" s="9" t="s">
        <v>76</v>
      </c>
      <c r="AJ48" s="10" t="s">
        <v>241</v>
      </c>
      <c r="AK48" s="50">
        <v>4000</v>
      </c>
      <c r="AL48" s="43">
        <f t="shared" si="10"/>
        <v>1196000000</v>
      </c>
      <c r="AM48" s="43">
        <f t="shared" si="11"/>
        <v>2600</v>
      </c>
      <c r="AN48" s="43">
        <f t="shared" si="12"/>
        <v>715208000</v>
      </c>
      <c r="AO48" s="51">
        <f t="shared" si="8"/>
        <v>0.65</v>
      </c>
      <c r="AQ48" s="3" t="s">
        <v>875</v>
      </c>
    </row>
    <row r="49" spans="1:43" x14ac:dyDescent="0.3">
      <c r="A49" s="1" t="str">
        <f t="shared" si="0"/>
        <v>DMDJ830661</v>
      </c>
      <c r="B49" s="32" t="s">
        <v>887</v>
      </c>
      <c r="C49" s="10" t="str">
        <f t="shared" si="6"/>
        <v>DJ830</v>
      </c>
      <c r="D49" s="10" t="s">
        <v>744</v>
      </c>
      <c r="E49" s="10" t="str">
        <f t="shared" si="1"/>
        <v>M</v>
      </c>
      <c r="F49" s="10" t="str">
        <f t="shared" si="2"/>
        <v>DJ</v>
      </c>
      <c r="G49" s="10" t="s">
        <v>745</v>
      </c>
      <c r="H49" s="4" t="s">
        <v>644</v>
      </c>
      <c r="I49" s="10">
        <v>1</v>
      </c>
      <c r="J49" s="4">
        <f t="shared" si="9"/>
        <v>1</v>
      </c>
      <c r="K49" s="4">
        <v>2</v>
      </c>
      <c r="L49" s="43">
        <v>289000</v>
      </c>
      <c r="M49" s="65" t="s">
        <v>83</v>
      </c>
      <c r="N49" s="39" t="s">
        <v>645</v>
      </c>
      <c r="O49" s="10" t="s">
        <v>485</v>
      </c>
      <c r="P49" s="10">
        <v>100</v>
      </c>
      <c r="Q49" s="32" t="s">
        <v>85</v>
      </c>
      <c r="R49" s="10" t="s">
        <v>86</v>
      </c>
      <c r="S49" s="39" t="s">
        <v>87</v>
      </c>
      <c r="T49" s="10" t="s">
        <v>65</v>
      </c>
      <c r="U49" s="10"/>
      <c r="V49" s="10" t="s">
        <v>66</v>
      </c>
      <c r="W49" s="10"/>
      <c r="X49" s="9" t="s">
        <v>756</v>
      </c>
      <c r="Y49" s="10" t="s">
        <v>88</v>
      </c>
      <c r="Z49" s="32" t="s">
        <v>125</v>
      </c>
      <c r="AA49" s="32" t="s">
        <v>90</v>
      </c>
      <c r="AB49" s="9" t="s">
        <v>91</v>
      </c>
      <c r="AC49" s="10" t="s">
        <v>92</v>
      </c>
      <c r="AD49" s="131" t="s">
        <v>92</v>
      </c>
      <c r="AE49" s="65" t="s">
        <v>73</v>
      </c>
      <c r="AF49" s="39" t="s">
        <v>93</v>
      </c>
      <c r="AG49" s="10" t="s">
        <v>75</v>
      </c>
      <c r="AH49" s="10">
        <v>650</v>
      </c>
      <c r="AI49" s="9" t="s">
        <v>76</v>
      </c>
      <c r="AJ49" s="10" t="s">
        <v>241</v>
      </c>
      <c r="AK49" s="50">
        <v>5700</v>
      </c>
      <c r="AL49" s="43">
        <f t="shared" si="10"/>
        <v>1647300000</v>
      </c>
      <c r="AM49" s="43">
        <f t="shared" si="11"/>
        <v>3705</v>
      </c>
      <c r="AN49" s="43">
        <f t="shared" si="12"/>
        <v>985085400</v>
      </c>
      <c r="AO49" s="51">
        <f t="shared" si="8"/>
        <v>0.65</v>
      </c>
      <c r="AQ49" s="3" t="s">
        <v>875</v>
      </c>
    </row>
    <row r="50" spans="1:43" x14ac:dyDescent="0.3">
      <c r="A50" s="1" t="str">
        <f t="shared" si="0"/>
        <v>DWDJ84066</v>
      </c>
      <c r="B50" s="32" t="s">
        <v>888</v>
      </c>
      <c r="C50" s="10" t="str">
        <f t="shared" si="6"/>
        <v>DJ840</v>
      </c>
      <c r="D50" s="10" t="s">
        <v>744</v>
      </c>
      <c r="E50" s="10" t="str">
        <f t="shared" si="1"/>
        <v>W</v>
      </c>
      <c r="F50" s="10" t="str">
        <f t="shared" si="2"/>
        <v>DJ</v>
      </c>
      <c r="G50" s="10" t="s">
        <v>745</v>
      </c>
      <c r="H50" s="4" t="s">
        <v>648</v>
      </c>
      <c r="J50" s="4">
        <f t="shared" si="9"/>
        <v>1</v>
      </c>
      <c r="K50" s="4">
        <v>2</v>
      </c>
      <c r="L50" s="43">
        <v>289000</v>
      </c>
      <c r="M50" s="65" t="s">
        <v>83</v>
      </c>
      <c r="N50" s="39" t="s">
        <v>649</v>
      </c>
      <c r="O50" s="10" t="s">
        <v>485</v>
      </c>
      <c r="P50" s="10">
        <v>100</v>
      </c>
      <c r="Q50" s="32" t="s">
        <v>85</v>
      </c>
      <c r="R50" s="10" t="s">
        <v>86</v>
      </c>
      <c r="S50" s="39" t="s">
        <v>87</v>
      </c>
      <c r="T50" s="10" t="s">
        <v>65</v>
      </c>
      <c r="U50" s="10"/>
      <c r="V50" s="10" t="s">
        <v>66</v>
      </c>
      <c r="W50" s="10"/>
      <c r="X50" s="9" t="s">
        <v>756</v>
      </c>
      <c r="Y50" s="10" t="s">
        <v>88</v>
      </c>
      <c r="Z50" s="32" t="s">
        <v>125</v>
      </c>
      <c r="AA50" s="32" t="s">
        <v>90</v>
      </c>
      <c r="AB50" s="9" t="s">
        <v>91</v>
      </c>
      <c r="AC50" s="10" t="s">
        <v>92</v>
      </c>
      <c r="AD50" s="131" t="s">
        <v>92</v>
      </c>
      <c r="AE50" s="65" t="s">
        <v>73</v>
      </c>
      <c r="AF50" s="39" t="s">
        <v>311</v>
      </c>
      <c r="AG50" s="10" t="s">
        <v>75</v>
      </c>
      <c r="AH50" s="10">
        <v>650</v>
      </c>
      <c r="AI50" s="9" t="s">
        <v>76</v>
      </c>
      <c r="AJ50" s="10" t="s">
        <v>94</v>
      </c>
      <c r="AK50" s="50">
        <v>6000</v>
      </c>
      <c r="AL50" s="43">
        <f t="shared" si="10"/>
        <v>1734000000</v>
      </c>
      <c r="AM50" s="43">
        <f t="shared" si="11"/>
        <v>3900</v>
      </c>
      <c r="AN50" s="43">
        <f t="shared" si="12"/>
        <v>1036932000</v>
      </c>
      <c r="AO50" s="51">
        <f t="shared" si="8"/>
        <v>0.65</v>
      </c>
      <c r="AQ50" s="3" t="s">
        <v>875</v>
      </c>
    </row>
    <row r="51" spans="1:43" x14ac:dyDescent="0.3">
      <c r="A51" s="1" t="str">
        <f t="shared" si="0"/>
        <v>DWDJ860661</v>
      </c>
      <c r="B51" s="32" t="s">
        <v>889</v>
      </c>
      <c r="C51" s="10" t="str">
        <f t="shared" si="6"/>
        <v>DJ860</v>
      </c>
      <c r="D51" s="10" t="s">
        <v>744</v>
      </c>
      <c r="E51" s="10" t="str">
        <f t="shared" si="1"/>
        <v>W</v>
      </c>
      <c r="F51" s="10" t="str">
        <f t="shared" si="2"/>
        <v>DJ</v>
      </c>
      <c r="G51" s="10" t="s">
        <v>745</v>
      </c>
      <c r="H51" s="4" t="s">
        <v>890</v>
      </c>
      <c r="I51" s="10">
        <v>1</v>
      </c>
      <c r="J51" s="4">
        <f t="shared" si="9"/>
        <v>1</v>
      </c>
      <c r="K51" s="4">
        <v>2</v>
      </c>
      <c r="L51" s="43">
        <v>279000</v>
      </c>
      <c r="M51" s="65" t="s">
        <v>83</v>
      </c>
      <c r="N51" s="39" t="s">
        <v>649</v>
      </c>
      <c r="O51" s="10" t="s">
        <v>485</v>
      </c>
      <c r="P51" s="10">
        <v>100</v>
      </c>
      <c r="Q51" s="32" t="s">
        <v>85</v>
      </c>
      <c r="R51" s="10" t="s">
        <v>86</v>
      </c>
      <c r="S51" s="39" t="s">
        <v>87</v>
      </c>
      <c r="T51" s="10" t="s">
        <v>65</v>
      </c>
      <c r="U51" s="10"/>
      <c r="V51" s="10" t="s">
        <v>66</v>
      </c>
      <c r="W51" s="10"/>
      <c r="X51" s="9" t="s">
        <v>756</v>
      </c>
      <c r="Y51" s="10" t="s">
        <v>88</v>
      </c>
      <c r="Z51" s="32" t="s">
        <v>125</v>
      </c>
      <c r="AA51" s="32" t="s">
        <v>90</v>
      </c>
      <c r="AB51" s="9" t="s">
        <v>91</v>
      </c>
      <c r="AC51" s="10" t="s">
        <v>92</v>
      </c>
      <c r="AD51" s="131" t="s">
        <v>92</v>
      </c>
      <c r="AE51" s="65" t="s">
        <v>73</v>
      </c>
      <c r="AF51" s="39" t="s">
        <v>205</v>
      </c>
      <c r="AG51" s="10" t="s">
        <v>75</v>
      </c>
      <c r="AH51" s="10">
        <v>650</v>
      </c>
      <c r="AI51" s="9" t="s">
        <v>76</v>
      </c>
      <c r="AJ51" s="10" t="s">
        <v>77</v>
      </c>
      <c r="AK51" s="50">
        <v>3500</v>
      </c>
      <c r="AL51" s="43">
        <f t="shared" si="10"/>
        <v>976500000</v>
      </c>
      <c r="AM51" s="43">
        <f t="shared" si="11"/>
        <v>2275</v>
      </c>
      <c r="AN51" s="43">
        <f t="shared" si="12"/>
        <v>583947000</v>
      </c>
      <c r="AO51" s="51">
        <f t="shared" si="8"/>
        <v>0.65</v>
      </c>
      <c r="AQ51" s="3" t="s">
        <v>748</v>
      </c>
    </row>
    <row r="52" spans="1:43" x14ac:dyDescent="0.3">
      <c r="A52" s="1" t="s">
        <v>891</v>
      </c>
      <c r="B52" s="32" t="s">
        <v>891</v>
      </c>
      <c r="C52" s="10" t="s">
        <v>892</v>
      </c>
      <c r="D52" s="10" t="s">
        <v>744</v>
      </c>
      <c r="E52" s="10" t="str">
        <f t="shared" si="1"/>
        <v>M</v>
      </c>
      <c r="F52" s="10" t="str">
        <f t="shared" si="2"/>
        <v>DJ</v>
      </c>
      <c r="G52" s="10" t="s">
        <v>745</v>
      </c>
      <c r="H52" s="4" t="s">
        <v>893</v>
      </c>
      <c r="J52" s="4">
        <v>1</v>
      </c>
      <c r="K52" s="4">
        <v>2</v>
      </c>
      <c r="L52" s="43">
        <v>289000</v>
      </c>
      <c r="M52" s="65" t="s">
        <v>894</v>
      </c>
      <c r="N52" s="39" t="s">
        <v>895</v>
      </c>
      <c r="O52" s="10" t="s">
        <v>793</v>
      </c>
      <c r="P52" s="10">
        <v>100</v>
      </c>
      <c r="Q52" s="32" t="s">
        <v>753</v>
      </c>
      <c r="R52" s="10" t="s">
        <v>239</v>
      </c>
      <c r="S52" s="39" t="s">
        <v>279</v>
      </c>
      <c r="T52" s="10" t="s">
        <v>65</v>
      </c>
      <c r="U52" s="10"/>
      <c r="V52" s="10"/>
      <c r="W52" s="10"/>
      <c r="X52" s="9" t="s">
        <v>756</v>
      </c>
      <c r="Y52" s="10" t="s">
        <v>68</v>
      </c>
      <c r="Z52" s="32" t="s">
        <v>896</v>
      </c>
      <c r="AA52" s="32" t="s">
        <v>185</v>
      </c>
      <c r="AB52" s="9" t="s">
        <v>71</v>
      </c>
      <c r="AC52" s="10" t="s">
        <v>62</v>
      </c>
      <c r="AD52" s="10" t="s">
        <v>72</v>
      </c>
      <c r="AE52" s="65" t="s">
        <v>73</v>
      </c>
      <c r="AF52" s="39" t="s">
        <v>93</v>
      </c>
      <c r="AG52" s="10" t="s">
        <v>75</v>
      </c>
      <c r="AH52" s="10">
        <v>650</v>
      </c>
      <c r="AI52" s="9" t="s">
        <v>76</v>
      </c>
      <c r="AJ52" s="10" t="s">
        <v>241</v>
      </c>
      <c r="AK52" s="50">
        <v>4300</v>
      </c>
      <c r="AL52" s="43">
        <f t="shared" si="10"/>
        <v>1242700000</v>
      </c>
      <c r="AM52" s="43">
        <f t="shared" si="11"/>
        <v>2795</v>
      </c>
      <c r="AN52" s="43">
        <f t="shared" si="12"/>
        <v>743134600</v>
      </c>
      <c r="AO52" s="51">
        <f t="shared" si="8"/>
        <v>0.65</v>
      </c>
      <c r="AQ52" s="3" t="s">
        <v>875</v>
      </c>
    </row>
    <row r="53" spans="1:43" x14ac:dyDescent="0.3">
      <c r="A53" s="1" t="s">
        <v>897</v>
      </c>
      <c r="B53" s="32" t="s">
        <v>897</v>
      </c>
      <c r="C53" s="10" t="s">
        <v>898</v>
      </c>
      <c r="D53" s="10" t="s">
        <v>744</v>
      </c>
      <c r="E53" s="10" t="str">
        <f t="shared" si="1"/>
        <v>W</v>
      </c>
      <c r="F53" s="10" t="str">
        <f t="shared" si="2"/>
        <v>DJ</v>
      </c>
      <c r="G53" s="10" t="s">
        <v>745</v>
      </c>
      <c r="H53" s="4" t="s">
        <v>899</v>
      </c>
      <c r="J53" s="4">
        <v>1</v>
      </c>
      <c r="K53" s="4">
        <v>3</v>
      </c>
      <c r="L53" s="43">
        <v>289000</v>
      </c>
      <c r="M53" s="65" t="s">
        <v>894</v>
      </c>
      <c r="N53" s="39" t="s">
        <v>895</v>
      </c>
      <c r="O53" s="10" t="s">
        <v>793</v>
      </c>
      <c r="P53" s="10">
        <v>100</v>
      </c>
      <c r="Q53" s="32" t="s">
        <v>753</v>
      </c>
      <c r="R53" s="10" t="s">
        <v>239</v>
      </c>
      <c r="S53" s="39" t="s">
        <v>279</v>
      </c>
      <c r="T53" s="10" t="s">
        <v>65</v>
      </c>
      <c r="U53" s="10"/>
      <c r="V53" s="10"/>
      <c r="W53" s="10"/>
      <c r="X53" s="9" t="s">
        <v>756</v>
      </c>
      <c r="Y53" s="10" t="s">
        <v>68</v>
      </c>
      <c r="Z53" s="32" t="s">
        <v>896</v>
      </c>
      <c r="AA53" s="32" t="s">
        <v>185</v>
      </c>
      <c r="AB53" s="9" t="s">
        <v>71</v>
      </c>
      <c r="AC53" s="10" t="s">
        <v>62</v>
      </c>
      <c r="AD53" s="10" t="s">
        <v>72</v>
      </c>
      <c r="AE53" s="65" t="s">
        <v>73</v>
      </c>
      <c r="AF53" s="39" t="s">
        <v>311</v>
      </c>
      <c r="AG53" s="10" t="s">
        <v>75</v>
      </c>
      <c r="AH53" s="10">
        <v>650</v>
      </c>
      <c r="AI53" s="9" t="s">
        <v>76</v>
      </c>
      <c r="AJ53" s="10" t="s">
        <v>94</v>
      </c>
      <c r="AK53" s="50">
        <v>4500</v>
      </c>
      <c r="AL53" s="43">
        <f t="shared" si="10"/>
        <v>1300500000</v>
      </c>
      <c r="AM53" s="43">
        <f t="shared" si="11"/>
        <v>2925</v>
      </c>
      <c r="AN53" s="43">
        <f t="shared" si="12"/>
        <v>777699000</v>
      </c>
      <c r="AO53" s="51">
        <f t="shared" si="8"/>
        <v>0.65</v>
      </c>
      <c r="AQ53" s="3" t="s">
        <v>875</v>
      </c>
    </row>
    <row r="54" spans="1:43" x14ac:dyDescent="0.3">
      <c r="A54" s="1" t="str">
        <f t="shared" ref="A54:A90" si="13">B54&amp;I54</f>
        <v>DMDJ8O0661</v>
      </c>
      <c r="B54" s="32" t="s">
        <v>900</v>
      </c>
      <c r="C54" s="10" t="str">
        <f t="shared" si="6"/>
        <v>DJ8O0</v>
      </c>
      <c r="D54" s="10" t="s">
        <v>744</v>
      </c>
      <c r="E54" s="10" t="str">
        <f t="shared" si="1"/>
        <v>M</v>
      </c>
      <c r="F54" s="10" t="str">
        <f t="shared" si="2"/>
        <v>DJ</v>
      </c>
      <c r="G54" s="10" t="s">
        <v>745</v>
      </c>
      <c r="H54" s="4" t="s">
        <v>651</v>
      </c>
      <c r="I54" s="10">
        <v>1</v>
      </c>
      <c r="J54" s="4">
        <f>IF(B54=B51,"",1)</f>
        <v>1</v>
      </c>
      <c r="K54" s="4">
        <v>4</v>
      </c>
      <c r="L54" s="43">
        <v>179000</v>
      </c>
      <c r="M54" s="65" t="s">
        <v>521</v>
      </c>
      <c r="N54" s="39" t="s">
        <v>236</v>
      </c>
      <c r="O54" s="10" t="s">
        <v>143</v>
      </c>
      <c r="P54" s="10">
        <v>100</v>
      </c>
      <c r="Q54" s="32" t="s">
        <v>62</v>
      </c>
      <c r="R54" s="10" t="s">
        <v>220</v>
      </c>
      <c r="S54" s="39" t="s">
        <v>237</v>
      </c>
      <c r="T54" s="10" t="s">
        <v>65</v>
      </c>
      <c r="U54" s="10"/>
      <c r="V54" s="10" t="s">
        <v>66</v>
      </c>
      <c r="W54" s="10"/>
      <c r="X54" s="9" t="s">
        <v>756</v>
      </c>
      <c r="Y54" s="10" t="s">
        <v>68</v>
      </c>
      <c r="Z54" s="32" t="s">
        <v>896</v>
      </c>
      <c r="AA54" s="32" t="s">
        <v>90</v>
      </c>
      <c r="AB54" s="9" t="s">
        <v>71</v>
      </c>
      <c r="AC54" s="10" t="s">
        <v>62</v>
      </c>
      <c r="AD54" s="10" t="s">
        <v>72</v>
      </c>
      <c r="AE54" s="65" t="s">
        <v>73</v>
      </c>
      <c r="AF54" s="39" t="s">
        <v>239</v>
      </c>
      <c r="AG54" s="10" t="s">
        <v>240</v>
      </c>
      <c r="AH54" s="10">
        <v>650</v>
      </c>
      <c r="AI54" s="9" t="s">
        <v>289</v>
      </c>
      <c r="AJ54" s="10" t="s">
        <v>241</v>
      </c>
      <c r="AK54" s="50">
        <v>16000</v>
      </c>
      <c r="AL54" s="43">
        <f t="shared" si="10"/>
        <v>2864000000</v>
      </c>
      <c r="AM54" s="43">
        <f t="shared" si="11"/>
        <v>10400</v>
      </c>
      <c r="AN54" s="43">
        <f t="shared" si="12"/>
        <v>1712672000</v>
      </c>
      <c r="AO54" s="51">
        <f t="shared" si="8"/>
        <v>0.65</v>
      </c>
      <c r="AQ54" s="3" t="s">
        <v>875</v>
      </c>
    </row>
    <row r="55" spans="1:43" x14ac:dyDescent="0.3">
      <c r="A55" s="1" t="str">
        <f t="shared" si="13"/>
        <v>DWDJ8P066</v>
      </c>
      <c r="B55" s="32" t="s">
        <v>901</v>
      </c>
      <c r="C55" s="10" t="str">
        <f t="shared" si="6"/>
        <v>DJ8P0</v>
      </c>
      <c r="D55" s="10" t="s">
        <v>744</v>
      </c>
      <c r="E55" s="10" t="str">
        <f t="shared" si="1"/>
        <v>W</v>
      </c>
      <c r="F55" s="10" t="str">
        <f t="shared" si="2"/>
        <v>DJ</v>
      </c>
      <c r="G55" s="10" t="s">
        <v>745</v>
      </c>
      <c r="H55" s="4" t="s">
        <v>654</v>
      </c>
      <c r="J55" s="4">
        <f t="shared" ref="J55:J78" si="14">IF(B55=B54,"",1)</f>
        <v>1</v>
      </c>
      <c r="K55" s="4">
        <v>4</v>
      </c>
      <c r="L55" s="43">
        <v>179000</v>
      </c>
      <c r="M55" s="65" t="s">
        <v>521</v>
      </c>
      <c r="N55" s="39" t="s">
        <v>236</v>
      </c>
      <c r="O55" s="10" t="s">
        <v>143</v>
      </c>
      <c r="P55" s="10">
        <v>100</v>
      </c>
      <c r="Q55" s="32" t="s">
        <v>62</v>
      </c>
      <c r="R55" s="10" t="s">
        <v>220</v>
      </c>
      <c r="S55" s="39" t="s">
        <v>237</v>
      </c>
      <c r="T55" s="10" t="s">
        <v>65</v>
      </c>
      <c r="U55" s="10"/>
      <c r="V55" s="10" t="s">
        <v>66</v>
      </c>
      <c r="W55" s="10"/>
      <c r="X55" s="9" t="s">
        <v>756</v>
      </c>
      <c r="Y55" s="10" t="s">
        <v>68</v>
      </c>
      <c r="Z55" s="32" t="s">
        <v>896</v>
      </c>
      <c r="AA55" s="32" t="s">
        <v>90</v>
      </c>
      <c r="AB55" s="9" t="s">
        <v>71</v>
      </c>
      <c r="AC55" s="10" t="s">
        <v>62</v>
      </c>
      <c r="AD55" s="10" t="s">
        <v>72</v>
      </c>
      <c r="AE55" s="65" t="s">
        <v>73</v>
      </c>
      <c r="AF55" s="39" t="s">
        <v>246</v>
      </c>
      <c r="AG55" s="10" t="s">
        <v>240</v>
      </c>
      <c r="AH55" s="10">
        <v>650</v>
      </c>
      <c r="AI55" s="9" t="s">
        <v>289</v>
      </c>
      <c r="AJ55" s="10" t="s">
        <v>94</v>
      </c>
      <c r="AK55" s="50">
        <v>18000</v>
      </c>
      <c r="AL55" s="43">
        <f t="shared" si="10"/>
        <v>3222000000</v>
      </c>
      <c r="AM55" s="43">
        <f t="shared" si="11"/>
        <v>11700</v>
      </c>
      <c r="AN55" s="43">
        <f t="shared" si="12"/>
        <v>1926756000</v>
      </c>
      <c r="AO55" s="51">
        <f t="shared" si="8"/>
        <v>0.65</v>
      </c>
      <c r="AQ55" s="3" t="s">
        <v>875</v>
      </c>
    </row>
    <row r="56" spans="1:43" x14ac:dyDescent="0.3">
      <c r="A56" s="1" t="str">
        <f t="shared" si="13"/>
        <v>DMDJ610661</v>
      </c>
      <c r="B56" s="32" t="s">
        <v>902</v>
      </c>
      <c r="C56" s="10" t="str">
        <f t="shared" si="6"/>
        <v>DJ610</v>
      </c>
      <c r="D56" s="10" t="s">
        <v>744</v>
      </c>
      <c r="E56" s="10" t="str">
        <f t="shared" ref="E56:E119" si="15">MID($B56,2,1)</f>
        <v>M</v>
      </c>
      <c r="F56" s="10" t="str">
        <f t="shared" ref="F56:F119" si="16">MID($B56,3,2)</f>
        <v>DJ</v>
      </c>
      <c r="G56" s="10" t="s">
        <v>745</v>
      </c>
      <c r="H56" s="4" t="s">
        <v>903</v>
      </c>
      <c r="I56" s="10">
        <v>1</v>
      </c>
      <c r="J56" s="4">
        <f t="shared" si="14"/>
        <v>1</v>
      </c>
      <c r="K56" s="4">
        <v>5</v>
      </c>
      <c r="L56" s="43">
        <v>379000</v>
      </c>
      <c r="M56" s="65" t="s">
        <v>194</v>
      </c>
      <c r="N56" s="39" t="s">
        <v>904</v>
      </c>
      <c r="O56" s="10" t="s">
        <v>485</v>
      </c>
      <c r="P56" s="10">
        <v>100</v>
      </c>
      <c r="Q56" s="32" t="s">
        <v>204</v>
      </c>
      <c r="R56" s="10" t="s">
        <v>256</v>
      </c>
      <c r="S56" s="39" t="s">
        <v>905</v>
      </c>
      <c r="T56" s="10" t="s">
        <v>122</v>
      </c>
      <c r="U56" s="10" t="s">
        <v>670</v>
      </c>
      <c r="V56" s="10"/>
      <c r="W56" s="10"/>
      <c r="X56" s="9" t="s">
        <v>756</v>
      </c>
      <c r="Y56" s="10" t="s">
        <v>68</v>
      </c>
      <c r="Z56" s="32" t="s">
        <v>125</v>
      </c>
      <c r="AA56" s="32" t="s">
        <v>90</v>
      </c>
      <c r="AB56" s="9" t="s">
        <v>71</v>
      </c>
      <c r="AC56" s="10" t="s">
        <v>753</v>
      </c>
      <c r="AD56" s="10" t="s">
        <v>906</v>
      </c>
      <c r="AE56" s="65" t="s">
        <v>73</v>
      </c>
      <c r="AF56" s="39" t="s">
        <v>214</v>
      </c>
      <c r="AG56" s="10" t="s">
        <v>127</v>
      </c>
      <c r="AH56" s="10">
        <v>650</v>
      </c>
      <c r="AI56" s="9" t="s">
        <v>264</v>
      </c>
      <c r="AJ56" s="10" t="s">
        <v>241</v>
      </c>
      <c r="AK56" s="50">
        <v>30000</v>
      </c>
      <c r="AL56" s="43">
        <f t="shared" si="10"/>
        <v>11370000000</v>
      </c>
      <c r="AM56" s="43">
        <f t="shared" si="11"/>
        <v>19500</v>
      </c>
      <c r="AN56" s="43">
        <f t="shared" si="12"/>
        <v>6799260000</v>
      </c>
      <c r="AO56" s="51">
        <f t="shared" si="8"/>
        <v>0.65</v>
      </c>
      <c r="AQ56" s="3" t="s">
        <v>875</v>
      </c>
    </row>
    <row r="57" spans="1:43" x14ac:dyDescent="0.3">
      <c r="A57" s="1" t="str">
        <f t="shared" si="13"/>
        <v>DMDJ61166</v>
      </c>
      <c r="B57" s="32" t="s">
        <v>907</v>
      </c>
      <c r="C57" s="10" t="str">
        <f t="shared" ref="C57:C90" si="17">MID(B57,3,5)</f>
        <v>DJ611</v>
      </c>
      <c r="D57" s="10" t="s">
        <v>744</v>
      </c>
      <c r="E57" s="10" t="str">
        <f t="shared" si="15"/>
        <v>M</v>
      </c>
      <c r="F57" s="10" t="str">
        <f t="shared" si="16"/>
        <v>DJ</v>
      </c>
      <c r="G57" s="10" t="s">
        <v>745</v>
      </c>
      <c r="H57" s="4" t="s">
        <v>908</v>
      </c>
      <c r="J57" s="4">
        <f t="shared" si="14"/>
        <v>1</v>
      </c>
      <c r="K57" s="4">
        <v>2</v>
      </c>
      <c r="L57" s="43">
        <v>379000</v>
      </c>
      <c r="M57" s="65" t="s">
        <v>894</v>
      </c>
      <c r="N57" s="39" t="s">
        <v>895</v>
      </c>
      <c r="O57" s="10" t="s">
        <v>793</v>
      </c>
      <c r="P57" s="10">
        <v>100</v>
      </c>
      <c r="Q57" s="32" t="s">
        <v>753</v>
      </c>
      <c r="R57" s="10" t="s">
        <v>239</v>
      </c>
      <c r="S57" s="39" t="s">
        <v>279</v>
      </c>
      <c r="T57" s="10" t="s">
        <v>65</v>
      </c>
      <c r="U57" s="10"/>
      <c r="V57" s="10"/>
      <c r="W57" s="10"/>
      <c r="X57" s="9" t="s">
        <v>756</v>
      </c>
      <c r="Y57" s="10" t="s">
        <v>68</v>
      </c>
      <c r="Z57" s="32" t="s">
        <v>896</v>
      </c>
      <c r="AA57" s="32" t="s">
        <v>185</v>
      </c>
      <c r="AB57" s="9" t="s">
        <v>71</v>
      </c>
      <c r="AC57" s="10" t="s">
        <v>700</v>
      </c>
      <c r="AD57" s="10" t="s">
        <v>909</v>
      </c>
      <c r="AE57" s="65" t="s">
        <v>73</v>
      </c>
      <c r="AF57" s="39" t="s">
        <v>214</v>
      </c>
      <c r="AG57" s="10" t="s">
        <v>127</v>
      </c>
      <c r="AH57" s="10">
        <v>650</v>
      </c>
      <c r="AI57" s="9" t="s">
        <v>264</v>
      </c>
      <c r="AJ57" s="10" t="s">
        <v>241</v>
      </c>
      <c r="AK57" s="50">
        <v>5500</v>
      </c>
      <c r="AL57" s="43">
        <f t="shared" si="10"/>
        <v>2084500000</v>
      </c>
      <c r="AM57" s="43">
        <f t="shared" si="11"/>
        <v>3575</v>
      </c>
      <c r="AN57" s="43">
        <f t="shared" si="12"/>
        <v>1246531000</v>
      </c>
      <c r="AO57" s="51">
        <f t="shared" si="8"/>
        <v>0.65</v>
      </c>
      <c r="AQ57" s="3" t="s">
        <v>875</v>
      </c>
    </row>
    <row r="58" spans="1:43" x14ac:dyDescent="0.3">
      <c r="A58" s="1" t="str">
        <f t="shared" si="13"/>
        <v>DWDJ62066</v>
      </c>
      <c r="B58" s="32" t="s">
        <v>910</v>
      </c>
      <c r="C58" s="10" t="str">
        <f t="shared" si="17"/>
        <v>DJ620</v>
      </c>
      <c r="D58" s="10" t="s">
        <v>744</v>
      </c>
      <c r="E58" s="10" t="str">
        <f t="shared" si="15"/>
        <v>W</v>
      </c>
      <c r="F58" s="10" t="str">
        <f t="shared" si="16"/>
        <v>DJ</v>
      </c>
      <c r="G58" s="10" t="s">
        <v>745</v>
      </c>
      <c r="H58" s="4" t="s">
        <v>911</v>
      </c>
      <c r="J58" s="4">
        <f t="shared" si="14"/>
        <v>1</v>
      </c>
      <c r="K58" s="4">
        <v>4</v>
      </c>
      <c r="L58" s="43">
        <v>379000</v>
      </c>
      <c r="M58" s="65" t="s">
        <v>194</v>
      </c>
      <c r="N58" s="39" t="s">
        <v>912</v>
      </c>
      <c r="O58" s="10" t="s">
        <v>485</v>
      </c>
      <c r="P58" s="10">
        <v>100</v>
      </c>
      <c r="Q58" s="32" t="s">
        <v>204</v>
      </c>
      <c r="R58" s="10" t="s">
        <v>256</v>
      </c>
      <c r="S58" s="39" t="s">
        <v>905</v>
      </c>
      <c r="T58" s="10" t="s">
        <v>122</v>
      </c>
      <c r="U58" s="10" t="s">
        <v>670</v>
      </c>
      <c r="V58" s="10"/>
      <c r="W58" s="10"/>
      <c r="X58" s="9" t="s">
        <v>756</v>
      </c>
      <c r="Y58" s="10" t="s">
        <v>68</v>
      </c>
      <c r="Z58" s="32" t="s">
        <v>125</v>
      </c>
      <c r="AA58" s="32" t="s">
        <v>90</v>
      </c>
      <c r="AB58" s="9" t="s">
        <v>71</v>
      </c>
      <c r="AC58" s="10" t="s">
        <v>753</v>
      </c>
      <c r="AD58" s="10" t="s">
        <v>906</v>
      </c>
      <c r="AE58" s="65" t="s">
        <v>73</v>
      </c>
      <c r="AF58" s="39" t="s">
        <v>913</v>
      </c>
      <c r="AG58" s="10" t="s">
        <v>127</v>
      </c>
      <c r="AH58" s="10">
        <v>650</v>
      </c>
      <c r="AI58" s="9" t="s">
        <v>264</v>
      </c>
      <c r="AJ58" s="10" t="s">
        <v>241</v>
      </c>
      <c r="AK58" s="50">
        <v>20000</v>
      </c>
      <c r="AL58" s="43">
        <f t="shared" si="10"/>
        <v>7580000000</v>
      </c>
      <c r="AM58" s="43">
        <f t="shared" si="11"/>
        <v>13000</v>
      </c>
      <c r="AN58" s="43">
        <f t="shared" si="12"/>
        <v>4532840000</v>
      </c>
      <c r="AO58" s="51">
        <f t="shared" si="8"/>
        <v>0.65</v>
      </c>
      <c r="AQ58" s="3" t="s">
        <v>875</v>
      </c>
    </row>
    <row r="59" spans="1:43" x14ac:dyDescent="0.3">
      <c r="A59" s="1" t="str">
        <f t="shared" si="13"/>
        <v>DWDJ62166</v>
      </c>
      <c r="B59" s="32" t="s">
        <v>914</v>
      </c>
      <c r="C59" s="10" t="str">
        <f t="shared" si="17"/>
        <v>DJ621</v>
      </c>
      <c r="D59" s="10" t="s">
        <v>744</v>
      </c>
      <c r="E59" s="10" t="str">
        <f t="shared" si="15"/>
        <v>W</v>
      </c>
      <c r="F59" s="10" t="str">
        <f t="shared" si="16"/>
        <v>DJ</v>
      </c>
      <c r="G59" s="10" t="s">
        <v>745</v>
      </c>
      <c r="H59" s="4" t="s">
        <v>915</v>
      </c>
      <c r="J59" s="4">
        <f t="shared" si="14"/>
        <v>1</v>
      </c>
      <c r="K59" s="4">
        <v>2</v>
      </c>
      <c r="L59" s="43">
        <v>379000</v>
      </c>
      <c r="M59" s="65" t="s">
        <v>894</v>
      </c>
      <c r="N59" s="39" t="s">
        <v>895</v>
      </c>
      <c r="O59" s="10" t="s">
        <v>793</v>
      </c>
      <c r="P59" s="10">
        <v>100</v>
      </c>
      <c r="Q59" s="32" t="s">
        <v>753</v>
      </c>
      <c r="R59" s="10" t="s">
        <v>239</v>
      </c>
      <c r="S59" s="39" t="s">
        <v>279</v>
      </c>
      <c r="T59" s="10" t="s">
        <v>65</v>
      </c>
      <c r="U59" s="10"/>
      <c r="V59" s="10"/>
      <c r="W59" s="10"/>
      <c r="X59" s="9" t="s">
        <v>756</v>
      </c>
      <c r="Y59" s="10" t="s">
        <v>68</v>
      </c>
      <c r="Z59" s="32" t="s">
        <v>896</v>
      </c>
      <c r="AA59" s="32" t="s">
        <v>185</v>
      </c>
      <c r="AB59" s="9" t="s">
        <v>71</v>
      </c>
      <c r="AC59" s="10" t="s">
        <v>700</v>
      </c>
      <c r="AD59" s="10" t="s">
        <v>909</v>
      </c>
      <c r="AE59" s="65" t="s">
        <v>73</v>
      </c>
      <c r="AF59" s="39" t="s">
        <v>913</v>
      </c>
      <c r="AG59" s="10" t="s">
        <v>127</v>
      </c>
      <c r="AH59" s="10">
        <v>650</v>
      </c>
      <c r="AI59" s="9" t="s">
        <v>264</v>
      </c>
      <c r="AJ59" s="10" t="s">
        <v>241</v>
      </c>
      <c r="AK59" s="50">
        <v>6000</v>
      </c>
      <c r="AL59" s="43">
        <f t="shared" si="10"/>
        <v>2274000000</v>
      </c>
      <c r="AM59" s="43">
        <f t="shared" si="11"/>
        <v>3900</v>
      </c>
      <c r="AN59" s="43">
        <f t="shared" si="12"/>
        <v>1359852000</v>
      </c>
      <c r="AO59" s="51">
        <f t="shared" si="8"/>
        <v>0.65</v>
      </c>
      <c r="AQ59" s="3" t="s">
        <v>875</v>
      </c>
    </row>
    <row r="60" spans="1:43" x14ac:dyDescent="0.3">
      <c r="A60" s="1" t="str">
        <f t="shared" si="13"/>
        <v>DMDJ63066</v>
      </c>
      <c r="B60" s="32" t="s">
        <v>916</v>
      </c>
      <c r="C60" s="10" t="str">
        <f t="shared" si="17"/>
        <v>DJ630</v>
      </c>
      <c r="D60" s="10" t="s">
        <v>744</v>
      </c>
      <c r="E60" s="10" t="str">
        <f t="shared" si="15"/>
        <v>M</v>
      </c>
      <c r="F60" s="10" t="str">
        <f t="shared" si="16"/>
        <v>DJ</v>
      </c>
      <c r="G60" s="10" t="s">
        <v>745</v>
      </c>
      <c r="H60" s="4" t="s">
        <v>665</v>
      </c>
      <c r="I60" s="56"/>
      <c r="J60" s="4">
        <f t="shared" si="14"/>
        <v>1</v>
      </c>
      <c r="K60" s="4">
        <v>4</v>
      </c>
      <c r="L60" s="43">
        <v>369000</v>
      </c>
      <c r="M60" s="65" t="s">
        <v>194</v>
      </c>
      <c r="N60" s="39" t="s">
        <v>912</v>
      </c>
      <c r="O60" s="10" t="s">
        <v>485</v>
      </c>
      <c r="P60" s="10">
        <v>100</v>
      </c>
      <c r="Q60" s="32" t="s">
        <v>204</v>
      </c>
      <c r="R60" s="10" t="s">
        <v>256</v>
      </c>
      <c r="S60" s="39" t="s">
        <v>905</v>
      </c>
      <c r="T60" s="10" t="s">
        <v>122</v>
      </c>
      <c r="U60" s="10" t="s">
        <v>670</v>
      </c>
      <c r="V60" s="10"/>
      <c r="W60" s="10"/>
      <c r="X60" s="9" t="s">
        <v>756</v>
      </c>
      <c r="Y60" s="10" t="s">
        <v>68</v>
      </c>
      <c r="Z60" s="32" t="s">
        <v>125</v>
      </c>
      <c r="AA60" s="32" t="s">
        <v>90</v>
      </c>
      <c r="AB60" s="9" t="s">
        <v>71</v>
      </c>
      <c r="AC60" s="10" t="s">
        <v>753</v>
      </c>
      <c r="AD60" s="10" t="s">
        <v>906</v>
      </c>
      <c r="AE60" s="65" t="s">
        <v>73</v>
      </c>
      <c r="AF60" s="39" t="s">
        <v>917</v>
      </c>
      <c r="AG60" s="10" t="s">
        <v>127</v>
      </c>
      <c r="AH60" s="10">
        <v>650</v>
      </c>
      <c r="AI60" s="9" t="s">
        <v>264</v>
      </c>
      <c r="AJ60" s="10" t="s">
        <v>241</v>
      </c>
      <c r="AK60" s="50">
        <v>16000</v>
      </c>
      <c r="AL60" s="43">
        <f t="shared" si="10"/>
        <v>5904000000</v>
      </c>
      <c r="AM60" s="43">
        <f t="shared" si="11"/>
        <v>10400</v>
      </c>
      <c r="AN60" s="43">
        <f t="shared" si="12"/>
        <v>3530592000</v>
      </c>
      <c r="AO60" s="51">
        <f t="shared" si="8"/>
        <v>0.65</v>
      </c>
      <c r="AQ60" s="3" t="s">
        <v>875</v>
      </c>
    </row>
    <row r="61" spans="1:43" x14ac:dyDescent="0.3">
      <c r="A61" s="1" t="str">
        <f t="shared" si="13"/>
        <v>DWDJ64066</v>
      </c>
      <c r="B61" s="32" t="s">
        <v>918</v>
      </c>
      <c r="C61" s="10" t="str">
        <f t="shared" si="17"/>
        <v>DJ640</v>
      </c>
      <c r="D61" s="10" t="s">
        <v>744</v>
      </c>
      <c r="E61" s="10" t="str">
        <f t="shared" si="15"/>
        <v>W</v>
      </c>
      <c r="F61" s="10" t="str">
        <f t="shared" si="16"/>
        <v>DJ</v>
      </c>
      <c r="G61" s="10" t="s">
        <v>745</v>
      </c>
      <c r="H61" s="4" t="s">
        <v>667</v>
      </c>
      <c r="J61" s="4">
        <f t="shared" si="14"/>
        <v>1</v>
      </c>
      <c r="K61" s="4">
        <v>3</v>
      </c>
      <c r="L61" s="43">
        <v>369000</v>
      </c>
      <c r="M61" s="65" t="s">
        <v>194</v>
      </c>
      <c r="N61" s="39" t="s">
        <v>912</v>
      </c>
      <c r="O61" s="10" t="s">
        <v>485</v>
      </c>
      <c r="P61" s="10">
        <v>100</v>
      </c>
      <c r="Q61" s="32" t="s">
        <v>204</v>
      </c>
      <c r="R61" s="10" t="s">
        <v>256</v>
      </c>
      <c r="S61" s="39" t="s">
        <v>905</v>
      </c>
      <c r="T61" s="10" t="s">
        <v>122</v>
      </c>
      <c r="U61" s="10" t="s">
        <v>670</v>
      </c>
      <c r="V61" s="10"/>
      <c r="W61" s="10"/>
      <c r="X61" s="9" t="s">
        <v>756</v>
      </c>
      <c r="Y61" s="10" t="s">
        <v>68</v>
      </c>
      <c r="Z61" s="32" t="s">
        <v>125</v>
      </c>
      <c r="AA61" s="32" t="s">
        <v>90</v>
      </c>
      <c r="AB61" s="9" t="s">
        <v>71</v>
      </c>
      <c r="AC61" s="10" t="s">
        <v>753</v>
      </c>
      <c r="AD61" s="10" t="s">
        <v>906</v>
      </c>
      <c r="AE61" s="65" t="s">
        <v>73</v>
      </c>
      <c r="AF61" s="39" t="s">
        <v>919</v>
      </c>
      <c r="AG61" s="10" t="s">
        <v>127</v>
      </c>
      <c r="AH61" s="10">
        <v>650</v>
      </c>
      <c r="AI61" s="9" t="s">
        <v>264</v>
      </c>
      <c r="AJ61" s="10" t="s">
        <v>241</v>
      </c>
      <c r="AK61" s="50">
        <v>8000</v>
      </c>
      <c r="AL61" s="43">
        <f t="shared" si="10"/>
        <v>2952000000</v>
      </c>
      <c r="AM61" s="43">
        <f t="shared" si="11"/>
        <v>5200</v>
      </c>
      <c r="AN61" s="43">
        <f t="shared" si="12"/>
        <v>1765296000</v>
      </c>
      <c r="AO61" s="51">
        <f t="shared" si="8"/>
        <v>0.65</v>
      </c>
      <c r="AQ61" s="3" t="s">
        <v>875</v>
      </c>
    </row>
    <row r="62" spans="1:43" x14ac:dyDescent="0.3">
      <c r="A62" s="1" t="str">
        <f t="shared" si="13"/>
        <v>DMDJ67066</v>
      </c>
      <c r="B62" s="32" t="s">
        <v>920</v>
      </c>
      <c r="C62" s="10" t="str">
        <f t="shared" si="17"/>
        <v>DJ670</v>
      </c>
      <c r="D62" s="10" t="s">
        <v>744</v>
      </c>
      <c r="E62" s="10" t="str">
        <f t="shared" si="15"/>
        <v>M</v>
      </c>
      <c r="F62" s="10" t="str">
        <f t="shared" si="16"/>
        <v>DJ</v>
      </c>
      <c r="G62" s="10" t="s">
        <v>745</v>
      </c>
      <c r="H62" s="4" t="s">
        <v>669</v>
      </c>
      <c r="I62" s="56"/>
      <c r="J62" s="4">
        <f t="shared" si="14"/>
        <v>1</v>
      </c>
      <c r="K62" s="4">
        <v>3</v>
      </c>
      <c r="L62" s="43">
        <v>439000</v>
      </c>
      <c r="M62" s="65" t="s">
        <v>194</v>
      </c>
      <c r="N62" s="39" t="s">
        <v>912</v>
      </c>
      <c r="O62" s="10" t="s">
        <v>485</v>
      </c>
      <c r="P62" s="10">
        <v>100</v>
      </c>
      <c r="Q62" s="32" t="s">
        <v>204</v>
      </c>
      <c r="R62" s="10" t="s">
        <v>256</v>
      </c>
      <c r="S62" s="39" t="s">
        <v>905</v>
      </c>
      <c r="T62" s="10" t="s">
        <v>122</v>
      </c>
      <c r="U62" s="10" t="s">
        <v>670</v>
      </c>
      <c r="V62" s="10"/>
      <c r="W62" s="10"/>
      <c r="X62" s="9" t="s">
        <v>756</v>
      </c>
      <c r="Y62" s="10" t="s">
        <v>68</v>
      </c>
      <c r="Z62" s="32" t="s">
        <v>125</v>
      </c>
      <c r="AA62" s="32" t="s">
        <v>90</v>
      </c>
      <c r="AB62" s="9" t="s">
        <v>71</v>
      </c>
      <c r="AC62" s="10" t="s">
        <v>753</v>
      </c>
      <c r="AD62" s="10" t="s">
        <v>906</v>
      </c>
      <c r="AE62" s="65" t="s">
        <v>73</v>
      </c>
      <c r="AF62" s="39" t="s">
        <v>921</v>
      </c>
      <c r="AG62" s="10" t="s">
        <v>127</v>
      </c>
      <c r="AH62" s="10">
        <v>650</v>
      </c>
      <c r="AI62" s="9" t="s">
        <v>107</v>
      </c>
      <c r="AJ62" s="10" t="s">
        <v>108</v>
      </c>
      <c r="AK62" s="50">
        <v>11800</v>
      </c>
      <c r="AL62" s="43">
        <f t="shared" si="10"/>
        <v>5180200000</v>
      </c>
      <c r="AM62" s="43">
        <f t="shared" si="11"/>
        <v>7670</v>
      </c>
      <c r="AN62" s="43">
        <f t="shared" si="12"/>
        <v>3097759600</v>
      </c>
      <c r="AO62" s="51">
        <f t="shared" si="8"/>
        <v>0.65</v>
      </c>
      <c r="AQ62" s="3" t="s">
        <v>875</v>
      </c>
    </row>
    <row r="63" spans="1:43" x14ac:dyDescent="0.3">
      <c r="A63" s="1" t="str">
        <f t="shared" si="13"/>
        <v>DWDJ68066</v>
      </c>
      <c r="B63" s="32" t="s">
        <v>922</v>
      </c>
      <c r="C63" s="10" t="str">
        <f t="shared" si="17"/>
        <v>DJ680</v>
      </c>
      <c r="D63" s="10" t="s">
        <v>744</v>
      </c>
      <c r="E63" s="10" t="str">
        <f t="shared" si="15"/>
        <v>W</v>
      </c>
      <c r="F63" s="10" t="str">
        <f t="shared" si="16"/>
        <v>DJ</v>
      </c>
      <c r="G63" s="10" t="s">
        <v>745</v>
      </c>
      <c r="H63" s="4" t="s">
        <v>673</v>
      </c>
      <c r="J63" s="4">
        <f t="shared" si="14"/>
        <v>1</v>
      </c>
      <c r="K63" s="4">
        <v>4</v>
      </c>
      <c r="L63" s="43">
        <v>439000</v>
      </c>
      <c r="M63" s="65" t="s">
        <v>194</v>
      </c>
      <c r="N63" s="39" t="s">
        <v>912</v>
      </c>
      <c r="O63" s="10" t="s">
        <v>485</v>
      </c>
      <c r="P63" s="10">
        <v>100</v>
      </c>
      <c r="Q63" s="32" t="s">
        <v>204</v>
      </c>
      <c r="R63" s="10" t="s">
        <v>256</v>
      </c>
      <c r="S63" s="39" t="s">
        <v>905</v>
      </c>
      <c r="T63" s="10" t="s">
        <v>122</v>
      </c>
      <c r="U63" s="10" t="s">
        <v>670</v>
      </c>
      <c r="V63" s="10"/>
      <c r="W63" s="10"/>
      <c r="X63" s="9" t="s">
        <v>756</v>
      </c>
      <c r="Y63" s="10" t="s">
        <v>68</v>
      </c>
      <c r="Z63" s="32" t="s">
        <v>125</v>
      </c>
      <c r="AA63" s="32" t="s">
        <v>90</v>
      </c>
      <c r="AB63" s="9" t="s">
        <v>71</v>
      </c>
      <c r="AC63" s="10" t="s">
        <v>753</v>
      </c>
      <c r="AD63" s="10" t="s">
        <v>906</v>
      </c>
      <c r="AE63" s="65" t="s">
        <v>73</v>
      </c>
      <c r="AF63" s="39" t="s">
        <v>659</v>
      </c>
      <c r="AG63" s="10" t="s">
        <v>127</v>
      </c>
      <c r="AH63" s="10">
        <v>650</v>
      </c>
      <c r="AI63" s="9" t="s">
        <v>107</v>
      </c>
      <c r="AJ63" s="10" t="s">
        <v>108</v>
      </c>
      <c r="AK63" s="50">
        <v>22000</v>
      </c>
      <c r="AL63" s="43">
        <f t="shared" si="10"/>
        <v>9658000000</v>
      </c>
      <c r="AM63" s="43">
        <f t="shared" si="11"/>
        <v>14300</v>
      </c>
      <c r="AN63" s="43">
        <f t="shared" si="12"/>
        <v>5775484000</v>
      </c>
      <c r="AO63" s="51">
        <f t="shared" si="8"/>
        <v>0.65</v>
      </c>
      <c r="AQ63" s="3" t="s">
        <v>875</v>
      </c>
    </row>
    <row r="64" spans="1:43" x14ac:dyDescent="0.3">
      <c r="A64" s="1" t="str">
        <f t="shared" si="13"/>
        <v>DXDJ8C0661</v>
      </c>
      <c r="B64" s="32" t="s">
        <v>923</v>
      </c>
      <c r="C64" s="10" t="str">
        <f t="shared" si="17"/>
        <v>DJ8C0</v>
      </c>
      <c r="D64" s="10" t="s">
        <v>744</v>
      </c>
      <c r="E64" s="10" t="str">
        <f t="shared" si="15"/>
        <v>X</v>
      </c>
      <c r="F64" s="10" t="str">
        <f t="shared" si="16"/>
        <v>DJ</v>
      </c>
      <c r="G64" s="10" t="s">
        <v>745</v>
      </c>
      <c r="H64" s="4" t="s">
        <v>924</v>
      </c>
      <c r="I64" s="10">
        <v>1</v>
      </c>
      <c r="J64" s="4">
        <f t="shared" si="14"/>
        <v>1</v>
      </c>
      <c r="K64" s="4">
        <v>3</v>
      </c>
      <c r="L64" s="43">
        <v>299000</v>
      </c>
      <c r="M64" s="65" t="s">
        <v>217</v>
      </c>
      <c r="N64" s="39" t="s">
        <v>925</v>
      </c>
      <c r="O64" s="10" t="s">
        <v>485</v>
      </c>
      <c r="P64" s="10">
        <v>100</v>
      </c>
      <c r="Q64" s="32" t="s">
        <v>119</v>
      </c>
      <c r="R64" s="10" t="s">
        <v>246</v>
      </c>
      <c r="S64" s="39" t="s">
        <v>331</v>
      </c>
      <c r="T64" s="10" t="s">
        <v>122</v>
      </c>
      <c r="U64" s="10" t="s">
        <v>332</v>
      </c>
      <c r="V64" s="10" t="s">
        <v>412</v>
      </c>
      <c r="W64" s="10"/>
      <c r="X64" s="9" t="s">
        <v>756</v>
      </c>
      <c r="Y64" s="10" t="s">
        <v>68</v>
      </c>
      <c r="Z64" s="32" t="s">
        <v>125</v>
      </c>
      <c r="AA64" s="32" t="s">
        <v>90</v>
      </c>
      <c r="AB64" s="9" t="s">
        <v>71</v>
      </c>
      <c r="AC64" s="10" t="s">
        <v>85</v>
      </c>
      <c r="AD64" s="10" t="s">
        <v>208</v>
      </c>
      <c r="AE64" s="65" t="s">
        <v>137</v>
      </c>
      <c r="AF64" s="39" t="s">
        <v>367</v>
      </c>
      <c r="AG64" s="10" t="s">
        <v>127</v>
      </c>
      <c r="AH64" s="10">
        <v>650</v>
      </c>
      <c r="AI64" s="9" t="s">
        <v>264</v>
      </c>
      <c r="AJ64" s="10" t="s">
        <v>241</v>
      </c>
      <c r="AK64" s="50">
        <v>13300</v>
      </c>
      <c r="AL64" s="43">
        <f t="shared" si="10"/>
        <v>3976700000</v>
      </c>
      <c r="AM64" s="43">
        <f t="shared" si="11"/>
        <v>8645</v>
      </c>
      <c r="AN64" s="43">
        <f t="shared" si="12"/>
        <v>2378066600</v>
      </c>
      <c r="AO64" s="51">
        <f t="shared" si="8"/>
        <v>0.65</v>
      </c>
      <c r="AQ64" s="3" t="s">
        <v>875</v>
      </c>
    </row>
    <row r="65" spans="1:43" x14ac:dyDescent="0.3">
      <c r="A65" s="1" t="str">
        <f t="shared" si="13"/>
        <v>DXDJ8C166</v>
      </c>
      <c r="B65" s="32" t="s">
        <v>926</v>
      </c>
      <c r="C65" s="10" t="str">
        <f t="shared" si="17"/>
        <v>DJ8C1</v>
      </c>
      <c r="D65" s="10" t="s">
        <v>744</v>
      </c>
      <c r="E65" s="10" t="str">
        <f t="shared" si="15"/>
        <v>X</v>
      </c>
      <c r="F65" s="10" t="str">
        <f t="shared" si="16"/>
        <v>DJ</v>
      </c>
      <c r="G65" s="10" t="s">
        <v>745</v>
      </c>
      <c r="H65" s="4" t="s">
        <v>927</v>
      </c>
      <c r="J65" s="4">
        <f t="shared" si="14"/>
        <v>1</v>
      </c>
      <c r="K65" s="4">
        <v>3</v>
      </c>
      <c r="L65" s="43">
        <v>299000</v>
      </c>
      <c r="M65" s="65" t="s">
        <v>217</v>
      </c>
      <c r="N65" s="39" t="s">
        <v>218</v>
      </c>
      <c r="O65" s="10" t="s">
        <v>485</v>
      </c>
      <c r="P65" s="10">
        <v>100</v>
      </c>
      <c r="Q65" s="32" t="s">
        <v>219</v>
      </c>
      <c r="R65" s="10" t="s">
        <v>220</v>
      </c>
      <c r="S65" s="39" t="s">
        <v>221</v>
      </c>
      <c r="T65" s="10" t="s">
        <v>65</v>
      </c>
      <c r="U65" s="10"/>
      <c r="V65" s="10" t="s">
        <v>520</v>
      </c>
      <c r="W65" s="10"/>
      <c r="X65" s="9" t="s">
        <v>756</v>
      </c>
      <c r="Y65" s="10" t="s">
        <v>68</v>
      </c>
      <c r="Z65" s="32" t="s">
        <v>69</v>
      </c>
      <c r="AA65" s="32" t="s">
        <v>70</v>
      </c>
      <c r="AB65" s="9" t="s">
        <v>71</v>
      </c>
      <c r="AC65" s="10" t="s">
        <v>62</v>
      </c>
      <c r="AD65" s="10" t="s">
        <v>72</v>
      </c>
      <c r="AE65" s="65" t="s">
        <v>137</v>
      </c>
      <c r="AF65" s="39" t="s">
        <v>367</v>
      </c>
      <c r="AG65" s="10" t="s">
        <v>127</v>
      </c>
      <c r="AH65" s="10">
        <v>650</v>
      </c>
      <c r="AI65" s="9" t="s">
        <v>264</v>
      </c>
      <c r="AJ65" s="10" t="s">
        <v>241</v>
      </c>
      <c r="AK65" s="50">
        <v>8300</v>
      </c>
      <c r="AL65" s="43">
        <f t="shared" si="10"/>
        <v>2481700000</v>
      </c>
      <c r="AM65" s="43">
        <f t="shared" si="11"/>
        <v>5395</v>
      </c>
      <c r="AN65" s="43">
        <f t="shared" si="12"/>
        <v>1484056600</v>
      </c>
      <c r="AO65" s="51">
        <f t="shared" si="8"/>
        <v>0.65</v>
      </c>
      <c r="AQ65" s="3" t="s">
        <v>875</v>
      </c>
    </row>
    <row r="66" spans="1:43" x14ac:dyDescent="0.3">
      <c r="A66" s="1" t="str">
        <f t="shared" si="13"/>
        <v>DWDJ8D066</v>
      </c>
      <c r="B66" s="32" t="s">
        <v>928</v>
      </c>
      <c r="C66" s="10" t="str">
        <f t="shared" si="17"/>
        <v>DJ8D0</v>
      </c>
      <c r="D66" s="10" t="s">
        <v>744</v>
      </c>
      <c r="E66" s="10" t="str">
        <f t="shared" si="15"/>
        <v>W</v>
      </c>
      <c r="F66" s="10" t="str">
        <f t="shared" si="16"/>
        <v>DJ</v>
      </c>
      <c r="G66" s="10" t="s">
        <v>745</v>
      </c>
      <c r="H66" s="4" t="s">
        <v>929</v>
      </c>
      <c r="I66" s="56"/>
      <c r="J66" s="4">
        <f t="shared" si="14"/>
        <v>1</v>
      </c>
      <c r="K66" s="4">
        <v>2</v>
      </c>
      <c r="L66" s="43">
        <v>299000</v>
      </c>
      <c r="M66" s="65" t="s">
        <v>217</v>
      </c>
      <c r="N66" s="39" t="s">
        <v>925</v>
      </c>
      <c r="O66" s="10" t="s">
        <v>485</v>
      </c>
      <c r="P66" s="10">
        <v>100</v>
      </c>
      <c r="Q66" s="32" t="s">
        <v>119</v>
      </c>
      <c r="R66" s="10" t="s">
        <v>246</v>
      </c>
      <c r="S66" s="39" t="s">
        <v>331</v>
      </c>
      <c r="T66" s="10" t="s">
        <v>122</v>
      </c>
      <c r="U66" s="10" t="s">
        <v>332</v>
      </c>
      <c r="V66" s="10" t="s">
        <v>412</v>
      </c>
      <c r="W66" s="10"/>
      <c r="X66" s="9" t="s">
        <v>756</v>
      </c>
      <c r="Y66" s="10" t="s">
        <v>68</v>
      </c>
      <c r="Z66" s="32" t="s">
        <v>125</v>
      </c>
      <c r="AA66" s="32" t="s">
        <v>90</v>
      </c>
      <c r="AB66" s="9" t="s">
        <v>71</v>
      </c>
      <c r="AC66" s="10" t="s">
        <v>85</v>
      </c>
      <c r="AD66" s="10" t="s">
        <v>208</v>
      </c>
      <c r="AE66" s="65" t="s">
        <v>137</v>
      </c>
      <c r="AF66" s="39" t="s">
        <v>106</v>
      </c>
      <c r="AG66" s="10" t="s">
        <v>127</v>
      </c>
      <c r="AH66" s="10">
        <v>650</v>
      </c>
      <c r="AI66" s="9" t="s">
        <v>128</v>
      </c>
      <c r="AJ66" s="10" t="s">
        <v>77</v>
      </c>
      <c r="AK66" s="50">
        <v>5000</v>
      </c>
      <c r="AL66" s="43">
        <f t="shared" si="10"/>
        <v>1495000000</v>
      </c>
      <c r="AM66" s="43">
        <f t="shared" si="11"/>
        <v>3250</v>
      </c>
      <c r="AN66" s="43">
        <f t="shared" si="12"/>
        <v>894010000</v>
      </c>
      <c r="AO66" s="51">
        <f t="shared" si="8"/>
        <v>0.65</v>
      </c>
      <c r="AQ66" s="3" t="s">
        <v>875</v>
      </c>
    </row>
    <row r="67" spans="1:43" x14ac:dyDescent="0.3">
      <c r="A67" s="1" t="str">
        <f t="shared" si="13"/>
        <v>DWDJ8D166</v>
      </c>
      <c r="B67" s="32" t="s">
        <v>930</v>
      </c>
      <c r="C67" s="10" t="str">
        <f t="shared" si="17"/>
        <v>DJ8D1</v>
      </c>
      <c r="D67" s="10" t="s">
        <v>744</v>
      </c>
      <c r="E67" s="10" t="str">
        <f t="shared" si="15"/>
        <v>W</v>
      </c>
      <c r="F67" s="10" t="str">
        <f t="shared" si="16"/>
        <v>DJ</v>
      </c>
      <c r="G67" s="10" t="s">
        <v>745</v>
      </c>
      <c r="H67" s="4" t="s">
        <v>931</v>
      </c>
      <c r="J67" s="4">
        <f t="shared" si="14"/>
        <v>1</v>
      </c>
      <c r="K67" s="4">
        <v>3</v>
      </c>
      <c r="L67" s="43">
        <v>299000</v>
      </c>
      <c r="M67" s="65" t="s">
        <v>217</v>
      </c>
      <c r="N67" s="39" t="s">
        <v>218</v>
      </c>
      <c r="O67" s="10" t="s">
        <v>485</v>
      </c>
      <c r="P67" s="10">
        <v>100</v>
      </c>
      <c r="Q67" s="32" t="s">
        <v>219</v>
      </c>
      <c r="R67" s="10" t="s">
        <v>220</v>
      </c>
      <c r="S67" s="39" t="s">
        <v>221</v>
      </c>
      <c r="T67" s="10" t="s">
        <v>65</v>
      </c>
      <c r="U67" s="10"/>
      <c r="V67" s="10" t="s">
        <v>520</v>
      </c>
      <c r="W67" s="10"/>
      <c r="X67" s="9" t="s">
        <v>756</v>
      </c>
      <c r="Y67" s="10" t="s">
        <v>68</v>
      </c>
      <c r="Z67" s="32" t="s">
        <v>69</v>
      </c>
      <c r="AA67" s="32" t="s">
        <v>70</v>
      </c>
      <c r="AB67" s="9" t="s">
        <v>71</v>
      </c>
      <c r="AC67" s="10" t="s">
        <v>62</v>
      </c>
      <c r="AD67" s="10" t="s">
        <v>72</v>
      </c>
      <c r="AE67" s="65" t="s">
        <v>137</v>
      </c>
      <c r="AF67" s="39" t="s">
        <v>106</v>
      </c>
      <c r="AG67" s="10" t="s">
        <v>127</v>
      </c>
      <c r="AH67" s="10">
        <v>650</v>
      </c>
      <c r="AI67" s="9" t="s">
        <v>128</v>
      </c>
      <c r="AJ67" s="10" t="s">
        <v>77</v>
      </c>
      <c r="AK67" s="50">
        <v>4500</v>
      </c>
      <c r="AL67" s="43">
        <f t="shared" si="10"/>
        <v>1345500000</v>
      </c>
      <c r="AM67" s="43">
        <f t="shared" si="11"/>
        <v>2925</v>
      </c>
      <c r="AN67" s="43">
        <f t="shared" si="12"/>
        <v>804609000</v>
      </c>
      <c r="AO67" s="51">
        <f t="shared" si="8"/>
        <v>0.65</v>
      </c>
      <c r="AQ67" s="3" t="s">
        <v>875</v>
      </c>
    </row>
    <row r="68" spans="1:43" x14ac:dyDescent="0.3">
      <c r="A68" s="1" t="str">
        <f t="shared" si="13"/>
        <v>DXDJ8i066</v>
      </c>
      <c r="B68" s="32" t="s">
        <v>932</v>
      </c>
      <c r="C68" s="10" t="str">
        <f t="shared" si="17"/>
        <v>DJ8i0</v>
      </c>
      <c r="D68" s="10" t="s">
        <v>744</v>
      </c>
      <c r="E68" s="10" t="str">
        <f t="shared" si="15"/>
        <v>X</v>
      </c>
      <c r="F68" s="10" t="str">
        <f t="shared" si="16"/>
        <v>DJ</v>
      </c>
      <c r="G68" s="10" t="s">
        <v>745</v>
      </c>
      <c r="H68" s="4" t="s">
        <v>933</v>
      </c>
      <c r="I68" s="56"/>
      <c r="J68" s="4">
        <f t="shared" si="14"/>
        <v>1</v>
      </c>
      <c r="K68" s="4">
        <v>3</v>
      </c>
      <c r="L68" s="43">
        <v>299000</v>
      </c>
      <c r="M68" s="65" t="s">
        <v>217</v>
      </c>
      <c r="N68" s="39" t="s">
        <v>218</v>
      </c>
      <c r="O68" s="10" t="s">
        <v>485</v>
      </c>
      <c r="P68" s="10">
        <v>100</v>
      </c>
      <c r="Q68" s="32" t="s">
        <v>219</v>
      </c>
      <c r="R68" s="10" t="s">
        <v>220</v>
      </c>
      <c r="S68" s="39" t="s">
        <v>221</v>
      </c>
      <c r="T68" s="10" t="s">
        <v>65</v>
      </c>
      <c r="U68" s="10"/>
      <c r="V68" s="10" t="s">
        <v>520</v>
      </c>
      <c r="W68" s="10"/>
      <c r="X68" s="9" t="s">
        <v>756</v>
      </c>
      <c r="Y68" s="10" t="s">
        <v>68</v>
      </c>
      <c r="Z68" s="32" t="s">
        <v>69</v>
      </c>
      <c r="AA68" s="32" t="s">
        <v>70</v>
      </c>
      <c r="AB68" s="9" t="s">
        <v>71</v>
      </c>
      <c r="AC68" s="10" t="s">
        <v>62</v>
      </c>
      <c r="AD68" s="10" t="s">
        <v>72</v>
      </c>
      <c r="AE68" s="65" t="s">
        <v>137</v>
      </c>
      <c r="AF68" s="39" t="s">
        <v>659</v>
      </c>
      <c r="AG68" s="10" t="s">
        <v>127</v>
      </c>
      <c r="AH68" s="10">
        <v>650</v>
      </c>
      <c r="AI68" s="9" t="s">
        <v>264</v>
      </c>
      <c r="AJ68" s="10" t="s">
        <v>241</v>
      </c>
      <c r="AK68" s="50">
        <v>6300</v>
      </c>
      <c r="AL68" s="43">
        <f t="shared" si="10"/>
        <v>1883700000</v>
      </c>
      <c r="AM68" s="43">
        <f t="shared" si="11"/>
        <v>4095</v>
      </c>
      <c r="AN68" s="43">
        <f t="shared" si="12"/>
        <v>1126452600</v>
      </c>
      <c r="AO68" s="51">
        <f t="shared" si="8"/>
        <v>0.65</v>
      </c>
      <c r="AQ68" s="3" t="s">
        <v>875</v>
      </c>
    </row>
    <row r="69" spans="1:43" x14ac:dyDescent="0.3">
      <c r="A69" s="1" t="str">
        <f t="shared" si="13"/>
        <v>DMDJ8E066</v>
      </c>
      <c r="B69" s="32" t="s">
        <v>934</v>
      </c>
      <c r="C69" s="10" t="str">
        <f t="shared" si="17"/>
        <v>DJ8E0</v>
      </c>
      <c r="D69" s="10" t="s">
        <v>744</v>
      </c>
      <c r="E69" s="10" t="str">
        <f t="shared" si="15"/>
        <v>M</v>
      </c>
      <c r="F69" s="10" t="str">
        <f t="shared" si="16"/>
        <v>DJ</v>
      </c>
      <c r="G69" s="10" t="s">
        <v>745</v>
      </c>
      <c r="H69" s="4" t="s">
        <v>401</v>
      </c>
      <c r="I69" s="56"/>
      <c r="J69" s="4">
        <f t="shared" si="14"/>
        <v>1</v>
      </c>
      <c r="K69" s="4">
        <v>1</v>
      </c>
      <c r="L69" s="43">
        <v>359000</v>
      </c>
      <c r="M69" s="65" t="s">
        <v>217</v>
      </c>
      <c r="N69" s="39" t="s">
        <v>925</v>
      </c>
      <c r="O69" s="10" t="s">
        <v>485</v>
      </c>
      <c r="P69" s="10">
        <v>100</v>
      </c>
      <c r="Q69" s="32" t="s">
        <v>119</v>
      </c>
      <c r="R69" s="10" t="s">
        <v>246</v>
      </c>
      <c r="S69" s="39" t="s">
        <v>331</v>
      </c>
      <c r="T69" s="10" t="s">
        <v>122</v>
      </c>
      <c r="U69" s="10" t="s">
        <v>332</v>
      </c>
      <c r="V69" s="10" t="s">
        <v>412</v>
      </c>
      <c r="W69" s="10"/>
      <c r="X69" s="9" t="s">
        <v>756</v>
      </c>
      <c r="Y69" s="10" t="s">
        <v>68</v>
      </c>
      <c r="Z69" s="32" t="s">
        <v>125</v>
      </c>
      <c r="AA69" s="32" t="s">
        <v>90</v>
      </c>
      <c r="AB69" s="9" t="s">
        <v>71</v>
      </c>
      <c r="AC69" s="10" t="s">
        <v>85</v>
      </c>
      <c r="AD69" s="10" t="s">
        <v>208</v>
      </c>
      <c r="AE69" s="65" t="s">
        <v>137</v>
      </c>
      <c r="AF69" s="39" t="s">
        <v>402</v>
      </c>
      <c r="AG69" s="10" t="s">
        <v>127</v>
      </c>
      <c r="AH69" s="10">
        <v>650</v>
      </c>
      <c r="AI69" s="9" t="s">
        <v>107</v>
      </c>
      <c r="AJ69" s="10" t="s">
        <v>108</v>
      </c>
      <c r="AK69" s="50">
        <v>3500</v>
      </c>
      <c r="AL69" s="43">
        <f t="shared" ref="AL69:AL90" si="18">AK69*L69</f>
        <v>1256500000</v>
      </c>
      <c r="AM69" s="43">
        <f t="shared" ref="AM69:AM90" si="19">AK69*AO69</f>
        <v>2275</v>
      </c>
      <c r="AN69" s="43">
        <f t="shared" ref="AN69:AN90" si="20">(AM69*L69)*92%</f>
        <v>751387000</v>
      </c>
      <c r="AO69" s="51">
        <f t="shared" si="8"/>
        <v>0.65</v>
      </c>
      <c r="AQ69" s="3" t="s">
        <v>875</v>
      </c>
    </row>
    <row r="70" spans="1:43" x14ac:dyDescent="0.3">
      <c r="A70" s="1" t="str">
        <f t="shared" si="13"/>
        <v>DWDJ8F066</v>
      </c>
      <c r="B70" s="32" t="s">
        <v>935</v>
      </c>
      <c r="C70" s="10" t="str">
        <f t="shared" si="17"/>
        <v>DJ8F0</v>
      </c>
      <c r="D70" s="10" t="s">
        <v>744</v>
      </c>
      <c r="E70" s="10" t="str">
        <f t="shared" si="15"/>
        <v>W</v>
      </c>
      <c r="F70" s="10" t="str">
        <f t="shared" si="16"/>
        <v>DJ</v>
      </c>
      <c r="G70" s="10" t="s">
        <v>745</v>
      </c>
      <c r="H70" s="4" t="s">
        <v>404</v>
      </c>
      <c r="J70" s="4">
        <f t="shared" si="14"/>
        <v>1</v>
      </c>
      <c r="K70" s="4">
        <v>2</v>
      </c>
      <c r="L70" s="43">
        <v>359000</v>
      </c>
      <c r="M70" s="65" t="s">
        <v>217</v>
      </c>
      <c r="N70" s="39" t="s">
        <v>925</v>
      </c>
      <c r="O70" s="10" t="s">
        <v>485</v>
      </c>
      <c r="P70" s="10">
        <v>100</v>
      </c>
      <c r="Q70" s="32" t="s">
        <v>119</v>
      </c>
      <c r="R70" s="10" t="s">
        <v>246</v>
      </c>
      <c r="S70" s="39" t="s">
        <v>331</v>
      </c>
      <c r="T70" s="10" t="s">
        <v>122</v>
      </c>
      <c r="U70" s="10" t="s">
        <v>332</v>
      </c>
      <c r="V70" s="10" t="s">
        <v>412</v>
      </c>
      <c r="W70" s="10"/>
      <c r="X70" s="9" t="s">
        <v>756</v>
      </c>
      <c r="Y70" s="10" t="s">
        <v>68</v>
      </c>
      <c r="Z70" s="32" t="s">
        <v>125</v>
      </c>
      <c r="AA70" s="32" t="s">
        <v>90</v>
      </c>
      <c r="AB70" s="9" t="s">
        <v>71</v>
      </c>
      <c r="AC70" s="10" t="s">
        <v>85</v>
      </c>
      <c r="AD70" s="10" t="s">
        <v>208</v>
      </c>
      <c r="AE70" s="65" t="s">
        <v>137</v>
      </c>
      <c r="AF70" s="39" t="s">
        <v>405</v>
      </c>
      <c r="AG70" s="10" t="s">
        <v>127</v>
      </c>
      <c r="AH70" s="10">
        <v>650</v>
      </c>
      <c r="AI70" s="9" t="s">
        <v>107</v>
      </c>
      <c r="AJ70" s="10" t="s">
        <v>108</v>
      </c>
      <c r="AK70" s="50">
        <v>7500</v>
      </c>
      <c r="AL70" s="43">
        <f t="shared" si="18"/>
        <v>2692500000</v>
      </c>
      <c r="AM70" s="43">
        <f t="shared" si="19"/>
        <v>4875</v>
      </c>
      <c r="AN70" s="43">
        <f t="shared" si="20"/>
        <v>1610115000</v>
      </c>
      <c r="AO70" s="51">
        <f t="shared" si="8"/>
        <v>0.65</v>
      </c>
      <c r="AQ70" s="3" t="s">
        <v>875</v>
      </c>
    </row>
    <row r="71" spans="1:43" x14ac:dyDescent="0.3">
      <c r="A71" s="1" t="str">
        <f t="shared" si="13"/>
        <v>DMDJ6A0661</v>
      </c>
      <c r="B71" s="32" t="s">
        <v>936</v>
      </c>
      <c r="C71" s="10" t="str">
        <f t="shared" si="17"/>
        <v>DJ6A0</v>
      </c>
      <c r="D71" s="10" t="s">
        <v>744</v>
      </c>
      <c r="E71" s="10" t="str">
        <f t="shared" si="15"/>
        <v>M</v>
      </c>
      <c r="F71" s="10" t="str">
        <f t="shared" si="16"/>
        <v>DJ</v>
      </c>
      <c r="G71" s="10" t="s">
        <v>745</v>
      </c>
      <c r="H71" s="4" t="s">
        <v>937</v>
      </c>
      <c r="I71" s="10">
        <v>1</v>
      </c>
      <c r="J71" s="4">
        <f t="shared" si="14"/>
        <v>1</v>
      </c>
      <c r="K71" s="4">
        <v>4</v>
      </c>
      <c r="L71" s="43">
        <v>399000</v>
      </c>
      <c r="M71" s="65" t="s">
        <v>509</v>
      </c>
      <c r="N71" s="39" t="s">
        <v>938</v>
      </c>
      <c r="O71" s="10" t="s">
        <v>485</v>
      </c>
      <c r="P71" s="10">
        <v>100</v>
      </c>
      <c r="Q71" s="32" t="s">
        <v>219</v>
      </c>
      <c r="R71" s="10" t="s">
        <v>545</v>
      </c>
      <c r="S71" s="39" t="s">
        <v>121</v>
      </c>
      <c r="T71" s="10" t="s">
        <v>65</v>
      </c>
      <c r="U71" s="10"/>
      <c r="V71" s="10" t="s">
        <v>66</v>
      </c>
      <c r="W71" s="10"/>
      <c r="X71" s="9" t="s">
        <v>756</v>
      </c>
      <c r="Y71" s="10" t="s">
        <v>68</v>
      </c>
      <c r="Z71" s="32" t="s">
        <v>154</v>
      </c>
      <c r="AA71" s="32" t="s">
        <v>426</v>
      </c>
      <c r="AB71" s="9" t="s">
        <v>71</v>
      </c>
      <c r="AC71" s="10" t="s">
        <v>62</v>
      </c>
      <c r="AD71" s="10" t="s">
        <v>72</v>
      </c>
      <c r="AE71" s="65" t="s">
        <v>73</v>
      </c>
      <c r="AF71" s="39" t="s">
        <v>427</v>
      </c>
      <c r="AG71" s="10" t="s">
        <v>127</v>
      </c>
      <c r="AH71" s="10">
        <v>650</v>
      </c>
      <c r="AI71" s="9" t="s">
        <v>264</v>
      </c>
      <c r="AJ71" s="10" t="s">
        <v>241</v>
      </c>
      <c r="AK71" s="50">
        <v>8100</v>
      </c>
      <c r="AL71" s="43">
        <f t="shared" si="18"/>
        <v>3231900000</v>
      </c>
      <c r="AM71" s="43">
        <f t="shared" si="19"/>
        <v>5265</v>
      </c>
      <c r="AN71" s="43">
        <f t="shared" si="20"/>
        <v>1932676200</v>
      </c>
      <c r="AO71" s="51">
        <f t="shared" si="8"/>
        <v>0.65</v>
      </c>
      <c r="AQ71" s="3" t="s">
        <v>875</v>
      </c>
    </row>
    <row r="72" spans="1:43" x14ac:dyDescent="0.3">
      <c r="A72" s="1" t="str">
        <f t="shared" si="13"/>
        <v>DMDJ6A166</v>
      </c>
      <c r="B72" s="32" t="s">
        <v>939</v>
      </c>
      <c r="C72" s="10" t="str">
        <f t="shared" si="17"/>
        <v>DJ6A1</v>
      </c>
      <c r="D72" s="10" t="s">
        <v>744</v>
      </c>
      <c r="E72" s="10" t="str">
        <f t="shared" si="15"/>
        <v>M</v>
      </c>
      <c r="F72" s="10" t="str">
        <f t="shared" si="16"/>
        <v>DJ</v>
      </c>
      <c r="G72" s="10" t="s">
        <v>745</v>
      </c>
      <c r="H72" s="4" t="s">
        <v>940</v>
      </c>
      <c r="J72" s="4">
        <f t="shared" si="14"/>
        <v>1</v>
      </c>
      <c r="K72" s="4">
        <v>2</v>
      </c>
      <c r="L72" s="43">
        <v>399000</v>
      </c>
      <c r="M72" s="65" t="s">
        <v>509</v>
      </c>
      <c r="N72" s="39" t="s">
        <v>938</v>
      </c>
      <c r="O72" s="10" t="s">
        <v>485</v>
      </c>
      <c r="P72" s="10">
        <v>100</v>
      </c>
      <c r="Q72" s="32" t="s">
        <v>219</v>
      </c>
      <c r="R72" s="10" t="s">
        <v>545</v>
      </c>
      <c r="S72" s="39" t="s">
        <v>121</v>
      </c>
      <c r="T72" s="10" t="s">
        <v>65</v>
      </c>
      <c r="U72" s="10"/>
      <c r="V72" s="10" t="s">
        <v>66</v>
      </c>
      <c r="W72" s="10"/>
      <c r="X72" s="9" t="s">
        <v>756</v>
      </c>
      <c r="Y72" s="10" t="s">
        <v>68</v>
      </c>
      <c r="Z72" s="32" t="s">
        <v>154</v>
      </c>
      <c r="AA72" s="32" t="s">
        <v>426</v>
      </c>
      <c r="AB72" s="9" t="s">
        <v>71</v>
      </c>
      <c r="AC72" s="10" t="s">
        <v>62</v>
      </c>
      <c r="AD72" s="10" t="s">
        <v>72</v>
      </c>
      <c r="AE72" s="65" t="s">
        <v>73</v>
      </c>
      <c r="AF72" s="39" t="s">
        <v>427</v>
      </c>
      <c r="AG72" s="10" t="s">
        <v>127</v>
      </c>
      <c r="AH72" s="10">
        <v>650</v>
      </c>
      <c r="AI72" s="9" t="s">
        <v>264</v>
      </c>
      <c r="AJ72" s="10" t="s">
        <v>241</v>
      </c>
      <c r="AK72" s="50">
        <v>2300</v>
      </c>
      <c r="AL72" s="43">
        <f t="shared" si="18"/>
        <v>917700000</v>
      </c>
      <c r="AM72" s="43">
        <f t="shared" si="19"/>
        <v>1495</v>
      </c>
      <c r="AN72" s="43">
        <f t="shared" si="20"/>
        <v>548784600</v>
      </c>
      <c r="AO72" s="51">
        <f t="shared" si="8"/>
        <v>0.65</v>
      </c>
      <c r="AQ72" s="3" t="s">
        <v>875</v>
      </c>
    </row>
    <row r="73" spans="1:43" x14ac:dyDescent="0.3">
      <c r="A73" s="1" t="str">
        <f t="shared" si="13"/>
        <v>DXDJ6C066</v>
      </c>
      <c r="B73" s="32" t="s">
        <v>941</v>
      </c>
      <c r="C73" s="10" t="str">
        <f t="shared" si="17"/>
        <v>DJ6C0</v>
      </c>
      <c r="D73" s="10" t="s">
        <v>744</v>
      </c>
      <c r="E73" s="10" t="str">
        <f t="shared" si="15"/>
        <v>X</v>
      </c>
      <c r="F73" s="10" t="str">
        <f t="shared" si="16"/>
        <v>DJ</v>
      </c>
      <c r="G73" s="10" t="s">
        <v>745</v>
      </c>
      <c r="H73" s="4" t="s">
        <v>942</v>
      </c>
      <c r="I73" s="56"/>
      <c r="J73" s="4">
        <f t="shared" si="14"/>
        <v>1</v>
      </c>
      <c r="K73" s="4">
        <v>2</v>
      </c>
      <c r="L73" s="43">
        <v>499000</v>
      </c>
      <c r="M73" s="65" t="s">
        <v>509</v>
      </c>
      <c r="N73" s="39" t="s">
        <v>938</v>
      </c>
      <c r="O73" s="10" t="s">
        <v>485</v>
      </c>
      <c r="P73" s="10">
        <v>100</v>
      </c>
      <c r="Q73" s="32" t="s">
        <v>219</v>
      </c>
      <c r="R73" s="10" t="s">
        <v>545</v>
      </c>
      <c r="S73" s="39" t="s">
        <v>121</v>
      </c>
      <c r="T73" s="10" t="s">
        <v>65</v>
      </c>
      <c r="U73" s="10"/>
      <c r="V73" s="10" t="s">
        <v>66</v>
      </c>
      <c r="W73" s="10"/>
      <c r="X73" s="9" t="s">
        <v>756</v>
      </c>
      <c r="Y73" s="10" t="s">
        <v>68</v>
      </c>
      <c r="Z73" s="32" t="s">
        <v>154</v>
      </c>
      <c r="AA73" s="32" t="s">
        <v>426</v>
      </c>
      <c r="AB73" s="9" t="s">
        <v>71</v>
      </c>
      <c r="AC73" s="10" t="s">
        <v>62</v>
      </c>
      <c r="AD73" s="10" t="s">
        <v>72</v>
      </c>
      <c r="AE73" s="65" t="s">
        <v>73</v>
      </c>
      <c r="AF73" s="39" t="s">
        <v>943</v>
      </c>
      <c r="AG73" s="10" t="s">
        <v>127</v>
      </c>
      <c r="AH73" s="10">
        <v>650</v>
      </c>
      <c r="AI73" s="9" t="s">
        <v>107</v>
      </c>
      <c r="AJ73" s="10" t="s">
        <v>108</v>
      </c>
      <c r="AK73" s="50">
        <v>2500</v>
      </c>
      <c r="AL73" s="43">
        <f t="shared" si="18"/>
        <v>1247500000</v>
      </c>
      <c r="AM73" s="43">
        <f t="shared" si="19"/>
        <v>1625</v>
      </c>
      <c r="AN73" s="43">
        <f t="shared" si="20"/>
        <v>746005000</v>
      </c>
      <c r="AO73" s="51">
        <f t="shared" ref="AO73:AO90" si="21">$AO$5</f>
        <v>0.65</v>
      </c>
      <c r="AQ73" s="3" t="s">
        <v>875</v>
      </c>
    </row>
    <row r="74" spans="1:43" x14ac:dyDescent="0.3">
      <c r="A74" s="1" t="str">
        <f t="shared" si="13"/>
        <v>DMDJ550661</v>
      </c>
      <c r="B74" s="32" t="s">
        <v>944</v>
      </c>
      <c r="C74" s="10" t="str">
        <f t="shared" si="17"/>
        <v>DJ550</v>
      </c>
      <c r="D74" s="10" t="s">
        <v>744</v>
      </c>
      <c r="E74" s="10" t="str">
        <f t="shared" si="15"/>
        <v>M</v>
      </c>
      <c r="F74" s="10" t="str">
        <f t="shared" si="16"/>
        <v>DJ</v>
      </c>
      <c r="G74" s="10" t="s">
        <v>745</v>
      </c>
      <c r="H74" s="4" t="s">
        <v>945</v>
      </c>
      <c r="I74" s="10">
        <v>1</v>
      </c>
      <c r="J74" s="4">
        <f t="shared" si="14"/>
        <v>1</v>
      </c>
      <c r="K74" s="4">
        <v>3</v>
      </c>
      <c r="L74" s="43">
        <v>419000</v>
      </c>
      <c r="M74" s="65" t="s">
        <v>767</v>
      </c>
      <c r="N74" s="39" t="s">
        <v>854</v>
      </c>
      <c r="O74" s="10" t="s">
        <v>855</v>
      </c>
      <c r="P74" s="113" t="s">
        <v>856</v>
      </c>
      <c r="Q74" s="32" t="s">
        <v>857</v>
      </c>
      <c r="R74" s="10" t="s">
        <v>858</v>
      </c>
      <c r="S74" s="39" t="s">
        <v>859</v>
      </c>
      <c r="T74" s="10" t="s">
        <v>860</v>
      </c>
      <c r="U74" s="10" t="s">
        <v>198</v>
      </c>
      <c r="V74" s="10"/>
      <c r="W74" s="10"/>
      <c r="X74" s="9" t="s">
        <v>756</v>
      </c>
      <c r="Y74" s="10" t="s">
        <v>861</v>
      </c>
      <c r="Z74" s="32" t="s">
        <v>125</v>
      </c>
      <c r="AA74" s="32" t="s">
        <v>90</v>
      </c>
      <c r="AB74" s="9" t="s">
        <v>71</v>
      </c>
      <c r="AC74" s="10" t="s">
        <v>62</v>
      </c>
      <c r="AD74" s="10" t="s">
        <v>72</v>
      </c>
      <c r="AE74" s="65" t="s">
        <v>73</v>
      </c>
      <c r="AF74" s="39" t="s">
        <v>199</v>
      </c>
      <c r="AG74" s="10" t="s">
        <v>127</v>
      </c>
      <c r="AH74" s="10">
        <v>650</v>
      </c>
      <c r="AI74" s="9" t="s">
        <v>264</v>
      </c>
      <c r="AJ74" s="10" t="s">
        <v>241</v>
      </c>
      <c r="AK74" s="50">
        <v>6000</v>
      </c>
      <c r="AL74" s="43">
        <f t="shared" si="18"/>
        <v>2514000000</v>
      </c>
      <c r="AM74" s="43">
        <f t="shared" si="19"/>
        <v>3900</v>
      </c>
      <c r="AN74" s="43">
        <f t="shared" si="20"/>
        <v>1503372000</v>
      </c>
      <c r="AO74" s="51">
        <f t="shared" si="21"/>
        <v>0.65</v>
      </c>
      <c r="AQ74" s="3" t="s">
        <v>829</v>
      </c>
    </row>
    <row r="75" spans="1:43" x14ac:dyDescent="0.3">
      <c r="A75" s="1" t="str">
        <f t="shared" si="13"/>
        <v>DMDJ6E0661</v>
      </c>
      <c r="B75" s="32" t="s">
        <v>946</v>
      </c>
      <c r="C75" s="10" t="str">
        <f t="shared" si="17"/>
        <v>DJ6E0</v>
      </c>
      <c r="D75" s="10" t="s">
        <v>744</v>
      </c>
      <c r="E75" s="10" t="str">
        <f t="shared" si="15"/>
        <v>M</v>
      </c>
      <c r="F75" s="10" t="str">
        <f t="shared" si="16"/>
        <v>DJ</v>
      </c>
      <c r="G75" s="10" t="s">
        <v>745</v>
      </c>
      <c r="H75" s="4" t="s">
        <v>947</v>
      </c>
      <c r="I75" s="10">
        <v>1</v>
      </c>
      <c r="J75" s="4">
        <f t="shared" si="14"/>
        <v>1</v>
      </c>
      <c r="K75" s="4">
        <v>2</v>
      </c>
      <c r="L75" s="43">
        <v>279000</v>
      </c>
      <c r="M75" s="65" t="s">
        <v>509</v>
      </c>
      <c r="N75" s="39" t="s">
        <v>938</v>
      </c>
      <c r="O75" s="10" t="s">
        <v>485</v>
      </c>
      <c r="P75" s="10">
        <v>100</v>
      </c>
      <c r="Q75" s="32" t="s">
        <v>219</v>
      </c>
      <c r="R75" s="10" t="s">
        <v>545</v>
      </c>
      <c r="S75" s="39" t="s">
        <v>121</v>
      </c>
      <c r="T75" s="10" t="s">
        <v>65</v>
      </c>
      <c r="U75" s="10"/>
      <c r="V75" s="10" t="s">
        <v>66</v>
      </c>
      <c r="W75" s="10"/>
      <c r="X75" s="9" t="s">
        <v>756</v>
      </c>
      <c r="Y75" s="10" t="s">
        <v>68</v>
      </c>
      <c r="Z75" s="32" t="s">
        <v>154</v>
      </c>
      <c r="AA75" s="32" t="s">
        <v>426</v>
      </c>
      <c r="AB75" s="9" t="s">
        <v>71</v>
      </c>
      <c r="AC75" s="10" t="s">
        <v>62</v>
      </c>
      <c r="AD75" s="10" t="s">
        <v>72</v>
      </c>
      <c r="AE75" s="65" t="s">
        <v>73</v>
      </c>
      <c r="AF75" s="39" t="s">
        <v>333</v>
      </c>
      <c r="AG75" s="10" t="s">
        <v>75</v>
      </c>
      <c r="AH75" s="10">
        <v>650</v>
      </c>
      <c r="AI75" s="9" t="s">
        <v>289</v>
      </c>
      <c r="AJ75" s="10" t="s">
        <v>241</v>
      </c>
      <c r="AK75" s="50">
        <v>4500</v>
      </c>
      <c r="AL75" s="43">
        <f t="shared" si="18"/>
        <v>1255500000</v>
      </c>
      <c r="AM75" s="43">
        <f t="shared" si="19"/>
        <v>2925</v>
      </c>
      <c r="AN75" s="43">
        <f t="shared" si="20"/>
        <v>750789000</v>
      </c>
      <c r="AO75" s="51">
        <f t="shared" si="21"/>
        <v>0.65</v>
      </c>
      <c r="AQ75" s="3" t="s">
        <v>875</v>
      </c>
    </row>
    <row r="76" spans="1:43" x14ac:dyDescent="0.3">
      <c r="A76" s="1" t="str">
        <f t="shared" si="13"/>
        <v>DMDJ6i0661</v>
      </c>
      <c r="B76" s="32" t="s">
        <v>948</v>
      </c>
      <c r="C76" s="10" t="str">
        <f t="shared" si="17"/>
        <v>DJ6i0</v>
      </c>
      <c r="D76" s="10" t="s">
        <v>744</v>
      </c>
      <c r="E76" s="10" t="str">
        <f t="shared" si="15"/>
        <v>M</v>
      </c>
      <c r="F76" s="10" t="str">
        <f t="shared" si="16"/>
        <v>DJ</v>
      </c>
      <c r="G76" s="10" t="s">
        <v>745</v>
      </c>
      <c r="H76" s="4" t="s">
        <v>949</v>
      </c>
      <c r="I76" s="10">
        <v>1</v>
      </c>
      <c r="J76" s="4">
        <f t="shared" si="14"/>
        <v>1</v>
      </c>
      <c r="K76" s="4">
        <v>2</v>
      </c>
      <c r="L76" s="43">
        <v>299000</v>
      </c>
      <c r="M76" s="65" t="s">
        <v>950</v>
      </c>
      <c r="N76" s="39" t="s">
        <v>951</v>
      </c>
      <c r="O76" s="98" t="s">
        <v>485</v>
      </c>
      <c r="P76" s="98">
        <v>100</v>
      </c>
      <c r="Q76" s="32" t="s">
        <v>204</v>
      </c>
      <c r="R76" s="98" t="s">
        <v>671</v>
      </c>
      <c r="S76" s="39" t="s">
        <v>799</v>
      </c>
      <c r="T76" s="10" t="s">
        <v>65</v>
      </c>
      <c r="U76" s="10"/>
      <c r="V76" s="10"/>
      <c r="W76" s="10"/>
      <c r="X76" s="9" t="s">
        <v>800</v>
      </c>
      <c r="Y76" s="10" t="s">
        <v>809</v>
      </c>
      <c r="Z76" s="32" t="s">
        <v>802</v>
      </c>
      <c r="AA76" s="32" t="s">
        <v>353</v>
      </c>
      <c r="AB76" s="9" t="s">
        <v>71</v>
      </c>
      <c r="AC76" s="10" t="s">
        <v>62</v>
      </c>
      <c r="AD76" s="10" t="s">
        <v>72</v>
      </c>
      <c r="AE76" s="65" t="s">
        <v>137</v>
      </c>
      <c r="AF76" s="39" t="s">
        <v>333</v>
      </c>
      <c r="AG76" s="10" t="s">
        <v>127</v>
      </c>
      <c r="AH76" s="10">
        <v>650</v>
      </c>
      <c r="AI76" s="9" t="s">
        <v>264</v>
      </c>
      <c r="AJ76" s="10" t="s">
        <v>241</v>
      </c>
      <c r="AK76" s="50">
        <v>4500</v>
      </c>
      <c r="AL76" s="43">
        <f t="shared" si="18"/>
        <v>1345500000</v>
      </c>
      <c r="AM76" s="43">
        <f t="shared" si="19"/>
        <v>2925</v>
      </c>
      <c r="AN76" s="43">
        <f t="shared" si="20"/>
        <v>804609000</v>
      </c>
      <c r="AO76" s="51">
        <f t="shared" si="21"/>
        <v>0.65</v>
      </c>
      <c r="AQ76" s="3" t="s">
        <v>875</v>
      </c>
    </row>
    <row r="77" spans="1:43" x14ac:dyDescent="0.3">
      <c r="A77" s="1" t="str">
        <f t="shared" si="13"/>
        <v>DMDJ6K0661</v>
      </c>
      <c r="B77" s="32" t="s">
        <v>952</v>
      </c>
      <c r="C77" s="10" t="str">
        <f t="shared" si="17"/>
        <v>DJ6K0</v>
      </c>
      <c r="D77" s="10" t="s">
        <v>744</v>
      </c>
      <c r="E77" s="10" t="str">
        <f t="shared" si="15"/>
        <v>M</v>
      </c>
      <c r="F77" s="10" t="str">
        <f t="shared" si="16"/>
        <v>DJ</v>
      </c>
      <c r="G77" s="10" t="s">
        <v>745</v>
      </c>
      <c r="H77" s="4" t="s">
        <v>953</v>
      </c>
      <c r="I77" s="10">
        <v>1</v>
      </c>
      <c r="J77" s="4">
        <f t="shared" si="14"/>
        <v>1</v>
      </c>
      <c r="K77" s="4">
        <v>2</v>
      </c>
      <c r="L77" s="43">
        <v>399000</v>
      </c>
      <c r="M77" s="65" t="s">
        <v>533</v>
      </c>
      <c r="N77" s="39" t="s">
        <v>954</v>
      </c>
      <c r="O77" s="98" t="s">
        <v>485</v>
      </c>
      <c r="P77" s="98">
        <v>100</v>
      </c>
      <c r="Q77" s="32" t="s">
        <v>204</v>
      </c>
      <c r="R77" s="98" t="s">
        <v>955</v>
      </c>
      <c r="S77" s="39" t="s">
        <v>799</v>
      </c>
      <c r="T77" s="10" t="s">
        <v>65</v>
      </c>
      <c r="U77" s="10"/>
      <c r="V77" s="10"/>
      <c r="W77" s="10"/>
      <c r="X77" s="9" t="s">
        <v>800</v>
      </c>
      <c r="Y77" s="10" t="s">
        <v>801</v>
      </c>
      <c r="Z77" s="32" t="s">
        <v>802</v>
      </c>
      <c r="AA77" s="32" t="s">
        <v>353</v>
      </c>
      <c r="AB77" s="9" t="s">
        <v>71</v>
      </c>
      <c r="AC77" s="10" t="s">
        <v>62</v>
      </c>
      <c r="AD77" s="10" t="s">
        <v>72</v>
      </c>
      <c r="AE77" s="65" t="s">
        <v>73</v>
      </c>
      <c r="AF77" s="39" t="s">
        <v>199</v>
      </c>
      <c r="AG77" s="10" t="s">
        <v>127</v>
      </c>
      <c r="AH77" s="10">
        <v>650</v>
      </c>
      <c r="AI77" s="9" t="s">
        <v>264</v>
      </c>
      <c r="AJ77" s="10" t="s">
        <v>241</v>
      </c>
      <c r="AK77" s="50">
        <v>5000</v>
      </c>
      <c r="AL77" s="43">
        <f t="shared" si="18"/>
        <v>1995000000</v>
      </c>
      <c r="AM77" s="43">
        <f t="shared" si="19"/>
        <v>3250</v>
      </c>
      <c r="AN77" s="43">
        <f t="shared" si="20"/>
        <v>1193010000</v>
      </c>
      <c r="AO77" s="51">
        <f t="shared" si="21"/>
        <v>0.65</v>
      </c>
      <c r="AQ77" s="3" t="s">
        <v>875</v>
      </c>
    </row>
    <row r="78" spans="1:43" x14ac:dyDescent="0.3">
      <c r="A78" s="1" t="str">
        <f t="shared" si="13"/>
        <v>DMDJ6M0661</v>
      </c>
      <c r="B78" s="32" t="s">
        <v>956</v>
      </c>
      <c r="C78" s="10" t="str">
        <f t="shared" si="17"/>
        <v>DJ6M0</v>
      </c>
      <c r="D78" s="10" t="s">
        <v>744</v>
      </c>
      <c r="E78" s="10" t="str">
        <f t="shared" si="15"/>
        <v>M</v>
      </c>
      <c r="F78" s="10" t="str">
        <f t="shared" si="16"/>
        <v>DJ</v>
      </c>
      <c r="G78" s="10" t="s">
        <v>745</v>
      </c>
      <c r="H78" s="4" t="s">
        <v>957</v>
      </c>
      <c r="I78" s="10">
        <v>1</v>
      </c>
      <c r="J78" s="4">
        <f t="shared" si="14"/>
        <v>1</v>
      </c>
      <c r="K78" s="4">
        <v>3</v>
      </c>
      <c r="L78" s="43">
        <v>349000</v>
      </c>
      <c r="M78" s="65"/>
      <c r="N78" s="39"/>
      <c r="O78" s="10" t="s">
        <v>143</v>
      </c>
      <c r="P78" s="10">
        <v>100</v>
      </c>
      <c r="Q78" s="71" t="s">
        <v>786</v>
      </c>
      <c r="R78" s="10" t="s">
        <v>787</v>
      </c>
      <c r="S78" s="39" t="s">
        <v>788</v>
      </c>
      <c r="T78" s="10" t="s">
        <v>182</v>
      </c>
      <c r="U78" s="10"/>
      <c r="V78" s="10" t="s">
        <v>66</v>
      </c>
      <c r="W78" s="10"/>
      <c r="X78" s="9" t="s">
        <v>756</v>
      </c>
      <c r="Y78" s="10" t="s">
        <v>789</v>
      </c>
      <c r="Z78" s="32" t="s">
        <v>89</v>
      </c>
      <c r="AA78" s="32" t="s">
        <v>353</v>
      </c>
      <c r="AB78" s="9" t="s">
        <v>342</v>
      </c>
      <c r="AC78" s="10" t="s">
        <v>92</v>
      </c>
      <c r="AD78" s="131" t="s">
        <v>92</v>
      </c>
      <c r="AE78" s="65" t="s">
        <v>836</v>
      </c>
      <c r="AF78" s="39" t="s">
        <v>958</v>
      </c>
      <c r="AG78" s="10" t="s">
        <v>127</v>
      </c>
      <c r="AH78" s="10">
        <v>650</v>
      </c>
      <c r="AI78" s="9" t="s">
        <v>264</v>
      </c>
      <c r="AJ78" s="10" t="s">
        <v>241</v>
      </c>
      <c r="AK78" s="50">
        <v>6500</v>
      </c>
      <c r="AL78" s="43">
        <f t="shared" si="18"/>
        <v>2268500000</v>
      </c>
      <c r="AM78" s="43">
        <f t="shared" si="19"/>
        <v>4225</v>
      </c>
      <c r="AN78" s="43">
        <f t="shared" si="20"/>
        <v>1356563000</v>
      </c>
      <c r="AO78" s="51">
        <f t="shared" si="21"/>
        <v>0.65</v>
      </c>
      <c r="AQ78" s="3" t="s">
        <v>875</v>
      </c>
    </row>
    <row r="79" spans="1:43" x14ac:dyDescent="0.3">
      <c r="A79" s="1" t="str">
        <f t="shared" si="13"/>
        <v>DMDJ6M166</v>
      </c>
      <c r="B79" s="32" t="s">
        <v>959</v>
      </c>
      <c r="C79" s="10" t="str">
        <f>MID(B79,3,5)</f>
        <v>DJ6M1</v>
      </c>
      <c r="D79" s="10" t="s">
        <v>744</v>
      </c>
      <c r="E79" s="10" t="str">
        <f t="shared" si="15"/>
        <v>M</v>
      </c>
      <c r="F79" s="10" t="str">
        <f t="shared" si="16"/>
        <v>DJ</v>
      </c>
      <c r="G79" s="10" t="s">
        <v>745</v>
      </c>
      <c r="H79" s="4" t="s">
        <v>960</v>
      </c>
      <c r="J79" s="4">
        <f>IF(B79=B78,"",1)</f>
        <v>1</v>
      </c>
      <c r="K79" s="4">
        <v>3</v>
      </c>
      <c r="L79" s="43">
        <v>349000</v>
      </c>
      <c r="M79" s="65"/>
      <c r="N79" s="39"/>
      <c r="O79" s="10" t="s">
        <v>485</v>
      </c>
      <c r="P79" s="10">
        <v>100</v>
      </c>
      <c r="Q79" s="71" t="s">
        <v>786</v>
      </c>
      <c r="R79" s="10" t="s">
        <v>787</v>
      </c>
      <c r="S79" s="39" t="s">
        <v>788</v>
      </c>
      <c r="T79" s="10" t="s">
        <v>182</v>
      </c>
      <c r="U79" s="10"/>
      <c r="V79" s="10" t="s">
        <v>66</v>
      </c>
      <c r="W79" s="10"/>
      <c r="X79" s="9" t="s">
        <v>756</v>
      </c>
      <c r="Y79" s="10" t="s">
        <v>68</v>
      </c>
      <c r="Z79" s="32" t="s">
        <v>154</v>
      </c>
      <c r="AA79" s="32" t="s">
        <v>185</v>
      </c>
      <c r="AB79" s="9" t="s">
        <v>342</v>
      </c>
      <c r="AC79" s="10" t="s">
        <v>92</v>
      </c>
      <c r="AD79" s="131" t="s">
        <v>92</v>
      </c>
      <c r="AE79" s="65" t="s">
        <v>836</v>
      </c>
      <c r="AF79" s="39" t="s">
        <v>958</v>
      </c>
      <c r="AG79" s="10" t="s">
        <v>127</v>
      </c>
      <c r="AH79" s="10">
        <v>650</v>
      </c>
      <c r="AI79" s="9" t="s">
        <v>264</v>
      </c>
      <c r="AJ79" s="10" t="s">
        <v>241</v>
      </c>
      <c r="AK79" s="50">
        <v>6500</v>
      </c>
      <c r="AL79" s="43">
        <f t="shared" si="18"/>
        <v>2268500000</v>
      </c>
      <c r="AM79" s="43">
        <f t="shared" si="19"/>
        <v>4225</v>
      </c>
      <c r="AN79" s="43">
        <f t="shared" si="20"/>
        <v>1356563000</v>
      </c>
      <c r="AO79" s="51">
        <f t="shared" si="21"/>
        <v>0.65</v>
      </c>
      <c r="AQ79" s="3" t="s">
        <v>875</v>
      </c>
    </row>
    <row r="80" spans="1:43" x14ac:dyDescent="0.3">
      <c r="A80" s="1" t="str">
        <f t="shared" si="13"/>
        <v>DMDV710661</v>
      </c>
      <c r="B80" s="32" t="s">
        <v>961</v>
      </c>
      <c r="C80" s="10" t="str">
        <f t="shared" si="17"/>
        <v>DV710</v>
      </c>
      <c r="D80" s="10" t="s">
        <v>744</v>
      </c>
      <c r="E80" s="10" t="str">
        <f t="shared" si="15"/>
        <v>M</v>
      </c>
      <c r="F80" s="10" t="str">
        <f t="shared" si="16"/>
        <v>DV</v>
      </c>
      <c r="G80" s="10" t="s">
        <v>745</v>
      </c>
      <c r="H80" s="4" t="s">
        <v>719</v>
      </c>
      <c r="I80" s="10">
        <v>1</v>
      </c>
      <c r="J80" s="4">
        <f>IF(B80=B78,"",1)</f>
        <v>1</v>
      </c>
      <c r="K80" s="4">
        <v>2</v>
      </c>
      <c r="L80" s="43">
        <v>129000</v>
      </c>
      <c r="M80" s="65" t="s">
        <v>83</v>
      </c>
      <c r="N80" s="39" t="s">
        <v>617</v>
      </c>
      <c r="O80" s="10" t="s">
        <v>485</v>
      </c>
      <c r="P80" s="10">
        <v>100</v>
      </c>
      <c r="Q80" s="32" t="s">
        <v>85</v>
      </c>
      <c r="R80" s="10" t="s">
        <v>86</v>
      </c>
      <c r="S80" s="39" t="s">
        <v>87</v>
      </c>
      <c r="T80" s="10" t="s">
        <v>65</v>
      </c>
      <c r="U80" s="10"/>
      <c r="V80" s="10" t="s">
        <v>66</v>
      </c>
      <c r="W80" s="10"/>
      <c r="X80" s="9" t="s">
        <v>756</v>
      </c>
      <c r="Y80" s="10" t="s">
        <v>88</v>
      </c>
      <c r="Z80" s="32" t="s">
        <v>125</v>
      </c>
      <c r="AA80" s="32" t="s">
        <v>90</v>
      </c>
      <c r="AB80" s="9" t="s">
        <v>91</v>
      </c>
      <c r="AC80" s="10" t="s">
        <v>92</v>
      </c>
      <c r="AD80" s="131" t="s">
        <v>92</v>
      </c>
      <c r="AE80" s="65" t="s">
        <v>137</v>
      </c>
      <c r="AF80" s="39" t="s">
        <v>720</v>
      </c>
      <c r="AG80" s="10" t="s">
        <v>240</v>
      </c>
      <c r="AH80" s="10">
        <v>650</v>
      </c>
      <c r="AI80" s="9" t="s">
        <v>450</v>
      </c>
      <c r="AJ80" s="10" t="s">
        <v>241</v>
      </c>
      <c r="AK80" s="50">
        <v>8000</v>
      </c>
      <c r="AL80" s="43">
        <f t="shared" si="18"/>
        <v>1032000000</v>
      </c>
      <c r="AM80" s="43">
        <f t="shared" si="19"/>
        <v>5200</v>
      </c>
      <c r="AN80" s="43">
        <f t="shared" si="20"/>
        <v>617136000</v>
      </c>
      <c r="AO80" s="51">
        <f t="shared" si="21"/>
        <v>0.65</v>
      </c>
      <c r="AQ80" s="3" t="s">
        <v>962</v>
      </c>
    </row>
    <row r="81" spans="1:45" x14ac:dyDescent="0.3">
      <c r="A81" s="1" t="str">
        <f t="shared" si="13"/>
        <v>DWDV72066</v>
      </c>
      <c r="B81" s="32" t="s">
        <v>963</v>
      </c>
      <c r="C81" s="10" t="str">
        <f t="shared" si="17"/>
        <v>DV720</v>
      </c>
      <c r="D81" s="10" t="s">
        <v>744</v>
      </c>
      <c r="E81" s="10" t="str">
        <f t="shared" si="15"/>
        <v>W</v>
      </c>
      <c r="F81" s="10" t="str">
        <f t="shared" si="16"/>
        <v>DV</v>
      </c>
      <c r="G81" s="10" t="s">
        <v>745</v>
      </c>
      <c r="H81" s="4" t="s">
        <v>722</v>
      </c>
      <c r="J81" s="4">
        <f t="shared" ref="J81:J90" si="22">IF(B81=B80,"",1)</f>
        <v>1</v>
      </c>
      <c r="K81" s="4">
        <v>2</v>
      </c>
      <c r="L81" s="43">
        <v>129000</v>
      </c>
      <c r="M81" s="65" t="s">
        <v>83</v>
      </c>
      <c r="N81" s="39" t="s">
        <v>617</v>
      </c>
      <c r="O81" s="10" t="s">
        <v>485</v>
      </c>
      <c r="P81" s="10">
        <v>100</v>
      </c>
      <c r="Q81" s="32" t="s">
        <v>85</v>
      </c>
      <c r="R81" s="10" t="s">
        <v>86</v>
      </c>
      <c r="S81" s="39" t="s">
        <v>87</v>
      </c>
      <c r="T81" s="10" t="s">
        <v>65</v>
      </c>
      <c r="U81" s="10"/>
      <c r="V81" s="10" t="s">
        <v>66</v>
      </c>
      <c r="W81" s="10"/>
      <c r="X81" s="9" t="s">
        <v>756</v>
      </c>
      <c r="Y81" s="10" t="s">
        <v>88</v>
      </c>
      <c r="Z81" s="32" t="s">
        <v>125</v>
      </c>
      <c r="AA81" s="32" t="s">
        <v>90</v>
      </c>
      <c r="AB81" s="9" t="s">
        <v>91</v>
      </c>
      <c r="AC81" s="10" t="s">
        <v>92</v>
      </c>
      <c r="AD81" s="131" t="s">
        <v>92</v>
      </c>
      <c r="AE81" s="65" t="s">
        <v>137</v>
      </c>
      <c r="AF81" s="39" t="s">
        <v>723</v>
      </c>
      <c r="AG81" s="10" t="s">
        <v>240</v>
      </c>
      <c r="AH81" s="10">
        <v>650</v>
      </c>
      <c r="AI81" s="9" t="s">
        <v>450</v>
      </c>
      <c r="AJ81" s="10" t="s">
        <v>241</v>
      </c>
      <c r="AK81" s="50">
        <v>5000</v>
      </c>
      <c r="AL81" s="43">
        <f t="shared" si="18"/>
        <v>645000000</v>
      </c>
      <c r="AM81" s="43">
        <f t="shared" si="19"/>
        <v>3250</v>
      </c>
      <c r="AN81" s="43">
        <f t="shared" si="20"/>
        <v>385710000</v>
      </c>
      <c r="AO81" s="51">
        <f t="shared" si="21"/>
        <v>0.65</v>
      </c>
      <c r="AQ81" s="3" t="s">
        <v>962</v>
      </c>
    </row>
    <row r="82" spans="1:45" x14ac:dyDescent="0.3">
      <c r="A82" s="1" t="str">
        <f t="shared" si="13"/>
        <v>DMDV730661</v>
      </c>
      <c r="B82" s="32" t="s">
        <v>964</v>
      </c>
      <c r="C82" s="10" t="str">
        <f t="shared" si="17"/>
        <v>DV730</v>
      </c>
      <c r="D82" s="10" t="s">
        <v>744</v>
      </c>
      <c r="E82" s="10" t="str">
        <f t="shared" si="15"/>
        <v>M</v>
      </c>
      <c r="F82" s="10" t="str">
        <f t="shared" si="16"/>
        <v>DV</v>
      </c>
      <c r="G82" s="10" t="s">
        <v>745</v>
      </c>
      <c r="H82" s="4" t="s">
        <v>725</v>
      </c>
      <c r="I82" s="10">
        <v>1</v>
      </c>
      <c r="J82" s="4">
        <f t="shared" si="22"/>
        <v>1</v>
      </c>
      <c r="K82" s="4">
        <v>2</v>
      </c>
      <c r="L82" s="43">
        <v>149000</v>
      </c>
      <c r="M82" s="65" t="s">
        <v>83</v>
      </c>
      <c r="N82" s="39" t="s">
        <v>626</v>
      </c>
      <c r="O82" s="10" t="s">
        <v>485</v>
      </c>
      <c r="P82" s="10">
        <v>100</v>
      </c>
      <c r="Q82" s="32" t="s">
        <v>85</v>
      </c>
      <c r="R82" s="10" t="s">
        <v>86</v>
      </c>
      <c r="S82" s="39" t="s">
        <v>87</v>
      </c>
      <c r="T82" s="10" t="s">
        <v>65</v>
      </c>
      <c r="U82" s="10"/>
      <c r="V82" s="10" t="s">
        <v>66</v>
      </c>
      <c r="W82" s="10"/>
      <c r="X82" s="9" t="s">
        <v>756</v>
      </c>
      <c r="Y82" s="10" t="s">
        <v>88</v>
      </c>
      <c r="Z82" s="32" t="s">
        <v>125</v>
      </c>
      <c r="AA82" s="32" t="s">
        <v>90</v>
      </c>
      <c r="AB82" s="9" t="s">
        <v>91</v>
      </c>
      <c r="AC82" s="10" t="s">
        <v>92</v>
      </c>
      <c r="AD82" s="131" t="s">
        <v>92</v>
      </c>
      <c r="AE82" s="65" t="s">
        <v>137</v>
      </c>
      <c r="AF82" s="39" t="s">
        <v>535</v>
      </c>
      <c r="AG82" s="10" t="s">
        <v>75</v>
      </c>
      <c r="AH82" s="10">
        <v>650</v>
      </c>
      <c r="AI82" s="9" t="s">
        <v>450</v>
      </c>
      <c r="AJ82" s="10" t="s">
        <v>241</v>
      </c>
      <c r="AK82" s="50">
        <v>7200</v>
      </c>
      <c r="AL82" s="43">
        <f t="shared" si="18"/>
        <v>1072800000</v>
      </c>
      <c r="AM82" s="43">
        <f t="shared" si="19"/>
        <v>4680</v>
      </c>
      <c r="AN82" s="43">
        <f t="shared" si="20"/>
        <v>641534400</v>
      </c>
      <c r="AO82" s="51">
        <f t="shared" si="21"/>
        <v>0.65</v>
      </c>
      <c r="AQ82" s="3" t="s">
        <v>962</v>
      </c>
    </row>
    <row r="83" spans="1:45" x14ac:dyDescent="0.3">
      <c r="A83" s="1" t="str">
        <f t="shared" si="13"/>
        <v>DWDV74066</v>
      </c>
      <c r="B83" s="32" t="s">
        <v>965</v>
      </c>
      <c r="C83" s="10" t="str">
        <f t="shared" si="17"/>
        <v>DV740</v>
      </c>
      <c r="D83" s="10" t="s">
        <v>744</v>
      </c>
      <c r="E83" s="10" t="str">
        <f t="shared" si="15"/>
        <v>W</v>
      </c>
      <c r="F83" s="10" t="str">
        <f t="shared" si="16"/>
        <v>DV</v>
      </c>
      <c r="G83" s="10" t="s">
        <v>745</v>
      </c>
      <c r="H83" s="4" t="s">
        <v>727</v>
      </c>
      <c r="J83" s="4">
        <f t="shared" si="22"/>
        <v>1</v>
      </c>
      <c r="K83" s="4">
        <v>3</v>
      </c>
      <c r="L83" s="43">
        <v>149000</v>
      </c>
      <c r="M83" s="65" t="s">
        <v>83</v>
      </c>
      <c r="N83" s="39" t="s">
        <v>626</v>
      </c>
      <c r="O83" s="10" t="s">
        <v>485</v>
      </c>
      <c r="P83" s="10">
        <v>100</v>
      </c>
      <c r="Q83" s="32" t="s">
        <v>85</v>
      </c>
      <c r="R83" s="10" t="s">
        <v>86</v>
      </c>
      <c r="S83" s="39" t="s">
        <v>87</v>
      </c>
      <c r="T83" s="10" t="s">
        <v>65</v>
      </c>
      <c r="U83" s="10"/>
      <c r="V83" s="10" t="s">
        <v>66</v>
      </c>
      <c r="W83" s="10"/>
      <c r="X83" s="9" t="s">
        <v>756</v>
      </c>
      <c r="Y83" s="10" t="s">
        <v>88</v>
      </c>
      <c r="Z83" s="32" t="s">
        <v>125</v>
      </c>
      <c r="AA83" s="32" t="s">
        <v>90</v>
      </c>
      <c r="AB83" s="9" t="s">
        <v>91</v>
      </c>
      <c r="AC83" s="10" t="s">
        <v>92</v>
      </c>
      <c r="AD83" s="131" t="s">
        <v>92</v>
      </c>
      <c r="AE83" s="65" t="s">
        <v>137</v>
      </c>
      <c r="AF83" s="39" t="s">
        <v>458</v>
      </c>
      <c r="AG83" s="10" t="s">
        <v>75</v>
      </c>
      <c r="AH83" s="10">
        <v>650</v>
      </c>
      <c r="AI83" s="9" t="s">
        <v>450</v>
      </c>
      <c r="AJ83" s="10" t="s">
        <v>241</v>
      </c>
      <c r="AK83" s="50">
        <v>5300</v>
      </c>
      <c r="AL83" s="43">
        <f t="shared" si="18"/>
        <v>789700000</v>
      </c>
      <c r="AM83" s="43">
        <f t="shared" si="19"/>
        <v>3445</v>
      </c>
      <c r="AN83" s="43">
        <f t="shared" si="20"/>
        <v>472240600</v>
      </c>
      <c r="AO83" s="51">
        <f t="shared" si="21"/>
        <v>0.65</v>
      </c>
      <c r="AQ83" s="3" t="s">
        <v>962</v>
      </c>
    </row>
    <row r="84" spans="1:45" x14ac:dyDescent="0.3">
      <c r="A84" s="1" t="str">
        <f t="shared" si="13"/>
        <v>DXDV750661</v>
      </c>
      <c r="B84" s="32" t="s">
        <v>966</v>
      </c>
      <c r="C84" s="10" t="str">
        <f t="shared" si="17"/>
        <v>DV750</v>
      </c>
      <c r="D84" s="10" t="s">
        <v>744</v>
      </c>
      <c r="E84" s="10" t="str">
        <f t="shared" si="15"/>
        <v>X</v>
      </c>
      <c r="F84" s="10" t="str">
        <f t="shared" si="16"/>
        <v>DV</v>
      </c>
      <c r="G84" s="10" t="s">
        <v>745</v>
      </c>
      <c r="H84" s="4" t="s">
        <v>967</v>
      </c>
      <c r="I84" s="10">
        <v>1</v>
      </c>
      <c r="J84" s="4">
        <f t="shared" si="22"/>
        <v>1</v>
      </c>
      <c r="K84" s="4">
        <v>2</v>
      </c>
      <c r="L84" s="43">
        <v>199000</v>
      </c>
      <c r="M84" s="65" t="s">
        <v>217</v>
      </c>
      <c r="N84" s="39" t="s">
        <v>925</v>
      </c>
      <c r="O84" s="10" t="s">
        <v>485</v>
      </c>
      <c r="P84" s="10">
        <v>100</v>
      </c>
      <c r="Q84" s="32" t="s">
        <v>119</v>
      </c>
      <c r="R84" s="10" t="s">
        <v>246</v>
      </c>
      <c r="S84" s="39" t="s">
        <v>331</v>
      </c>
      <c r="T84" s="10" t="s">
        <v>122</v>
      </c>
      <c r="U84" s="10" t="s">
        <v>332</v>
      </c>
      <c r="V84" s="10" t="s">
        <v>412</v>
      </c>
      <c r="W84" s="10"/>
      <c r="X84" s="9" t="s">
        <v>756</v>
      </c>
      <c r="Y84" s="10" t="s">
        <v>68</v>
      </c>
      <c r="Z84" s="32" t="s">
        <v>125</v>
      </c>
      <c r="AA84" s="32" t="s">
        <v>90</v>
      </c>
      <c r="AB84" s="9" t="s">
        <v>71</v>
      </c>
      <c r="AC84" s="10" t="s">
        <v>85</v>
      </c>
      <c r="AD84" s="10" t="s">
        <v>208</v>
      </c>
      <c r="AE84" s="65" t="s">
        <v>137</v>
      </c>
      <c r="AF84" s="39" t="s">
        <v>169</v>
      </c>
      <c r="AG84" s="10" t="s">
        <v>127</v>
      </c>
      <c r="AH84" s="10">
        <v>650</v>
      </c>
      <c r="AI84" s="9" t="s">
        <v>450</v>
      </c>
      <c r="AJ84" s="10" t="s">
        <v>241</v>
      </c>
      <c r="AK84" s="50">
        <v>8000</v>
      </c>
      <c r="AL84" s="43">
        <f t="shared" si="18"/>
        <v>1592000000</v>
      </c>
      <c r="AM84" s="43">
        <f t="shared" si="19"/>
        <v>5200</v>
      </c>
      <c r="AN84" s="43">
        <f t="shared" si="20"/>
        <v>952016000</v>
      </c>
      <c r="AO84" s="51">
        <f t="shared" si="21"/>
        <v>0.65</v>
      </c>
      <c r="AQ84" s="3" t="s">
        <v>962</v>
      </c>
    </row>
    <row r="85" spans="1:45" x14ac:dyDescent="0.3">
      <c r="A85" s="1" t="str">
        <f t="shared" si="13"/>
        <v>DXDV75166</v>
      </c>
      <c r="B85" s="32" t="s">
        <v>968</v>
      </c>
      <c r="C85" s="10" t="str">
        <f t="shared" si="17"/>
        <v>DV751</v>
      </c>
      <c r="D85" s="10" t="s">
        <v>744</v>
      </c>
      <c r="E85" s="10" t="str">
        <f t="shared" si="15"/>
        <v>X</v>
      </c>
      <c r="F85" s="10" t="str">
        <f t="shared" si="16"/>
        <v>DV</v>
      </c>
      <c r="G85" s="10" t="s">
        <v>745</v>
      </c>
      <c r="H85" s="4" t="s">
        <v>969</v>
      </c>
      <c r="J85" s="4">
        <f t="shared" si="22"/>
        <v>1</v>
      </c>
      <c r="K85" s="4">
        <v>2</v>
      </c>
      <c r="L85" s="43">
        <v>199000</v>
      </c>
      <c r="M85" s="65" t="s">
        <v>217</v>
      </c>
      <c r="N85" s="39" t="s">
        <v>218</v>
      </c>
      <c r="O85" s="10" t="s">
        <v>485</v>
      </c>
      <c r="P85" s="10">
        <v>100</v>
      </c>
      <c r="Q85" s="32" t="s">
        <v>219</v>
      </c>
      <c r="R85" s="10" t="s">
        <v>220</v>
      </c>
      <c r="S85" s="39" t="s">
        <v>221</v>
      </c>
      <c r="T85" s="10" t="s">
        <v>65</v>
      </c>
      <c r="U85" s="10"/>
      <c r="V85" s="10" t="s">
        <v>520</v>
      </c>
      <c r="W85" s="10"/>
      <c r="X85" s="9" t="s">
        <v>756</v>
      </c>
      <c r="Y85" s="10" t="s">
        <v>68</v>
      </c>
      <c r="Z85" s="32" t="s">
        <v>69</v>
      </c>
      <c r="AA85" s="32" t="s">
        <v>70</v>
      </c>
      <c r="AB85" s="9" t="s">
        <v>71</v>
      </c>
      <c r="AC85" s="10" t="s">
        <v>62</v>
      </c>
      <c r="AD85" s="10" t="s">
        <v>72</v>
      </c>
      <c r="AE85" s="65" t="s">
        <v>137</v>
      </c>
      <c r="AF85" s="39" t="s">
        <v>169</v>
      </c>
      <c r="AG85" s="10" t="s">
        <v>127</v>
      </c>
      <c r="AH85" s="10">
        <v>650</v>
      </c>
      <c r="AI85" s="9" t="s">
        <v>450</v>
      </c>
      <c r="AJ85" s="10" t="s">
        <v>241</v>
      </c>
      <c r="AK85" s="50">
        <v>3000</v>
      </c>
      <c r="AL85" s="43">
        <f t="shared" si="18"/>
        <v>597000000</v>
      </c>
      <c r="AM85" s="43">
        <f t="shared" si="19"/>
        <v>1950</v>
      </c>
      <c r="AN85" s="43">
        <f t="shared" si="20"/>
        <v>357006000</v>
      </c>
      <c r="AO85" s="51">
        <f t="shared" si="21"/>
        <v>0.65</v>
      </c>
      <c r="AQ85" s="3" t="s">
        <v>962</v>
      </c>
    </row>
    <row r="86" spans="1:45" x14ac:dyDescent="0.3">
      <c r="A86" s="1" t="str">
        <f t="shared" si="13"/>
        <v>DXDV790661</v>
      </c>
      <c r="B86" s="32" t="s">
        <v>970</v>
      </c>
      <c r="C86" s="10" t="str">
        <f t="shared" si="17"/>
        <v>DV790</v>
      </c>
      <c r="D86" s="10" t="s">
        <v>744</v>
      </c>
      <c r="E86" s="10" t="str">
        <f t="shared" si="15"/>
        <v>X</v>
      </c>
      <c r="F86" s="10" t="str">
        <f t="shared" si="16"/>
        <v>DV</v>
      </c>
      <c r="G86" s="10" t="s">
        <v>745</v>
      </c>
      <c r="H86" s="4" t="s">
        <v>971</v>
      </c>
      <c r="I86" s="10">
        <v>1</v>
      </c>
      <c r="J86" s="4">
        <f t="shared" si="22"/>
        <v>1</v>
      </c>
      <c r="K86" s="4">
        <v>2</v>
      </c>
      <c r="L86" s="43">
        <v>259000</v>
      </c>
      <c r="M86" s="65" t="s">
        <v>509</v>
      </c>
      <c r="N86" s="39" t="s">
        <v>938</v>
      </c>
      <c r="O86" s="10" t="s">
        <v>485</v>
      </c>
      <c r="P86" s="10">
        <v>100</v>
      </c>
      <c r="Q86" s="32" t="s">
        <v>219</v>
      </c>
      <c r="R86" s="10" t="s">
        <v>545</v>
      </c>
      <c r="S86" s="39" t="s">
        <v>121</v>
      </c>
      <c r="T86" s="10" t="s">
        <v>65</v>
      </c>
      <c r="U86" s="10"/>
      <c r="V86" s="10" t="s">
        <v>66</v>
      </c>
      <c r="W86" s="10"/>
      <c r="X86" s="9" t="s">
        <v>756</v>
      </c>
      <c r="Y86" s="10" t="s">
        <v>68</v>
      </c>
      <c r="Z86" s="32" t="s">
        <v>154</v>
      </c>
      <c r="AA86" s="32" t="s">
        <v>426</v>
      </c>
      <c r="AB86" s="9" t="s">
        <v>71</v>
      </c>
      <c r="AC86" s="10" t="s">
        <v>62</v>
      </c>
      <c r="AD86" s="10" t="s">
        <v>72</v>
      </c>
      <c r="AE86" s="65" t="s">
        <v>137</v>
      </c>
      <c r="AF86" s="39" t="s">
        <v>199</v>
      </c>
      <c r="AG86" s="10" t="s">
        <v>127</v>
      </c>
      <c r="AH86" s="10">
        <v>650</v>
      </c>
      <c r="AI86" s="9" t="s">
        <v>450</v>
      </c>
      <c r="AJ86" s="10" t="s">
        <v>241</v>
      </c>
      <c r="AK86" s="50">
        <v>5500</v>
      </c>
      <c r="AL86" s="43">
        <f t="shared" si="18"/>
        <v>1424500000</v>
      </c>
      <c r="AM86" s="43">
        <f t="shared" si="19"/>
        <v>3575</v>
      </c>
      <c r="AN86" s="43">
        <f t="shared" si="20"/>
        <v>851851000</v>
      </c>
      <c r="AO86" s="51">
        <f t="shared" si="21"/>
        <v>0.65</v>
      </c>
      <c r="AQ86" s="3" t="s">
        <v>962</v>
      </c>
    </row>
    <row r="87" spans="1:45" x14ac:dyDescent="0.3">
      <c r="A87" s="1" t="str">
        <f t="shared" si="13"/>
        <v>DWDV910661</v>
      </c>
      <c r="B87" s="32" t="s">
        <v>972</v>
      </c>
      <c r="C87" s="10" t="str">
        <f t="shared" si="17"/>
        <v>DV910</v>
      </c>
      <c r="D87" s="10" t="s">
        <v>744</v>
      </c>
      <c r="E87" s="10" t="str">
        <f t="shared" si="15"/>
        <v>W</v>
      </c>
      <c r="F87" s="10" t="str">
        <f t="shared" si="16"/>
        <v>DV</v>
      </c>
      <c r="G87" s="10" t="s">
        <v>745</v>
      </c>
      <c r="H87" s="4" t="s">
        <v>973</v>
      </c>
      <c r="I87" s="10">
        <v>1</v>
      </c>
      <c r="J87" s="4">
        <f t="shared" si="22"/>
        <v>1</v>
      </c>
      <c r="K87" s="4">
        <v>2</v>
      </c>
      <c r="L87" s="43">
        <v>189000</v>
      </c>
      <c r="M87" s="9" t="s">
        <v>194</v>
      </c>
      <c r="N87" s="10" t="s">
        <v>764</v>
      </c>
      <c r="O87" s="10" t="s">
        <v>485</v>
      </c>
      <c r="P87" s="10">
        <v>100</v>
      </c>
      <c r="Q87" s="32" t="s">
        <v>119</v>
      </c>
      <c r="R87" s="10" t="s">
        <v>720</v>
      </c>
      <c r="S87" s="39" t="s">
        <v>331</v>
      </c>
      <c r="T87" s="10" t="s">
        <v>122</v>
      </c>
      <c r="U87" s="10" t="s">
        <v>136</v>
      </c>
      <c r="V87" s="10"/>
      <c r="W87" s="10"/>
      <c r="X87" s="9" t="s">
        <v>756</v>
      </c>
      <c r="Y87" s="10" t="s">
        <v>68</v>
      </c>
      <c r="Z87" s="32" t="s">
        <v>125</v>
      </c>
      <c r="AA87" s="32" t="s">
        <v>90</v>
      </c>
      <c r="AB87" s="9" t="s">
        <v>71</v>
      </c>
      <c r="AC87" s="10" t="s">
        <v>62</v>
      </c>
      <c r="AD87" s="10" t="s">
        <v>72</v>
      </c>
      <c r="AE87" s="65" t="s">
        <v>137</v>
      </c>
      <c r="AF87" s="39" t="s">
        <v>205</v>
      </c>
      <c r="AG87" s="10" t="s">
        <v>127</v>
      </c>
      <c r="AH87" s="10">
        <v>650</v>
      </c>
      <c r="AI87" s="9" t="s">
        <v>450</v>
      </c>
      <c r="AJ87" s="10" t="s">
        <v>77</v>
      </c>
      <c r="AK87" s="50">
        <v>3000</v>
      </c>
      <c r="AL87" s="43">
        <f t="shared" si="18"/>
        <v>567000000</v>
      </c>
      <c r="AM87" s="43">
        <f t="shared" si="19"/>
        <v>1950</v>
      </c>
      <c r="AN87" s="43">
        <f t="shared" si="20"/>
        <v>339066000</v>
      </c>
      <c r="AO87" s="51">
        <f t="shared" si="21"/>
        <v>0.65</v>
      </c>
      <c r="AQ87" s="3" t="s">
        <v>748</v>
      </c>
    </row>
    <row r="88" spans="1:45" x14ac:dyDescent="0.3">
      <c r="A88" s="1" t="str">
        <f t="shared" si="13"/>
        <v>DWDV91166</v>
      </c>
      <c r="B88" s="32" t="s">
        <v>974</v>
      </c>
      <c r="C88" s="10" t="str">
        <f t="shared" si="17"/>
        <v>DV911</v>
      </c>
      <c r="D88" s="10" t="s">
        <v>744</v>
      </c>
      <c r="E88" s="10" t="str">
        <f t="shared" si="15"/>
        <v>W</v>
      </c>
      <c r="F88" s="10" t="str">
        <f t="shared" si="16"/>
        <v>DV</v>
      </c>
      <c r="G88" s="10" t="s">
        <v>745</v>
      </c>
      <c r="H88" s="4" t="s">
        <v>975</v>
      </c>
      <c r="J88" s="4">
        <f t="shared" si="22"/>
        <v>1</v>
      </c>
      <c r="K88" s="4">
        <v>2</v>
      </c>
      <c r="L88" s="43">
        <v>199000</v>
      </c>
      <c r="M88" s="65" t="s">
        <v>805</v>
      </c>
      <c r="N88" s="39" t="s">
        <v>806</v>
      </c>
      <c r="O88" s="98" t="s">
        <v>807</v>
      </c>
      <c r="P88" s="98">
        <v>100</v>
      </c>
      <c r="Q88" s="32" t="s">
        <v>808</v>
      </c>
      <c r="R88" s="98" t="s">
        <v>430</v>
      </c>
      <c r="S88" s="39" t="s">
        <v>799</v>
      </c>
      <c r="T88" s="10" t="str">
        <f>T19</f>
        <v>Single L</v>
      </c>
      <c r="U88" s="10"/>
      <c r="V88" s="10"/>
      <c r="W88" s="10"/>
      <c r="X88" s="9" t="s">
        <v>800</v>
      </c>
      <c r="Y88" s="10" t="s">
        <v>809</v>
      </c>
      <c r="Z88" s="32" t="s">
        <v>802</v>
      </c>
      <c r="AA88" s="32" t="s">
        <v>353</v>
      </c>
      <c r="AB88" s="9" t="s">
        <v>71</v>
      </c>
      <c r="AC88" s="10" t="s">
        <v>62</v>
      </c>
      <c r="AD88" s="10" t="s">
        <v>72</v>
      </c>
      <c r="AE88" s="65" t="s">
        <v>137</v>
      </c>
      <c r="AF88" s="39" t="s">
        <v>839</v>
      </c>
      <c r="AG88" s="10" t="s">
        <v>127</v>
      </c>
      <c r="AH88" s="10">
        <v>650</v>
      </c>
      <c r="AI88" s="9" t="s">
        <v>450</v>
      </c>
      <c r="AJ88" s="10" t="s">
        <v>77</v>
      </c>
      <c r="AK88" s="50">
        <v>2500</v>
      </c>
      <c r="AL88" s="43">
        <f t="shared" si="18"/>
        <v>497500000</v>
      </c>
      <c r="AM88" s="43">
        <f t="shared" si="19"/>
        <v>1625</v>
      </c>
      <c r="AN88" s="43">
        <f t="shared" si="20"/>
        <v>297505000</v>
      </c>
      <c r="AO88" s="51">
        <f t="shared" si="21"/>
        <v>0.65</v>
      </c>
      <c r="AQ88" s="3" t="s">
        <v>748</v>
      </c>
    </row>
    <row r="89" spans="1:45" x14ac:dyDescent="0.3">
      <c r="A89" s="1" t="str">
        <f t="shared" si="13"/>
        <v>DWPD480661</v>
      </c>
      <c r="B89" s="32" t="s">
        <v>976</v>
      </c>
      <c r="C89" s="10" t="str">
        <f t="shared" si="17"/>
        <v>PD480</v>
      </c>
      <c r="D89" s="10" t="s">
        <v>744</v>
      </c>
      <c r="E89" s="10" t="str">
        <f t="shared" si="15"/>
        <v>W</v>
      </c>
      <c r="F89" s="60" t="str">
        <f t="shared" si="16"/>
        <v>PD</v>
      </c>
      <c r="G89" s="10" t="s">
        <v>745</v>
      </c>
      <c r="H89" s="4" t="s">
        <v>977</v>
      </c>
      <c r="I89" s="10">
        <v>1</v>
      </c>
      <c r="J89" s="4">
        <f t="shared" si="22"/>
        <v>1</v>
      </c>
      <c r="K89" s="4">
        <v>3</v>
      </c>
      <c r="L89" s="43">
        <v>199000</v>
      </c>
      <c r="M89" s="65" t="s">
        <v>202</v>
      </c>
      <c r="N89" s="39" t="s">
        <v>978</v>
      </c>
      <c r="O89" s="10" t="s">
        <v>143</v>
      </c>
      <c r="P89" s="10">
        <v>100</v>
      </c>
      <c r="Q89" s="71" t="s">
        <v>479</v>
      </c>
      <c r="R89" s="10" t="s">
        <v>338</v>
      </c>
      <c r="S89" s="39" t="s">
        <v>979</v>
      </c>
      <c r="T89" s="10" t="s">
        <v>65</v>
      </c>
      <c r="U89" s="10"/>
      <c r="V89" s="10"/>
      <c r="W89" s="10"/>
      <c r="X89" s="9" t="s">
        <v>756</v>
      </c>
      <c r="Y89" s="10" t="s">
        <v>340</v>
      </c>
      <c r="Z89" s="32" t="s">
        <v>89</v>
      </c>
      <c r="AA89" s="32" t="s">
        <v>185</v>
      </c>
      <c r="AB89" s="9" t="s">
        <v>342</v>
      </c>
      <c r="AC89" s="10" t="s">
        <v>92</v>
      </c>
      <c r="AD89" s="131" t="s">
        <v>92</v>
      </c>
      <c r="AE89" s="65" t="s">
        <v>980</v>
      </c>
      <c r="AF89" s="39" t="s">
        <v>311</v>
      </c>
      <c r="AG89" s="10" t="s">
        <v>240</v>
      </c>
      <c r="AI89" s="9" t="s">
        <v>289</v>
      </c>
      <c r="AJ89" s="10" t="s">
        <v>77</v>
      </c>
      <c r="AK89" s="50">
        <f>2500+1200+1200</f>
        <v>4900</v>
      </c>
      <c r="AL89" s="43">
        <f t="shared" si="18"/>
        <v>975100000</v>
      </c>
      <c r="AM89" s="43">
        <f t="shared" si="19"/>
        <v>3185</v>
      </c>
      <c r="AN89" s="43">
        <f t="shared" si="20"/>
        <v>583109800</v>
      </c>
      <c r="AO89" s="51">
        <f t="shared" si="21"/>
        <v>0.65</v>
      </c>
      <c r="AQ89" s="3" t="s">
        <v>981</v>
      </c>
    </row>
    <row r="90" spans="1:45" x14ac:dyDescent="0.3">
      <c r="A90" s="1" t="str">
        <f t="shared" si="13"/>
        <v>DMPD3A0661</v>
      </c>
      <c r="B90" s="32" t="s">
        <v>982</v>
      </c>
      <c r="C90" s="10" t="str">
        <f t="shared" si="17"/>
        <v>PD3A0</v>
      </c>
      <c r="D90" s="10" t="s">
        <v>744</v>
      </c>
      <c r="E90" s="10" t="str">
        <f t="shared" si="15"/>
        <v>M</v>
      </c>
      <c r="F90" s="60" t="str">
        <f t="shared" si="16"/>
        <v>PD</v>
      </c>
      <c r="G90" s="10" t="s">
        <v>745</v>
      </c>
      <c r="H90" s="4" t="s">
        <v>983</v>
      </c>
      <c r="I90" s="10">
        <v>1</v>
      </c>
      <c r="J90" s="4">
        <f t="shared" si="22"/>
        <v>1</v>
      </c>
      <c r="K90" s="4">
        <v>3</v>
      </c>
      <c r="L90" s="43">
        <v>199000</v>
      </c>
      <c r="M90" s="65" t="s">
        <v>984</v>
      </c>
      <c r="N90" s="39" t="s">
        <v>985</v>
      </c>
      <c r="O90" s="10" t="s">
        <v>143</v>
      </c>
      <c r="P90" s="10">
        <v>100</v>
      </c>
      <c r="Q90" s="71" t="s">
        <v>786</v>
      </c>
      <c r="R90" s="10" t="s">
        <v>747</v>
      </c>
      <c r="S90" s="39" t="s">
        <v>788</v>
      </c>
      <c r="T90" s="10" t="s">
        <v>65</v>
      </c>
      <c r="U90" s="10"/>
      <c r="V90" s="10" t="s">
        <v>66</v>
      </c>
      <c r="W90" s="10"/>
      <c r="X90" s="9" t="s">
        <v>756</v>
      </c>
      <c r="Y90" s="10" t="s">
        <v>340</v>
      </c>
      <c r="Z90" s="32" t="s">
        <v>125</v>
      </c>
      <c r="AA90" s="32" t="s">
        <v>341</v>
      </c>
      <c r="AB90" s="9" t="s">
        <v>342</v>
      </c>
      <c r="AC90" s="10" t="s">
        <v>92</v>
      </c>
      <c r="AD90" s="131" t="s">
        <v>92</v>
      </c>
      <c r="AE90" s="65" t="s">
        <v>828</v>
      </c>
      <c r="AF90" s="39" t="s">
        <v>169</v>
      </c>
      <c r="AG90" s="10" t="s">
        <v>986</v>
      </c>
      <c r="AI90" s="9" t="s">
        <v>987</v>
      </c>
      <c r="AJ90" s="10" t="s">
        <v>384</v>
      </c>
      <c r="AK90" s="50">
        <f>2500+1000+1200</f>
        <v>4700</v>
      </c>
      <c r="AL90" s="43">
        <f t="shared" si="18"/>
        <v>935300000</v>
      </c>
      <c r="AM90" s="43">
        <f t="shared" si="19"/>
        <v>3055</v>
      </c>
      <c r="AN90" s="43">
        <f t="shared" si="20"/>
        <v>559309400</v>
      </c>
      <c r="AO90" s="51">
        <f t="shared" si="21"/>
        <v>0.65</v>
      </c>
      <c r="AQ90" s="3" t="s">
        <v>988</v>
      </c>
    </row>
    <row r="91" spans="1:45" x14ac:dyDescent="0.3">
      <c r="B91" s="32" t="s">
        <v>54</v>
      </c>
      <c r="C91" s="10" t="str">
        <f>MID(B91,3,5)</f>
        <v>DJ910</v>
      </c>
      <c r="D91" s="10" t="s">
        <v>55</v>
      </c>
      <c r="E91" s="10" t="str">
        <f t="shared" si="15"/>
        <v>W</v>
      </c>
      <c r="F91" s="10" t="str">
        <f t="shared" si="16"/>
        <v>DJ</v>
      </c>
      <c r="G91" s="10" t="s">
        <v>56</v>
      </c>
      <c r="H91" s="4" t="s">
        <v>57</v>
      </c>
      <c r="I91" s="10" t="s">
        <v>58</v>
      </c>
      <c r="J91" s="4">
        <v>1</v>
      </c>
      <c r="K91" s="4">
        <v>1</v>
      </c>
      <c r="L91" s="43">
        <v>199000</v>
      </c>
      <c r="M91" s="78" t="s">
        <v>59</v>
      </c>
      <c r="N91" s="98" t="s">
        <v>60</v>
      </c>
      <c r="O91" s="10" t="s">
        <v>61</v>
      </c>
      <c r="P91" s="63">
        <v>100</v>
      </c>
      <c r="Q91" s="94" t="s">
        <v>62</v>
      </c>
      <c r="R91" s="63" t="s">
        <v>63</v>
      </c>
      <c r="S91" s="96" t="s">
        <v>64</v>
      </c>
      <c r="T91" s="10" t="s">
        <v>65</v>
      </c>
      <c r="U91" s="10"/>
      <c r="V91" s="10" t="s">
        <v>66</v>
      </c>
      <c r="W91" s="10"/>
      <c r="X91" s="9" t="s">
        <v>67</v>
      </c>
      <c r="Y91" s="10" t="s">
        <v>68</v>
      </c>
      <c r="Z91" s="94" t="s">
        <v>69</v>
      </c>
      <c r="AA91" s="94" t="s">
        <v>70</v>
      </c>
      <c r="AB91" s="9" t="s">
        <v>71</v>
      </c>
      <c r="AC91" s="10" t="s">
        <v>62</v>
      </c>
      <c r="AD91" s="10" t="s">
        <v>72</v>
      </c>
      <c r="AE91" s="65" t="s">
        <v>73</v>
      </c>
      <c r="AF91" s="39" t="s">
        <v>74</v>
      </c>
      <c r="AG91" s="10" t="s">
        <v>75</v>
      </c>
      <c r="AH91" s="4">
        <v>650</v>
      </c>
      <c r="AI91" s="11" t="s">
        <v>76</v>
      </c>
      <c r="AJ91" s="4" t="s">
        <v>77</v>
      </c>
      <c r="AK91" s="50">
        <v>994</v>
      </c>
      <c r="AL91" s="43">
        <v>197806000</v>
      </c>
      <c r="AM91" s="43">
        <v>14</v>
      </c>
      <c r="AN91" s="43">
        <v>1950200</v>
      </c>
      <c r="AO91" s="43">
        <v>100</v>
      </c>
      <c r="AP91" s="43">
        <v>15691936</v>
      </c>
      <c r="AQ91" s="43">
        <v>177</v>
      </c>
      <c r="AR91" s="43">
        <v>26381316</v>
      </c>
      <c r="AS91" s="52">
        <f>AQ91/AK91</f>
        <v>0.17806841046277666</v>
      </c>
    </row>
    <row r="92" spans="1:45" x14ac:dyDescent="0.3">
      <c r="B92" s="32" t="s">
        <v>54</v>
      </c>
      <c r="C92" s="10" t="str">
        <f t="shared" ref="C92:C155" si="23">MID(B92,3,5)</f>
        <v>DJ910</v>
      </c>
      <c r="D92" s="10" t="s">
        <v>55</v>
      </c>
      <c r="E92" s="10" t="str">
        <f t="shared" si="15"/>
        <v>W</v>
      </c>
      <c r="F92" s="10" t="str">
        <f t="shared" si="16"/>
        <v>DJ</v>
      </c>
      <c r="G92" s="10" t="s">
        <v>56</v>
      </c>
      <c r="H92" s="4" t="s">
        <v>57</v>
      </c>
      <c r="I92" s="10" t="s">
        <v>78</v>
      </c>
      <c r="J92" s="4" t="str">
        <f t="shared" ref="J92:J155" si="24">IF(B92=B91,"",1)</f>
        <v/>
      </c>
      <c r="K92" s="4">
        <v>1</v>
      </c>
      <c r="L92" s="43">
        <v>199000</v>
      </c>
      <c r="M92" s="78" t="s">
        <v>59</v>
      </c>
      <c r="N92" s="98" t="s">
        <v>60</v>
      </c>
      <c r="O92" s="10" t="s">
        <v>61</v>
      </c>
      <c r="P92" s="63">
        <v>100</v>
      </c>
      <c r="Q92" s="94" t="s">
        <v>62</v>
      </c>
      <c r="R92" s="63" t="s">
        <v>63</v>
      </c>
      <c r="S92" s="96" t="s">
        <v>64</v>
      </c>
      <c r="T92" s="10" t="s">
        <v>65</v>
      </c>
      <c r="U92" s="10"/>
      <c r="V92" s="10" t="s">
        <v>66</v>
      </c>
      <c r="W92" s="10"/>
      <c r="X92" s="9" t="s">
        <v>67</v>
      </c>
      <c r="Y92" s="10" t="s">
        <v>68</v>
      </c>
      <c r="Z92" s="94" t="s">
        <v>69</v>
      </c>
      <c r="AA92" s="94" t="s">
        <v>70</v>
      </c>
      <c r="AB92" s="9" t="s">
        <v>71</v>
      </c>
      <c r="AC92" s="10" t="s">
        <v>62</v>
      </c>
      <c r="AD92" s="10" t="s">
        <v>72</v>
      </c>
      <c r="AE92" s="65" t="s">
        <v>73</v>
      </c>
      <c r="AF92" s="39" t="s">
        <v>74</v>
      </c>
      <c r="AG92" s="10" t="s">
        <v>75</v>
      </c>
      <c r="AH92" s="4">
        <v>650</v>
      </c>
      <c r="AI92" s="11" t="s">
        <v>76</v>
      </c>
      <c r="AJ92" s="4" t="s">
        <v>77</v>
      </c>
      <c r="AK92" s="50">
        <v>1739</v>
      </c>
      <c r="AL92" s="43">
        <v>346061000</v>
      </c>
      <c r="AM92" s="43">
        <v>99</v>
      </c>
      <c r="AN92" s="43">
        <v>13734300</v>
      </c>
      <c r="AO92" s="43">
        <v>690</v>
      </c>
      <c r="AP92" s="43">
        <v>103072647</v>
      </c>
      <c r="AQ92" s="43">
        <v>1177</v>
      </c>
      <c r="AR92" s="43">
        <v>170517837</v>
      </c>
      <c r="AS92" s="52">
        <f t="shared" ref="AS92:AS155" si="25">AQ92/AK92</f>
        <v>0.67682576193214494</v>
      </c>
    </row>
    <row r="93" spans="1:45" x14ac:dyDescent="0.3">
      <c r="B93" s="32" t="s">
        <v>54</v>
      </c>
      <c r="C93" s="10" t="str">
        <f t="shared" si="23"/>
        <v>DJ910</v>
      </c>
      <c r="D93" s="10" t="s">
        <v>55</v>
      </c>
      <c r="E93" s="10" t="str">
        <f t="shared" si="15"/>
        <v>W</v>
      </c>
      <c r="F93" s="10" t="str">
        <f t="shared" si="16"/>
        <v>DJ</v>
      </c>
      <c r="G93" s="10" t="s">
        <v>56</v>
      </c>
      <c r="H93" s="4" t="s">
        <v>57</v>
      </c>
      <c r="I93" s="10" t="s">
        <v>79</v>
      </c>
      <c r="J93" s="4" t="str">
        <f t="shared" si="24"/>
        <v/>
      </c>
      <c r="K93" s="4">
        <v>1</v>
      </c>
      <c r="L93" s="43">
        <v>199000</v>
      </c>
      <c r="M93" s="78" t="s">
        <v>59</v>
      </c>
      <c r="N93" s="98" t="s">
        <v>60</v>
      </c>
      <c r="O93" s="10" t="s">
        <v>61</v>
      </c>
      <c r="P93" s="63">
        <v>100</v>
      </c>
      <c r="Q93" s="94" t="s">
        <v>62</v>
      </c>
      <c r="R93" s="63" t="s">
        <v>63</v>
      </c>
      <c r="S93" s="96" t="s">
        <v>64</v>
      </c>
      <c r="T93" s="10" t="s">
        <v>65</v>
      </c>
      <c r="U93" s="10"/>
      <c r="V93" s="10" t="s">
        <v>66</v>
      </c>
      <c r="W93" s="10"/>
      <c r="X93" s="9" t="s">
        <v>67</v>
      </c>
      <c r="Y93" s="10" t="s">
        <v>68</v>
      </c>
      <c r="Z93" s="94" t="s">
        <v>69</v>
      </c>
      <c r="AA93" s="94" t="s">
        <v>70</v>
      </c>
      <c r="AB93" s="9" t="s">
        <v>71</v>
      </c>
      <c r="AC93" s="10" t="s">
        <v>62</v>
      </c>
      <c r="AD93" s="10" t="s">
        <v>72</v>
      </c>
      <c r="AE93" s="65" t="s">
        <v>73</v>
      </c>
      <c r="AF93" s="39" t="s">
        <v>74</v>
      </c>
      <c r="AG93" s="10" t="s">
        <v>75</v>
      </c>
      <c r="AH93" s="4">
        <v>650</v>
      </c>
      <c r="AI93" s="11" t="s">
        <v>76</v>
      </c>
      <c r="AJ93" s="4" t="s">
        <v>77</v>
      </c>
      <c r="AK93" s="50">
        <v>1090</v>
      </c>
      <c r="AL93" s="43">
        <v>216910000</v>
      </c>
      <c r="AM93" s="43">
        <v>47</v>
      </c>
      <c r="AN93" s="43">
        <v>6395540</v>
      </c>
      <c r="AO93" s="43">
        <v>455</v>
      </c>
      <c r="AP93" s="43">
        <v>70207429</v>
      </c>
      <c r="AQ93" s="43">
        <v>726</v>
      </c>
      <c r="AR93" s="43">
        <v>107673249</v>
      </c>
      <c r="AS93" s="52">
        <f t="shared" si="25"/>
        <v>0.66605504587155961</v>
      </c>
    </row>
    <row r="94" spans="1:45" x14ac:dyDescent="0.3">
      <c r="B94" s="32" t="s">
        <v>80</v>
      </c>
      <c r="C94" s="10" t="str">
        <f t="shared" si="23"/>
        <v>DJ920</v>
      </c>
      <c r="D94" s="10" t="s">
        <v>55</v>
      </c>
      <c r="E94" s="10" t="str">
        <f t="shared" si="15"/>
        <v>W</v>
      </c>
      <c r="F94" s="10" t="str">
        <f t="shared" si="16"/>
        <v>DJ</v>
      </c>
      <c r="G94" s="10" t="s">
        <v>56</v>
      </c>
      <c r="H94" s="4" t="s">
        <v>81</v>
      </c>
      <c r="I94" s="10" t="s">
        <v>82</v>
      </c>
      <c r="J94" s="4">
        <f t="shared" si="24"/>
        <v>1</v>
      </c>
      <c r="K94" s="4">
        <v>1</v>
      </c>
      <c r="L94" s="43">
        <v>299000</v>
      </c>
      <c r="M94" s="78" t="s">
        <v>83</v>
      </c>
      <c r="N94" s="98" t="s">
        <v>84</v>
      </c>
      <c r="O94" s="10" t="s">
        <v>61</v>
      </c>
      <c r="P94" s="63">
        <v>100</v>
      </c>
      <c r="Q94" s="94" t="s">
        <v>85</v>
      </c>
      <c r="R94" s="63" t="s">
        <v>86</v>
      </c>
      <c r="S94" s="96" t="s">
        <v>87</v>
      </c>
      <c r="T94" s="10" t="s">
        <v>65</v>
      </c>
      <c r="U94" s="10"/>
      <c r="V94" s="10" t="s">
        <v>66</v>
      </c>
      <c r="W94" s="10"/>
      <c r="X94" s="9" t="s">
        <v>67</v>
      </c>
      <c r="Y94" s="10" t="s">
        <v>88</v>
      </c>
      <c r="Z94" s="94" t="s">
        <v>89</v>
      </c>
      <c r="AA94" s="94" t="s">
        <v>90</v>
      </c>
      <c r="AB94" s="9" t="s">
        <v>91</v>
      </c>
      <c r="AC94" s="68" t="s">
        <v>92</v>
      </c>
      <c r="AD94" s="69" t="str">
        <f>AC94</f>
        <v>(다운백 없음)</v>
      </c>
      <c r="AE94" s="65" t="s">
        <v>73</v>
      </c>
      <c r="AF94" s="39" t="s">
        <v>93</v>
      </c>
      <c r="AG94" s="10" t="s">
        <v>75</v>
      </c>
      <c r="AH94" s="4">
        <v>650</v>
      </c>
      <c r="AI94" s="11" t="s">
        <v>76</v>
      </c>
      <c r="AJ94" s="4" t="s">
        <v>94</v>
      </c>
      <c r="AK94" s="50">
        <v>1808</v>
      </c>
      <c r="AL94" s="43">
        <v>540592000</v>
      </c>
      <c r="AM94" s="43">
        <v>172</v>
      </c>
      <c r="AN94" s="43">
        <v>35747490</v>
      </c>
      <c r="AO94" s="43">
        <v>1543</v>
      </c>
      <c r="AP94" s="43">
        <v>349944579</v>
      </c>
      <c r="AQ94" s="43">
        <v>1771</v>
      </c>
      <c r="AR94" s="43">
        <v>397526539</v>
      </c>
      <c r="AS94" s="52">
        <f t="shared" si="25"/>
        <v>0.97953539823008851</v>
      </c>
    </row>
    <row r="95" spans="1:45" x14ac:dyDescent="0.3">
      <c r="B95" s="32" t="s">
        <v>80</v>
      </c>
      <c r="C95" s="10" t="str">
        <f t="shared" si="23"/>
        <v>DJ920</v>
      </c>
      <c r="D95" s="10" t="s">
        <v>55</v>
      </c>
      <c r="E95" s="10" t="str">
        <f t="shared" si="15"/>
        <v>W</v>
      </c>
      <c r="F95" s="10" t="str">
        <f t="shared" si="16"/>
        <v>DJ</v>
      </c>
      <c r="G95" s="10" t="s">
        <v>56</v>
      </c>
      <c r="H95" s="4" t="s">
        <v>81</v>
      </c>
      <c r="I95" s="10" t="s">
        <v>79</v>
      </c>
      <c r="J95" s="4" t="str">
        <f t="shared" si="24"/>
        <v/>
      </c>
      <c r="K95" s="4">
        <v>1</v>
      </c>
      <c r="L95" s="43">
        <v>299000</v>
      </c>
      <c r="M95" s="78" t="s">
        <v>83</v>
      </c>
      <c r="N95" s="98" t="s">
        <v>95</v>
      </c>
      <c r="O95" s="10" t="s">
        <v>61</v>
      </c>
      <c r="P95" s="63">
        <v>100</v>
      </c>
      <c r="Q95" s="94" t="s">
        <v>85</v>
      </c>
      <c r="R95" s="63" t="s">
        <v>86</v>
      </c>
      <c r="S95" s="96" t="s">
        <v>87</v>
      </c>
      <c r="T95" s="10" t="s">
        <v>65</v>
      </c>
      <c r="U95" s="10"/>
      <c r="V95" s="10" t="s">
        <v>66</v>
      </c>
      <c r="W95" s="10"/>
      <c r="X95" s="9" t="s">
        <v>67</v>
      </c>
      <c r="Y95" s="10" t="s">
        <v>88</v>
      </c>
      <c r="Z95" s="94" t="s">
        <v>89</v>
      </c>
      <c r="AA95" s="94" t="s">
        <v>90</v>
      </c>
      <c r="AB95" s="9" t="s">
        <v>91</v>
      </c>
      <c r="AC95" s="68" t="s">
        <v>92</v>
      </c>
      <c r="AD95" s="69" t="str">
        <f t="shared" ref="AD95:AD101" si="26">AC95</f>
        <v>(다운백 없음)</v>
      </c>
      <c r="AE95" s="65" t="s">
        <v>73</v>
      </c>
      <c r="AF95" s="39" t="s">
        <v>93</v>
      </c>
      <c r="AG95" s="10" t="s">
        <v>75</v>
      </c>
      <c r="AH95" s="4">
        <v>650</v>
      </c>
      <c r="AI95" s="11" t="s">
        <v>76</v>
      </c>
      <c r="AJ95" s="4" t="s">
        <v>94</v>
      </c>
      <c r="AK95" s="50">
        <v>1714</v>
      </c>
      <c r="AL95" s="43">
        <v>512486000</v>
      </c>
      <c r="AM95" s="43">
        <v>105</v>
      </c>
      <c r="AN95" s="43">
        <v>21942190</v>
      </c>
      <c r="AO95" s="43">
        <v>879</v>
      </c>
      <c r="AP95" s="43">
        <v>198870714</v>
      </c>
      <c r="AQ95" s="43">
        <v>1334</v>
      </c>
      <c r="AR95" s="43">
        <v>294079034</v>
      </c>
      <c r="AS95" s="52">
        <f t="shared" si="25"/>
        <v>0.77829638273045509</v>
      </c>
    </row>
    <row r="96" spans="1:45" x14ac:dyDescent="0.3">
      <c r="B96" s="32" t="s">
        <v>80</v>
      </c>
      <c r="C96" s="10" t="str">
        <f t="shared" si="23"/>
        <v>DJ920</v>
      </c>
      <c r="D96" s="10" t="s">
        <v>55</v>
      </c>
      <c r="E96" s="10" t="str">
        <f t="shared" si="15"/>
        <v>W</v>
      </c>
      <c r="F96" s="10" t="str">
        <f t="shared" si="16"/>
        <v>DJ</v>
      </c>
      <c r="G96" s="10" t="s">
        <v>56</v>
      </c>
      <c r="H96" s="4" t="s">
        <v>81</v>
      </c>
      <c r="I96" s="10" t="s">
        <v>78</v>
      </c>
      <c r="J96" s="4" t="str">
        <f t="shared" si="24"/>
        <v/>
      </c>
      <c r="K96" s="4">
        <v>1</v>
      </c>
      <c r="L96" s="43">
        <v>299000</v>
      </c>
      <c r="M96" s="78" t="s">
        <v>83</v>
      </c>
      <c r="N96" s="98" t="s">
        <v>84</v>
      </c>
      <c r="O96" s="10" t="s">
        <v>61</v>
      </c>
      <c r="P96" s="63">
        <v>100</v>
      </c>
      <c r="Q96" s="94" t="s">
        <v>85</v>
      </c>
      <c r="R96" s="63" t="s">
        <v>86</v>
      </c>
      <c r="S96" s="96" t="s">
        <v>87</v>
      </c>
      <c r="T96" s="10" t="s">
        <v>65</v>
      </c>
      <c r="U96" s="10"/>
      <c r="V96" s="10" t="s">
        <v>66</v>
      </c>
      <c r="W96" s="10"/>
      <c r="X96" s="9" t="s">
        <v>67</v>
      </c>
      <c r="Y96" s="10" t="s">
        <v>88</v>
      </c>
      <c r="Z96" s="94" t="s">
        <v>89</v>
      </c>
      <c r="AA96" s="94" t="s">
        <v>90</v>
      </c>
      <c r="AB96" s="9" t="s">
        <v>91</v>
      </c>
      <c r="AC96" s="68" t="s">
        <v>92</v>
      </c>
      <c r="AD96" s="69" t="str">
        <f t="shared" si="26"/>
        <v>(다운백 없음)</v>
      </c>
      <c r="AE96" s="65" t="s">
        <v>73</v>
      </c>
      <c r="AF96" s="39" t="s">
        <v>93</v>
      </c>
      <c r="AG96" s="10" t="s">
        <v>75</v>
      </c>
      <c r="AH96" s="4">
        <v>650</v>
      </c>
      <c r="AI96" s="11" t="s">
        <v>76</v>
      </c>
      <c r="AJ96" s="4" t="s">
        <v>94</v>
      </c>
      <c r="AK96" s="50">
        <v>3010</v>
      </c>
      <c r="AL96" s="43">
        <v>899990000</v>
      </c>
      <c r="AM96" s="43">
        <v>306</v>
      </c>
      <c r="AN96" s="43">
        <v>63860031</v>
      </c>
      <c r="AO96" s="43">
        <v>2269</v>
      </c>
      <c r="AP96" s="43">
        <v>498874200</v>
      </c>
      <c r="AQ96" s="43">
        <v>2948</v>
      </c>
      <c r="AR96" s="43">
        <v>640655320</v>
      </c>
      <c r="AS96" s="52">
        <f t="shared" si="25"/>
        <v>0.97940199335548173</v>
      </c>
    </row>
    <row r="97" spans="2:45" x14ac:dyDescent="0.3">
      <c r="B97" s="32" t="s">
        <v>96</v>
      </c>
      <c r="C97" s="10" t="str">
        <f t="shared" si="23"/>
        <v>DJ9C0</v>
      </c>
      <c r="D97" s="10" t="s">
        <v>55</v>
      </c>
      <c r="E97" s="10" t="str">
        <f t="shared" si="15"/>
        <v>W</v>
      </c>
      <c r="F97" s="10" t="str">
        <f t="shared" si="16"/>
        <v>DJ</v>
      </c>
      <c r="G97" s="10" t="s">
        <v>56</v>
      </c>
      <c r="H97" s="4" t="s">
        <v>97</v>
      </c>
      <c r="I97" s="10" t="s">
        <v>78</v>
      </c>
      <c r="J97" s="4">
        <f t="shared" si="24"/>
        <v>1</v>
      </c>
      <c r="K97" s="4">
        <v>1</v>
      </c>
      <c r="L97" s="43">
        <v>319000</v>
      </c>
      <c r="M97" s="78" t="s">
        <v>83</v>
      </c>
      <c r="N97" s="98" t="s">
        <v>84</v>
      </c>
      <c r="O97" s="10" t="s">
        <v>61</v>
      </c>
      <c r="P97" s="63">
        <v>100</v>
      </c>
      <c r="Q97" s="94" t="s">
        <v>85</v>
      </c>
      <c r="R97" s="63" t="s">
        <v>86</v>
      </c>
      <c r="S97" s="96" t="s">
        <v>87</v>
      </c>
      <c r="T97" s="10" t="s">
        <v>65</v>
      </c>
      <c r="U97" s="10"/>
      <c r="V97" s="10" t="s">
        <v>66</v>
      </c>
      <c r="W97" s="10"/>
      <c r="X97" s="9" t="s">
        <v>67</v>
      </c>
      <c r="Y97" s="10" t="s">
        <v>88</v>
      </c>
      <c r="Z97" s="94" t="s">
        <v>89</v>
      </c>
      <c r="AA97" s="94" t="s">
        <v>90</v>
      </c>
      <c r="AB97" s="9" t="s">
        <v>91</v>
      </c>
      <c r="AC97" s="68" t="s">
        <v>92</v>
      </c>
      <c r="AD97" s="69" t="str">
        <f t="shared" si="26"/>
        <v>(다운백 없음)</v>
      </c>
      <c r="AE97" s="65" t="s">
        <v>73</v>
      </c>
      <c r="AF97" s="39" t="s">
        <v>98</v>
      </c>
      <c r="AG97" s="10" t="s">
        <v>75</v>
      </c>
      <c r="AH97" s="4">
        <v>650</v>
      </c>
      <c r="AI97" s="11" t="s">
        <v>99</v>
      </c>
      <c r="AJ97" s="4" t="s">
        <v>100</v>
      </c>
      <c r="AK97" s="50">
        <v>1598</v>
      </c>
      <c r="AL97" s="43">
        <v>509762000</v>
      </c>
      <c r="AM97" s="43">
        <v>168</v>
      </c>
      <c r="AN97" s="43">
        <v>37472290</v>
      </c>
      <c r="AO97" s="43">
        <v>1302</v>
      </c>
      <c r="AP97" s="43">
        <v>306833394</v>
      </c>
      <c r="AQ97" s="43">
        <v>1559</v>
      </c>
      <c r="AR97" s="43">
        <v>363837824</v>
      </c>
      <c r="AS97" s="52">
        <f t="shared" si="25"/>
        <v>0.97559449311639546</v>
      </c>
    </row>
    <row r="98" spans="2:45" x14ac:dyDescent="0.3">
      <c r="B98" s="32" t="s">
        <v>96</v>
      </c>
      <c r="C98" s="10" t="str">
        <f t="shared" si="23"/>
        <v>DJ9C0</v>
      </c>
      <c r="D98" s="10" t="s">
        <v>55</v>
      </c>
      <c r="E98" s="10" t="str">
        <f t="shared" si="15"/>
        <v>W</v>
      </c>
      <c r="F98" s="10" t="str">
        <f t="shared" si="16"/>
        <v>DJ</v>
      </c>
      <c r="G98" s="10" t="s">
        <v>56</v>
      </c>
      <c r="H98" s="4" t="s">
        <v>97</v>
      </c>
      <c r="I98" s="10" t="s">
        <v>101</v>
      </c>
      <c r="J98" s="4" t="str">
        <f t="shared" si="24"/>
        <v/>
      </c>
      <c r="K98" s="4">
        <v>1</v>
      </c>
      <c r="L98" s="43">
        <v>319000</v>
      </c>
      <c r="M98" s="78" t="s">
        <v>83</v>
      </c>
      <c r="N98" s="98" t="s">
        <v>84</v>
      </c>
      <c r="O98" s="10" t="s">
        <v>61</v>
      </c>
      <c r="P98" s="63">
        <v>100</v>
      </c>
      <c r="Q98" s="94" t="s">
        <v>85</v>
      </c>
      <c r="R98" s="63" t="s">
        <v>86</v>
      </c>
      <c r="S98" s="96" t="s">
        <v>87</v>
      </c>
      <c r="T98" s="10" t="s">
        <v>65</v>
      </c>
      <c r="U98" s="10"/>
      <c r="V98" s="10" t="s">
        <v>66</v>
      </c>
      <c r="W98" s="10"/>
      <c r="X98" s="9" t="s">
        <v>67</v>
      </c>
      <c r="Y98" s="10" t="s">
        <v>88</v>
      </c>
      <c r="Z98" s="94" t="s">
        <v>89</v>
      </c>
      <c r="AA98" s="94" t="s">
        <v>90</v>
      </c>
      <c r="AB98" s="9" t="s">
        <v>91</v>
      </c>
      <c r="AC98" s="68" t="s">
        <v>92</v>
      </c>
      <c r="AD98" s="69" t="str">
        <f t="shared" si="26"/>
        <v>(다운백 없음)</v>
      </c>
      <c r="AE98" s="65" t="s">
        <v>73</v>
      </c>
      <c r="AF98" s="39" t="s">
        <v>98</v>
      </c>
      <c r="AG98" s="10" t="s">
        <v>75</v>
      </c>
      <c r="AH98" s="4">
        <v>650</v>
      </c>
      <c r="AI98" s="11" t="s">
        <v>99</v>
      </c>
      <c r="AJ98" s="4" t="s">
        <v>100</v>
      </c>
      <c r="AK98" s="50">
        <v>1208</v>
      </c>
      <c r="AL98" s="43">
        <v>385352000</v>
      </c>
      <c r="AM98" s="43">
        <v>60</v>
      </c>
      <c r="AN98" s="43">
        <v>13219440</v>
      </c>
      <c r="AO98" s="43">
        <v>387</v>
      </c>
      <c r="AP98" s="43">
        <v>90916310</v>
      </c>
      <c r="AQ98" s="43">
        <v>746</v>
      </c>
      <c r="AR98" s="43">
        <v>170788380</v>
      </c>
      <c r="AS98" s="52">
        <f t="shared" si="25"/>
        <v>0.61754966887417218</v>
      </c>
    </row>
    <row r="99" spans="2:45" x14ac:dyDescent="0.3">
      <c r="B99" s="32" t="s">
        <v>96</v>
      </c>
      <c r="C99" s="10" t="str">
        <f t="shared" si="23"/>
        <v>DJ9C0</v>
      </c>
      <c r="D99" s="10" t="s">
        <v>55</v>
      </c>
      <c r="E99" s="10" t="str">
        <f t="shared" si="15"/>
        <v>W</v>
      </c>
      <c r="F99" s="10" t="str">
        <f t="shared" si="16"/>
        <v>DJ</v>
      </c>
      <c r="G99" s="10" t="s">
        <v>56</v>
      </c>
      <c r="H99" s="4" t="s">
        <v>97</v>
      </c>
      <c r="I99" s="10" t="s">
        <v>102</v>
      </c>
      <c r="J99" s="4" t="str">
        <f t="shared" si="24"/>
        <v/>
      </c>
      <c r="K99" s="4">
        <v>1</v>
      </c>
      <c r="L99" s="43">
        <v>319000</v>
      </c>
      <c r="M99" s="78" t="s">
        <v>83</v>
      </c>
      <c r="N99" s="98" t="s">
        <v>84</v>
      </c>
      <c r="O99" s="10" t="s">
        <v>61</v>
      </c>
      <c r="P99" s="63">
        <v>100</v>
      </c>
      <c r="Q99" s="94" t="s">
        <v>85</v>
      </c>
      <c r="R99" s="63" t="s">
        <v>86</v>
      </c>
      <c r="S99" s="96" t="s">
        <v>87</v>
      </c>
      <c r="T99" s="10" t="s">
        <v>65</v>
      </c>
      <c r="U99" s="10"/>
      <c r="V99" s="10" t="s">
        <v>66</v>
      </c>
      <c r="W99" s="10"/>
      <c r="X99" s="9" t="s">
        <v>67</v>
      </c>
      <c r="Y99" s="10" t="s">
        <v>88</v>
      </c>
      <c r="Z99" s="94" t="s">
        <v>89</v>
      </c>
      <c r="AA99" s="94" t="s">
        <v>90</v>
      </c>
      <c r="AB99" s="9" t="s">
        <v>91</v>
      </c>
      <c r="AC99" s="68" t="s">
        <v>92</v>
      </c>
      <c r="AD99" s="69" t="str">
        <f t="shared" si="26"/>
        <v>(다운백 없음)</v>
      </c>
      <c r="AE99" s="65" t="s">
        <v>73</v>
      </c>
      <c r="AF99" s="39" t="s">
        <v>98</v>
      </c>
      <c r="AG99" s="10" t="s">
        <v>75</v>
      </c>
      <c r="AH99" s="4">
        <v>650</v>
      </c>
      <c r="AI99" s="11" t="s">
        <v>99</v>
      </c>
      <c r="AJ99" s="4" t="s">
        <v>100</v>
      </c>
      <c r="AK99" s="50">
        <v>1008</v>
      </c>
      <c r="AL99" s="43">
        <v>321552000</v>
      </c>
      <c r="AM99" s="43">
        <v>35</v>
      </c>
      <c r="AN99" s="43">
        <v>7805500</v>
      </c>
      <c r="AO99" s="43">
        <v>174</v>
      </c>
      <c r="AP99" s="43">
        <v>41391680</v>
      </c>
      <c r="AQ99" s="43">
        <v>396</v>
      </c>
      <c r="AR99" s="43">
        <v>90643180</v>
      </c>
      <c r="AS99" s="52">
        <f t="shared" si="25"/>
        <v>0.39285714285714285</v>
      </c>
    </row>
    <row r="100" spans="2:45" x14ac:dyDescent="0.3">
      <c r="B100" s="32" t="s">
        <v>103</v>
      </c>
      <c r="C100" s="10" t="str">
        <f t="shared" si="23"/>
        <v>DJ9D0</v>
      </c>
      <c r="D100" s="10" t="s">
        <v>55</v>
      </c>
      <c r="E100" s="10" t="str">
        <f t="shared" si="15"/>
        <v>W</v>
      </c>
      <c r="F100" s="10" t="str">
        <f t="shared" si="16"/>
        <v>DJ</v>
      </c>
      <c r="G100" s="10" t="s">
        <v>56</v>
      </c>
      <c r="H100" s="4" t="s">
        <v>104</v>
      </c>
      <c r="I100" s="10" t="s">
        <v>105</v>
      </c>
      <c r="J100" s="4">
        <f t="shared" si="24"/>
        <v>1</v>
      </c>
      <c r="K100" s="4">
        <v>1</v>
      </c>
      <c r="L100" s="43">
        <v>339000</v>
      </c>
      <c r="M100" s="78" t="s">
        <v>83</v>
      </c>
      <c r="N100" s="98" t="s">
        <v>84</v>
      </c>
      <c r="O100" s="10" t="s">
        <v>61</v>
      </c>
      <c r="P100" s="63">
        <v>100</v>
      </c>
      <c r="Q100" s="94" t="s">
        <v>85</v>
      </c>
      <c r="R100" s="63" t="s">
        <v>86</v>
      </c>
      <c r="S100" s="96" t="s">
        <v>87</v>
      </c>
      <c r="T100" s="10" t="s">
        <v>65</v>
      </c>
      <c r="U100" s="10"/>
      <c r="V100" s="10" t="s">
        <v>66</v>
      </c>
      <c r="W100" s="10"/>
      <c r="X100" s="9" t="s">
        <v>67</v>
      </c>
      <c r="Y100" s="10" t="s">
        <v>88</v>
      </c>
      <c r="Z100" s="94" t="s">
        <v>89</v>
      </c>
      <c r="AA100" s="94" t="s">
        <v>90</v>
      </c>
      <c r="AB100" s="9" t="s">
        <v>91</v>
      </c>
      <c r="AC100" s="68" t="s">
        <v>92</v>
      </c>
      <c r="AD100" s="69" t="str">
        <f t="shared" si="26"/>
        <v>(다운백 없음)</v>
      </c>
      <c r="AE100" s="65" t="s">
        <v>73</v>
      </c>
      <c r="AF100" s="39" t="s">
        <v>106</v>
      </c>
      <c r="AG100" s="10" t="s">
        <v>75</v>
      </c>
      <c r="AH100" s="4">
        <v>650</v>
      </c>
      <c r="AI100" s="11" t="s">
        <v>107</v>
      </c>
      <c r="AJ100" s="4" t="s">
        <v>108</v>
      </c>
      <c r="AK100" s="50">
        <v>1109</v>
      </c>
      <c r="AL100" s="43">
        <v>375951000</v>
      </c>
      <c r="AM100" s="43">
        <v>79</v>
      </c>
      <c r="AN100" s="43">
        <v>18732980</v>
      </c>
      <c r="AO100" s="43">
        <v>467</v>
      </c>
      <c r="AP100" s="43">
        <v>115511586</v>
      </c>
      <c r="AQ100" s="43">
        <v>865</v>
      </c>
      <c r="AR100" s="43">
        <v>208753316</v>
      </c>
      <c r="AS100" s="52">
        <f t="shared" si="25"/>
        <v>0.77998196573489631</v>
      </c>
    </row>
    <row r="101" spans="2:45" x14ac:dyDescent="0.3">
      <c r="B101" s="32" t="s">
        <v>103</v>
      </c>
      <c r="C101" s="10" t="str">
        <f t="shared" si="23"/>
        <v>DJ9D0</v>
      </c>
      <c r="D101" s="10" t="s">
        <v>55</v>
      </c>
      <c r="E101" s="10" t="str">
        <f t="shared" si="15"/>
        <v>W</v>
      </c>
      <c r="F101" s="10" t="str">
        <f t="shared" si="16"/>
        <v>DJ</v>
      </c>
      <c r="G101" s="10" t="s">
        <v>56</v>
      </c>
      <c r="H101" s="4" t="s">
        <v>104</v>
      </c>
      <c r="I101" s="10" t="s">
        <v>78</v>
      </c>
      <c r="J101" s="4" t="str">
        <f t="shared" si="24"/>
        <v/>
      </c>
      <c r="K101" s="4">
        <v>1</v>
      </c>
      <c r="L101" s="43">
        <v>339000</v>
      </c>
      <c r="M101" s="78" t="s">
        <v>83</v>
      </c>
      <c r="N101" s="98" t="s">
        <v>84</v>
      </c>
      <c r="O101" s="10" t="s">
        <v>61</v>
      </c>
      <c r="P101" s="63">
        <v>100</v>
      </c>
      <c r="Q101" s="94" t="s">
        <v>85</v>
      </c>
      <c r="R101" s="63" t="s">
        <v>86</v>
      </c>
      <c r="S101" s="96" t="s">
        <v>87</v>
      </c>
      <c r="T101" s="10" t="s">
        <v>65</v>
      </c>
      <c r="U101" s="10"/>
      <c r="V101" s="10" t="s">
        <v>66</v>
      </c>
      <c r="W101" s="10"/>
      <c r="X101" s="9" t="s">
        <v>67</v>
      </c>
      <c r="Y101" s="10" t="s">
        <v>88</v>
      </c>
      <c r="Z101" s="94" t="s">
        <v>89</v>
      </c>
      <c r="AA101" s="94" t="s">
        <v>90</v>
      </c>
      <c r="AB101" s="9" t="s">
        <v>91</v>
      </c>
      <c r="AC101" s="68" t="s">
        <v>92</v>
      </c>
      <c r="AD101" s="69" t="str">
        <f t="shared" si="26"/>
        <v>(다운백 없음)</v>
      </c>
      <c r="AE101" s="65" t="s">
        <v>73</v>
      </c>
      <c r="AF101" s="39" t="s">
        <v>106</v>
      </c>
      <c r="AG101" s="10" t="s">
        <v>75</v>
      </c>
      <c r="AH101" s="4">
        <v>650</v>
      </c>
      <c r="AI101" s="11" t="s">
        <v>107</v>
      </c>
      <c r="AJ101" s="4" t="s">
        <v>108</v>
      </c>
      <c r="AK101" s="50">
        <v>1604</v>
      </c>
      <c r="AL101" s="43">
        <v>543756000</v>
      </c>
      <c r="AM101" s="43">
        <v>160</v>
      </c>
      <c r="AN101" s="43">
        <v>37991000</v>
      </c>
      <c r="AO101" s="43">
        <v>1178</v>
      </c>
      <c r="AP101" s="43">
        <v>289450323</v>
      </c>
      <c r="AQ101" s="43">
        <v>1568</v>
      </c>
      <c r="AR101" s="43">
        <v>381404023</v>
      </c>
      <c r="AS101" s="52">
        <f t="shared" si="25"/>
        <v>0.97755610972568574</v>
      </c>
    </row>
    <row r="102" spans="2:45" x14ac:dyDescent="0.3">
      <c r="B102" s="32" t="s">
        <v>109</v>
      </c>
      <c r="C102" s="10" t="str">
        <f t="shared" si="23"/>
        <v>DJ9F0</v>
      </c>
      <c r="D102" s="10" t="s">
        <v>55</v>
      </c>
      <c r="E102" s="10" t="str">
        <f t="shared" si="15"/>
        <v>W</v>
      </c>
      <c r="F102" s="10" t="str">
        <f t="shared" si="16"/>
        <v>DJ</v>
      </c>
      <c r="G102" s="10" t="s">
        <v>56</v>
      </c>
      <c r="H102" s="4" t="s">
        <v>110</v>
      </c>
      <c r="I102" s="10" t="s">
        <v>111</v>
      </c>
      <c r="J102" s="4">
        <f t="shared" si="24"/>
        <v>1</v>
      </c>
      <c r="K102" s="4">
        <v>1</v>
      </c>
      <c r="L102" s="43">
        <v>229000</v>
      </c>
      <c r="M102" s="78" t="s">
        <v>59</v>
      </c>
      <c r="N102" s="98" t="s">
        <v>60</v>
      </c>
      <c r="O102" s="10" t="s">
        <v>61</v>
      </c>
      <c r="P102" s="63">
        <v>100</v>
      </c>
      <c r="Q102" s="94" t="s">
        <v>62</v>
      </c>
      <c r="R102" s="63" t="s">
        <v>63</v>
      </c>
      <c r="S102" s="96" t="s">
        <v>64</v>
      </c>
      <c r="T102" s="10" t="s">
        <v>65</v>
      </c>
      <c r="U102" s="10"/>
      <c r="V102" s="10" t="s">
        <v>66</v>
      </c>
      <c r="W102" s="10"/>
      <c r="X102" s="9" t="s">
        <v>67</v>
      </c>
      <c r="Y102" s="10" t="s">
        <v>68</v>
      </c>
      <c r="Z102" s="94" t="s">
        <v>69</v>
      </c>
      <c r="AA102" s="94" t="s">
        <v>70</v>
      </c>
      <c r="AB102" s="9" t="s">
        <v>71</v>
      </c>
      <c r="AC102" s="10" t="s">
        <v>62</v>
      </c>
      <c r="AD102" s="10" t="s">
        <v>72</v>
      </c>
      <c r="AE102" s="65" t="s">
        <v>73</v>
      </c>
      <c r="AF102" s="39" t="s">
        <v>112</v>
      </c>
      <c r="AG102" s="10" t="s">
        <v>75</v>
      </c>
      <c r="AH102" s="4">
        <v>650</v>
      </c>
      <c r="AI102" s="11" t="s">
        <v>76</v>
      </c>
      <c r="AJ102" s="4" t="s">
        <v>77</v>
      </c>
      <c r="AK102" s="50">
        <v>997</v>
      </c>
      <c r="AL102" s="43">
        <v>228313000</v>
      </c>
      <c r="AM102" s="43">
        <v>8</v>
      </c>
      <c r="AN102" s="43">
        <v>1812000</v>
      </c>
      <c r="AO102" s="43">
        <v>437</v>
      </c>
      <c r="AP102" s="43">
        <v>97527770</v>
      </c>
      <c r="AQ102" s="43">
        <v>587</v>
      </c>
      <c r="AR102" s="43">
        <v>130725033</v>
      </c>
      <c r="AS102" s="52">
        <f t="shared" si="25"/>
        <v>0.58876629889669008</v>
      </c>
    </row>
    <row r="103" spans="2:45" x14ac:dyDescent="0.3">
      <c r="B103" s="32" t="s">
        <v>109</v>
      </c>
      <c r="C103" s="10" t="str">
        <f t="shared" si="23"/>
        <v>DJ9F0</v>
      </c>
      <c r="D103" s="10" t="s">
        <v>55</v>
      </c>
      <c r="E103" s="10" t="str">
        <f t="shared" si="15"/>
        <v>W</v>
      </c>
      <c r="F103" s="10" t="str">
        <f t="shared" si="16"/>
        <v>DJ</v>
      </c>
      <c r="G103" s="10" t="s">
        <v>56</v>
      </c>
      <c r="H103" s="4" t="s">
        <v>110</v>
      </c>
      <c r="I103" s="10" t="s">
        <v>113</v>
      </c>
      <c r="J103" s="4" t="str">
        <f t="shared" si="24"/>
        <v/>
      </c>
      <c r="K103" s="4">
        <v>1</v>
      </c>
      <c r="L103" s="43">
        <v>229000</v>
      </c>
      <c r="M103" s="78" t="s">
        <v>59</v>
      </c>
      <c r="N103" s="98" t="s">
        <v>60</v>
      </c>
      <c r="O103" s="10" t="s">
        <v>61</v>
      </c>
      <c r="P103" s="63">
        <v>100</v>
      </c>
      <c r="Q103" s="94" t="s">
        <v>62</v>
      </c>
      <c r="R103" s="63" t="s">
        <v>63</v>
      </c>
      <c r="S103" s="96" t="s">
        <v>64</v>
      </c>
      <c r="T103" s="10" t="s">
        <v>65</v>
      </c>
      <c r="U103" s="10"/>
      <c r="V103" s="10" t="s">
        <v>66</v>
      </c>
      <c r="W103" s="10"/>
      <c r="X103" s="9" t="s">
        <v>67</v>
      </c>
      <c r="Y103" s="10" t="s">
        <v>68</v>
      </c>
      <c r="Z103" s="94" t="s">
        <v>69</v>
      </c>
      <c r="AA103" s="94" t="s">
        <v>70</v>
      </c>
      <c r="AB103" s="9" t="s">
        <v>71</v>
      </c>
      <c r="AC103" s="10" t="s">
        <v>62</v>
      </c>
      <c r="AD103" s="10" t="s">
        <v>72</v>
      </c>
      <c r="AE103" s="65" t="s">
        <v>73</v>
      </c>
      <c r="AF103" s="39" t="s">
        <v>112</v>
      </c>
      <c r="AG103" s="10" t="s">
        <v>75</v>
      </c>
      <c r="AH103" s="4">
        <v>650</v>
      </c>
      <c r="AI103" s="11" t="s">
        <v>76</v>
      </c>
      <c r="AJ103" s="4" t="s">
        <v>77</v>
      </c>
      <c r="AK103" s="50">
        <v>998</v>
      </c>
      <c r="AL103" s="43">
        <v>228542000</v>
      </c>
      <c r="AM103" s="43">
        <v>15</v>
      </c>
      <c r="AN103" s="43">
        <v>3272400</v>
      </c>
      <c r="AO103" s="43">
        <v>300</v>
      </c>
      <c r="AP103" s="43">
        <v>65512505</v>
      </c>
      <c r="AQ103" s="43">
        <v>463</v>
      </c>
      <c r="AR103" s="43">
        <v>101911394</v>
      </c>
      <c r="AS103" s="52">
        <f t="shared" si="25"/>
        <v>0.46392785571142287</v>
      </c>
    </row>
    <row r="104" spans="2:45" x14ac:dyDescent="0.3">
      <c r="B104" s="32" t="s">
        <v>109</v>
      </c>
      <c r="C104" s="10" t="str">
        <f t="shared" si="23"/>
        <v>DJ9F0</v>
      </c>
      <c r="D104" s="10" t="s">
        <v>55</v>
      </c>
      <c r="E104" s="10" t="str">
        <f t="shared" si="15"/>
        <v>W</v>
      </c>
      <c r="F104" s="10" t="str">
        <f t="shared" si="16"/>
        <v>DJ</v>
      </c>
      <c r="G104" s="10" t="s">
        <v>56</v>
      </c>
      <c r="H104" s="4" t="s">
        <v>110</v>
      </c>
      <c r="I104" s="10" t="s">
        <v>78</v>
      </c>
      <c r="J104" s="4" t="str">
        <f t="shared" si="24"/>
        <v/>
      </c>
      <c r="K104" s="4">
        <v>1</v>
      </c>
      <c r="L104" s="43">
        <v>229000</v>
      </c>
      <c r="M104" s="78" t="s">
        <v>59</v>
      </c>
      <c r="N104" s="98" t="s">
        <v>60</v>
      </c>
      <c r="O104" s="10" t="s">
        <v>61</v>
      </c>
      <c r="P104" s="63">
        <v>100</v>
      </c>
      <c r="Q104" s="94" t="s">
        <v>62</v>
      </c>
      <c r="R104" s="63" t="s">
        <v>63</v>
      </c>
      <c r="S104" s="96" t="s">
        <v>64</v>
      </c>
      <c r="T104" s="10" t="s">
        <v>65</v>
      </c>
      <c r="U104" s="10"/>
      <c r="V104" s="10" t="s">
        <v>66</v>
      </c>
      <c r="W104" s="10"/>
      <c r="X104" s="9" t="s">
        <v>67</v>
      </c>
      <c r="Y104" s="10" t="s">
        <v>68</v>
      </c>
      <c r="Z104" s="94" t="s">
        <v>69</v>
      </c>
      <c r="AA104" s="94" t="s">
        <v>70</v>
      </c>
      <c r="AB104" s="9" t="s">
        <v>71</v>
      </c>
      <c r="AC104" s="10" t="s">
        <v>62</v>
      </c>
      <c r="AD104" s="10" t="s">
        <v>72</v>
      </c>
      <c r="AE104" s="65" t="s">
        <v>73</v>
      </c>
      <c r="AF104" s="39" t="s">
        <v>112</v>
      </c>
      <c r="AG104" s="10" t="s">
        <v>75</v>
      </c>
      <c r="AH104" s="4">
        <v>650</v>
      </c>
      <c r="AI104" s="11" t="s">
        <v>76</v>
      </c>
      <c r="AJ104" s="4" t="s">
        <v>77</v>
      </c>
      <c r="AK104" s="50">
        <v>1493</v>
      </c>
      <c r="AL104" s="43">
        <v>341897000</v>
      </c>
      <c r="AM104" s="43">
        <v>29</v>
      </c>
      <c r="AN104" s="43">
        <v>6545200</v>
      </c>
      <c r="AO104" s="43">
        <v>536</v>
      </c>
      <c r="AP104" s="43">
        <v>119889521</v>
      </c>
      <c r="AQ104" s="43">
        <v>768</v>
      </c>
      <c r="AR104" s="43">
        <v>170939520</v>
      </c>
      <c r="AS104" s="52">
        <f t="shared" si="25"/>
        <v>0.51440053583389145</v>
      </c>
    </row>
    <row r="105" spans="2:45" x14ac:dyDescent="0.3">
      <c r="B105" s="32" t="s">
        <v>114</v>
      </c>
      <c r="C105" s="10" t="str">
        <f t="shared" si="23"/>
        <v>DJ9E0</v>
      </c>
      <c r="D105" s="10" t="s">
        <v>55</v>
      </c>
      <c r="E105" s="10" t="str">
        <f t="shared" si="15"/>
        <v>W</v>
      </c>
      <c r="F105" s="10" t="str">
        <f t="shared" si="16"/>
        <v>DJ</v>
      </c>
      <c r="G105" s="10" t="s">
        <v>56</v>
      </c>
      <c r="H105" s="4" t="s">
        <v>115</v>
      </c>
      <c r="I105" s="10" t="s">
        <v>116</v>
      </c>
      <c r="J105" s="4">
        <f t="shared" si="24"/>
        <v>1</v>
      </c>
      <c r="K105" s="4">
        <v>1</v>
      </c>
      <c r="L105" s="43">
        <v>379000</v>
      </c>
      <c r="M105" s="78" t="s">
        <v>117</v>
      </c>
      <c r="N105" s="98" t="s">
        <v>118</v>
      </c>
      <c r="O105" s="10" t="s">
        <v>61</v>
      </c>
      <c r="P105" s="63">
        <v>100</v>
      </c>
      <c r="Q105" s="94" t="s">
        <v>119</v>
      </c>
      <c r="R105" s="63" t="s">
        <v>120</v>
      </c>
      <c r="S105" s="96" t="s">
        <v>121</v>
      </c>
      <c r="T105" s="10" t="s">
        <v>122</v>
      </c>
      <c r="U105" s="10" t="s">
        <v>123</v>
      </c>
      <c r="V105" s="10" t="s">
        <v>66</v>
      </c>
      <c r="W105" s="10" t="s">
        <v>124</v>
      </c>
      <c r="X105" s="9" t="s">
        <v>67</v>
      </c>
      <c r="Y105" s="10" t="s">
        <v>68</v>
      </c>
      <c r="Z105" s="94" t="s">
        <v>125</v>
      </c>
      <c r="AA105" s="94" t="s">
        <v>90</v>
      </c>
      <c r="AB105" s="9" t="s">
        <v>71</v>
      </c>
      <c r="AC105" s="10" t="s">
        <v>62</v>
      </c>
      <c r="AD105" s="10" t="s">
        <v>72</v>
      </c>
      <c r="AE105" s="65" t="s">
        <v>73</v>
      </c>
      <c r="AF105" s="39" t="s">
        <v>126</v>
      </c>
      <c r="AG105" s="10" t="s">
        <v>127</v>
      </c>
      <c r="AH105" s="4">
        <v>650</v>
      </c>
      <c r="AI105" s="11" t="s">
        <v>128</v>
      </c>
      <c r="AJ105" s="4" t="s">
        <v>129</v>
      </c>
      <c r="AK105" s="50">
        <v>770</v>
      </c>
      <c r="AL105" s="43">
        <v>291830000</v>
      </c>
      <c r="AM105" s="43">
        <v>0</v>
      </c>
      <c r="AN105" s="43">
        <v>0</v>
      </c>
      <c r="AO105" s="43">
        <v>13</v>
      </c>
      <c r="AP105" s="43">
        <v>4626416</v>
      </c>
      <c r="AQ105" s="43">
        <v>25</v>
      </c>
      <c r="AR105" s="43">
        <v>8189016</v>
      </c>
      <c r="AS105" s="52">
        <f t="shared" si="25"/>
        <v>3.2467532467532464E-2</v>
      </c>
    </row>
    <row r="106" spans="2:45" x14ac:dyDescent="0.3">
      <c r="B106" s="32" t="s">
        <v>114</v>
      </c>
      <c r="C106" s="10" t="str">
        <f t="shared" si="23"/>
        <v>DJ9E0</v>
      </c>
      <c r="D106" s="10" t="s">
        <v>55</v>
      </c>
      <c r="E106" s="10" t="str">
        <f t="shared" si="15"/>
        <v>W</v>
      </c>
      <c r="F106" s="10" t="str">
        <f t="shared" si="16"/>
        <v>DJ</v>
      </c>
      <c r="G106" s="10" t="s">
        <v>56</v>
      </c>
      <c r="H106" s="4" t="s">
        <v>115</v>
      </c>
      <c r="I106" s="10" t="s">
        <v>111</v>
      </c>
      <c r="J106" s="4" t="str">
        <f t="shared" si="24"/>
        <v/>
      </c>
      <c r="K106" s="4">
        <v>1</v>
      </c>
      <c r="L106" s="43">
        <v>379000</v>
      </c>
      <c r="M106" s="78" t="s">
        <v>117</v>
      </c>
      <c r="N106" s="98" t="s">
        <v>118</v>
      </c>
      <c r="O106" s="10" t="s">
        <v>61</v>
      </c>
      <c r="P106" s="63">
        <v>100</v>
      </c>
      <c r="Q106" s="94" t="s">
        <v>119</v>
      </c>
      <c r="R106" s="63" t="s">
        <v>120</v>
      </c>
      <c r="S106" s="96" t="s">
        <v>121</v>
      </c>
      <c r="T106" s="10" t="s">
        <v>122</v>
      </c>
      <c r="U106" s="10" t="s">
        <v>123</v>
      </c>
      <c r="V106" s="10" t="s">
        <v>66</v>
      </c>
      <c r="W106" s="10" t="s">
        <v>124</v>
      </c>
      <c r="X106" s="9" t="s">
        <v>67</v>
      </c>
      <c r="Y106" s="10" t="s">
        <v>68</v>
      </c>
      <c r="Z106" s="94" t="s">
        <v>125</v>
      </c>
      <c r="AA106" s="94" t="s">
        <v>90</v>
      </c>
      <c r="AB106" s="9" t="s">
        <v>71</v>
      </c>
      <c r="AC106" s="10" t="s">
        <v>62</v>
      </c>
      <c r="AD106" s="10" t="s">
        <v>72</v>
      </c>
      <c r="AE106" s="65" t="s">
        <v>73</v>
      </c>
      <c r="AF106" s="39" t="s">
        <v>126</v>
      </c>
      <c r="AG106" s="10" t="s">
        <v>127</v>
      </c>
      <c r="AH106" s="4">
        <v>650</v>
      </c>
      <c r="AI106" s="11" t="s">
        <v>128</v>
      </c>
      <c r="AJ106" s="4" t="s">
        <v>129</v>
      </c>
      <c r="AK106" s="50">
        <v>950</v>
      </c>
      <c r="AL106" s="43">
        <v>360050000</v>
      </c>
      <c r="AM106" s="43">
        <v>12</v>
      </c>
      <c r="AN106" s="43">
        <v>4546000</v>
      </c>
      <c r="AO106" s="43">
        <v>47</v>
      </c>
      <c r="AP106" s="43">
        <v>17341854</v>
      </c>
      <c r="AQ106" s="43">
        <v>108</v>
      </c>
      <c r="AR106" s="43">
        <v>35888654</v>
      </c>
      <c r="AS106" s="52">
        <f t="shared" si="25"/>
        <v>0.11368421052631579</v>
      </c>
    </row>
    <row r="107" spans="2:45" x14ac:dyDescent="0.3">
      <c r="B107" s="32" t="s">
        <v>114</v>
      </c>
      <c r="C107" s="10" t="str">
        <f t="shared" si="23"/>
        <v>DJ9E0</v>
      </c>
      <c r="D107" s="10" t="s">
        <v>55</v>
      </c>
      <c r="E107" s="10" t="str">
        <f t="shared" si="15"/>
        <v>W</v>
      </c>
      <c r="F107" s="10" t="str">
        <f t="shared" si="16"/>
        <v>DJ</v>
      </c>
      <c r="G107" s="10" t="s">
        <v>56</v>
      </c>
      <c r="H107" s="4" t="s">
        <v>115</v>
      </c>
      <c r="I107" s="10" t="s">
        <v>78</v>
      </c>
      <c r="J107" s="4" t="str">
        <f t="shared" si="24"/>
        <v/>
      </c>
      <c r="K107" s="4">
        <v>1</v>
      </c>
      <c r="L107" s="43">
        <v>379000</v>
      </c>
      <c r="M107" s="78" t="s">
        <v>117</v>
      </c>
      <c r="N107" s="98" t="s">
        <v>118</v>
      </c>
      <c r="O107" s="10" t="s">
        <v>61</v>
      </c>
      <c r="P107" s="63">
        <v>100</v>
      </c>
      <c r="Q107" s="94" t="s">
        <v>119</v>
      </c>
      <c r="R107" s="63" t="s">
        <v>120</v>
      </c>
      <c r="S107" s="96" t="s">
        <v>121</v>
      </c>
      <c r="T107" s="10" t="s">
        <v>122</v>
      </c>
      <c r="U107" s="10" t="s">
        <v>123</v>
      </c>
      <c r="V107" s="10" t="s">
        <v>66</v>
      </c>
      <c r="W107" s="10" t="s">
        <v>124</v>
      </c>
      <c r="X107" s="9" t="s">
        <v>67</v>
      </c>
      <c r="Y107" s="10" t="s">
        <v>68</v>
      </c>
      <c r="Z107" s="94" t="s">
        <v>125</v>
      </c>
      <c r="AA107" s="94" t="s">
        <v>90</v>
      </c>
      <c r="AB107" s="9" t="s">
        <v>71</v>
      </c>
      <c r="AC107" s="10" t="s">
        <v>62</v>
      </c>
      <c r="AD107" s="10" t="s">
        <v>72</v>
      </c>
      <c r="AE107" s="65" t="s">
        <v>73</v>
      </c>
      <c r="AF107" s="39" t="s">
        <v>126</v>
      </c>
      <c r="AG107" s="10" t="s">
        <v>127</v>
      </c>
      <c r="AH107" s="4">
        <v>650</v>
      </c>
      <c r="AI107" s="11" t="s">
        <v>128</v>
      </c>
      <c r="AJ107" s="4" t="s">
        <v>129</v>
      </c>
      <c r="AK107" s="50">
        <v>1155</v>
      </c>
      <c r="AL107" s="43">
        <v>437745000</v>
      </c>
      <c r="AM107" s="43">
        <v>17</v>
      </c>
      <c r="AN107" s="43">
        <v>6417000</v>
      </c>
      <c r="AO107" s="43">
        <v>83</v>
      </c>
      <c r="AP107" s="43">
        <v>31154681</v>
      </c>
      <c r="AQ107" s="43">
        <v>227</v>
      </c>
      <c r="AR107" s="43">
        <v>74565901</v>
      </c>
      <c r="AS107" s="52">
        <f t="shared" si="25"/>
        <v>0.19653679653679654</v>
      </c>
    </row>
    <row r="108" spans="2:45" x14ac:dyDescent="0.3">
      <c r="B108" s="32" t="s">
        <v>130</v>
      </c>
      <c r="C108" s="10" t="str">
        <f t="shared" si="23"/>
        <v>DJ930</v>
      </c>
      <c r="D108" s="10" t="s">
        <v>55</v>
      </c>
      <c r="E108" s="10" t="str">
        <f t="shared" si="15"/>
        <v>W</v>
      </c>
      <c r="F108" s="10" t="str">
        <f t="shared" si="16"/>
        <v>DJ</v>
      </c>
      <c r="G108" s="10" t="s">
        <v>56</v>
      </c>
      <c r="H108" s="4" t="s">
        <v>131</v>
      </c>
      <c r="I108" s="10" t="s">
        <v>113</v>
      </c>
      <c r="J108" s="4">
        <f t="shared" si="24"/>
        <v>1</v>
      </c>
      <c r="K108" s="4">
        <v>1</v>
      </c>
      <c r="L108" s="43">
        <v>279000</v>
      </c>
      <c r="M108" s="78" t="s">
        <v>132</v>
      </c>
      <c r="N108" s="98" t="s">
        <v>133</v>
      </c>
      <c r="O108" s="10" t="s">
        <v>61</v>
      </c>
      <c r="P108" s="63">
        <v>100</v>
      </c>
      <c r="Q108" s="94" t="s">
        <v>85</v>
      </c>
      <c r="R108" s="63" t="s">
        <v>134</v>
      </c>
      <c r="S108" s="96" t="s">
        <v>135</v>
      </c>
      <c r="T108" s="10" t="s">
        <v>122</v>
      </c>
      <c r="U108" s="10" t="s">
        <v>136</v>
      </c>
      <c r="V108" s="10" t="s">
        <v>66</v>
      </c>
      <c r="W108" s="10"/>
      <c r="X108" s="9" t="s">
        <v>67</v>
      </c>
      <c r="Y108" s="10" t="s">
        <v>68</v>
      </c>
      <c r="Z108" s="94" t="s">
        <v>125</v>
      </c>
      <c r="AA108" s="94" t="s">
        <v>90</v>
      </c>
      <c r="AB108" s="9" t="s">
        <v>71</v>
      </c>
      <c r="AC108" s="10" t="s">
        <v>62</v>
      </c>
      <c r="AD108" s="10" t="s">
        <v>72</v>
      </c>
      <c r="AE108" s="65" t="s">
        <v>137</v>
      </c>
      <c r="AF108" s="39" t="s">
        <v>106</v>
      </c>
      <c r="AG108" s="10" t="s">
        <v>127</v>
      </c>
      <c r="AH108" s="4">
        <v>650</v>
      </c>
      <c r="AI108" s="11" t="s">
        <v>128</v>
      </c>
      <c r="AJ108" s="4" t="s">
        <v>94</v>
      </c>
      <c r="AK108" s="50">
        <v>5602</v>
      </c>
      <c r="AL108" s="43">
        <v>1562958000</v>
      </c>
      <c r="AM108" s="43">
        <v>371</v>
      </c>
      <c r="AN108" s="43">
        <v>102393107</v>
      </c>
      <c r="AO108" s="43">
        <v>1500</v>
      </c>
      <c r="AP108" s="43">
        <v>412705796</v>
      </c>
      <c r="AQ108" s="43">
        <v>3493</v>
      </c>
      <c r="AR108" s="43">
        <v>948034537</v>
      </c>
      <c r="AS108" s="52">
        <f t="shared" si="25"/>
        <v>0.62352731167440201</v>
      </c>
    </row>
    <row r="109" spans="2:45" x14ac:dyDescent="0.3">
      <c r="B109" s="32" t="s">
        <v>130</v>
      </c>
      <c r="C109" s="10" t="str">
        <f t="shared" si="23"/>
        <v>DJ930</v>
      </c>
      <c r="D109" s="10" t="s">
        <v>55</v>
      </c>
      <c r="E109" s="10" t="str">
        <f t="shared" si="15"/>
        <v>W</v>
      </c>
      <c r="F109" s="10" t="str">
        <f t="shared" si="16"/>
        <v>DJ</v>
      </c>
      <c r="G109" s="10" t="s">
        <v>56</v>
      </c>
      <c r="H109" s="4" t="s">
        <v>131</v>
      </c>
      <c r="I109" s="10" t="s">
        <v>79</v>
      </c>
      <c r="J109" s="4" t="str">
        <f t="shared" si="24"/>
        <v/>
      </c>
      <c r="K109" s="4">
        <v>1</v>
      </c>
      <c r="L109" s="43">
        <v>279000</v>
      </c>
      <c r="M109" s="78" t="s">
        <v>132</v>
      </c>
      <c r="N109" s="98" t="s">
        <v>133</v>
      </c>
      <c r="O109" s="10" t="s">
        <v>61</v>
      </c>
      <c r="P109" s="63">
        <v>100</v>
      </c>
      <c r="Q109" s="94" t="s">
        <v>85</v>
      </c>
      <c r="R109" s="63" t="s">
        <v>134</v>
      </c>
      <c r="S109" s="96" t="s">
        <v>135</v>
      </c>
      <c r="T109" s="10" t="s">
        <v>122</v>
      </c>
      <c r="U109" s="10" t="s">
        <v>136</v>
      </c>
      <c r="V109" s="10" t="s">
        <v>66</v>
      </c>
      <c r="W109" s="10"/>
      <c r="X109" s="9" t="s">
        <v>67</v>
      </c>
      <c r="Y109" s="10" t="s">
        <v>68</v>
      </c>
      <c r="Z109" s="94" t="s">
        <v>125</v>
      </c>
      <c r="AA109" s="94" t="s">
        <v>90</v>
      </c>
      <c r="AB109" s="9" t="s">
        <v>71</v>
      </c>
      <c r="AC109" s="10" t="s">
        <v>62</v>
      </c>
      <c r="AD109" s="10" t="s">
        <v>72</v>
      </c>
      <c r="AE109" s="65" t="s">
        <v>137</v>
      </c>
      <c r="AF109" s="39" t="s">
        <v>106</v>
      </c>
      <c r="AG109" s="10" t="s">
        <v>127</v>
      </c>
      <c r="AH109" s="4">
        <v>650</v>
      </c>
      <c r="AI109" s="11" t="s">
        <v>128</v>
      </c>
      <c r="AJ109" s="4" t="s">
        <v>94</v>
      </c>
      <c r="AK109" s="50">
        <v>10190</v>
      </c>
      <c r="AL109" s="43">
        <v>2843010000</v>
      </c>
      <c r="AM109" s="43">
        <v>483</v>
      </c>
      <c r="AN109" s="43">
        <v>133497021</v>
      </c>
      <c r="AO109" s="43">
        <v>2098</v>
      </c>
      <c r="AP109" s="43">
        <v>578317896</v>
      </c>
      <c r="AQ109" s="43">
        <v>4672</v>
      </c>
      <c r="AR109" s="43">
        <v>1270703725</v>
      </c>
      <c r="AS109" s="52">
        <f t="shared" si="25"/>
        <v>0.45848871442590777</v>
      </c>
    </row>
    <row r="110" spans="2:45" x14ac:dyDescent="0.3">
      <c r="B110" s="32" t="s">
        <v>130</v>
      </c>
      <c r="C110" s="10" t="str">
        <f t="shared" si="23"/>
        <v>DJ930</v>
      </c>
      <c r="D110" s="10" t="s">
        <v>55</v>
      </c>
      <c r="E110" s="10" t="str">
        <f t="shared" si="15"/>
        <v>W</v>
      </c>
      <c r="F110" s="10" t="str">
        <f t="shared" si="16"/>
        <v>DJ</v>
      </c>
      <c r="G110" s="10" t="s">
        <v>56</v>
      </c>
      <c r="H110" s="4" t="s">
        <v>131</v>
      </c>
      <c r="I110" s="10" t="s">
        <v>138</v>
      </c>
      <c r="J110" s="4" t="str">
        <f t="shared" si="24"/>
        <v/>
      </c>
      <c r="K110" s="4">
        <v>1</v>
      </c>
      <c r="L110" s="43">
        <v>279000</v>
      </c>
      <c r="M110" s="78" t="s">
        <v>132</v>
      </c>
      <c r="N110" s="98" t="s">
        <v>133</v>
      </c>
      <c r="O110" s="10" t="s">
        <v>61</v>
      </c>
      <c r="P110" s="63">
        <v>100</v>
      </c>
      <c r="Q110" s="94" t="s">
        <v>85</v>
      </c>
      <c r="R110" s="63" t="s">
        <v>134</v>
      </c>
      <c r="S110" s="96" t="s">
        <v>135</v>
      </c>
      <c r="T110" s="10" t="s">
        <v>122</v>
      </c>
      <c r="U110" s="10" t="s">
        <v>136</v>
      </c>
      <c r="V110" s="10" t="s">
        <v>66</v>
      </c>
      <c r="W110" s="10"/>
      <c r="X110" s="9" t="s">
        <v>67</v>
      </c>
      <c r="Y110" s="10" t="s">
        <v>68</v>
      </c>
      <c r="Z110" s="94" t="s">
        <v>125</v>
      </c>
      <c r="AA110" s="94" t="s">
        <v>90</v>
      </c>
      <c r="AB110" s="9" t="s">
        <v>71</v>
      </c>
      <c r="AC110" s="10" t="s">
        <v>62</v>
      </c>
      <c r="AD110" s="10" t="s">
        <v>72</v>
      </c>
      <c r="AE110" s="65" t="s">
        <v>137</v>
      </c>
      <c r="AF110" s="39" t="s">
        <v>106</v>
      </c>
      <c r="AG110" s="10" t="s">
        <v>127</v>
      </c>
      <c r="AH110" s="4">
        <v>650</v>
      </c>
      <c r="AI110" s="11" t="s">
        <v>128</v>
      </c>
      <c r="AJ110" s="4" t="s">
        <v>94</v>
      </c>
      <c r="AK110" s="50">
        <v>3042</v>
      </c>
      <c r="AL110" s="43">
        <v>848718000</v>
      </c>
      <c r="AM110" s="43">
        <v>231</v>
      </c>
      <c r="AN110" s="43">
        <v>63758268</v>
      </c>
      <c r="AO110" s="43">
        <v>1091</v>
      </c>
      <c r="AP110" s="43">
        <v>299292932</v>
      </c>
      <c r="AQ110" s="43">
        <v>2330</v>
      </c>
      <c r="AR110" s="43">
        <v>631287623</v>
      </c>
      <c r="AS110" s="52">
        <f t="shared" si="25"/>
        <v>0.76594345825115051</v>
      </c>
    </row>
    <row r="111" spans="2:45" x14ac:dyDescent="0.3">
      <c r="B111" s="32" t="s">
        <v>130</v>
      </c>
      <c r="C111" s="10" t="str">
        <f t="shared" si="23"/>
        <v>DJ930</v>
      </c>
      <c r="D111" s="10" t="s">
        <v>55</v>
      </c>
      <c r="E111" s="10" t="str">
        <f t="shared" si="15"/>
        <v>W</v>
      </c>
      <c r="F111" s="10" t="str">
        <f t="shared" si="16"/>
        <v>DJ</v>
      </c>
      <c r="G111" s="10" t="s">
        <v>56</v>
      </c>
      <c r="H111" s="4" t="s">
        <v>131</v>
      </c>
      <c r="I111" s="10" t="s">
        <v>139</v>
      </c>
      <c r="J111" s="4" t="str">
        <f t="shared" si="24"/>
        <v/>
      </c>
      <c r="K111" s="4">
        <v>1</v>
      </c>
      <c r="L111" s="43">
        <v>279000</v>
      </c>
      <c r="M111" s="78" t="s">
        <v>132</v>
      </c>
      <c r="N111" s="98" t="s">
        <v>133</v>
      </c>
      <c r="O111" s="10" t="s">
        <v>61</v>
      </c>
      <c r="P111" s="63">
        <v>100</v>
      </c>
      <c r="Q111" s="94" t="s">
        <v>85</v>
      </c>
      <c r="R111" s="63" t="s">
        <v>134</v>
      </c>
      <c r="S111" s="96" t="s">
        <v>135</v>
      </c>
      <c r="T111" s="10" t="s">
        <v>122</v>
      </c>
      <c r="U111" s="10" t="s">
        <v>136</v>
      </c>
      <c r="V111" s="10" t="s">
        <v>66</v>
      </c>
      <c r="W111" s="10"/>
      <c r="X111" s="9" t="s">
        <v>67</v>
      </c>
      <c r="Y111" s="10" t="s">
        <v>68</v>
      </c>
      <c r="Z111" s="94" t="s">
        <v>125</v>
      </c>
      <c r="AA111" s="94" t="s">
        <v>90</v>
      </c>
      <c r="AB111" s="9" t="s">
        <v>71</v>
      </c>
      <c r="AC111" s="10" t="s">
        <v>62</v>
      </c>
      <c r="AD111" s="10" t="s">
        <v>72</v>
      </c>
      <c r="AE111" s="65" t="s">
        <v>137</v>
      </c>
      <c r="AF111" s="39" t="s">
        <v>106</v>
      </c>
      <c r="AG111" s="10" t="s">
        <v>127</v>
      </c>
      <c r="AH111" s="4">
        <v>650</v>
      </c>
      <c r="AI111" s="11" t="s">
        <v>128</v>
      </c>
      <c r="AJ111" s="4" t="s">
        <v>94</v>
      </c>
      <c r="AK111" s="50">
        <v>2012</v>
      </c>
      <c r="AL111" s="43">
        <v>561348000</v>
      </c>
      <c r="AM111" s="43">
        <v>33</v>
      </c>
      <c r="AN111" s="43">
        <v>9168861</v>
      </c>
      <c r="AO111" s="43">
        <v>184</v>
      </c>
      <c r="AP111" s="43">
        <v>50610238</v>
      </c>
      <c r="AQ111" s="43">
        <v>416</v>
      </c>
      <c r="AR111" s="43">
        <v>113347710</v>
      </c>
      <c r="AS111" s="52">
        <f t="shared" si="25"/>
        <v>0.20675944333996024</v>
      </c>
    </row>
    <row r="112" spans="2:45" x14ac:dyDescent="0.3">
      <c r="B112" s="32" t="s">
        <v>130</v>
      </c>
      <c r="C112" s="10" t="str">
        <f t="shared" si="23"/>
        <v>DJ930</v>
      </c>
      <c r="D112" s="10" t="s">
        <v>55</v>
      </c>
      <c r="E112" s="10" t="str">
        <f t="shared" si="15"/>
        <v>W</v>
      </c>
      <c r="F112" s="10" t="str">
        <f t="shared" si="16"/>
        <v>DJ</v>
      </c>
      <c r="G112" s="10" t="s">
        <v>56</v>
      </c>
      <c r="H112" s="4" t="s">
        <v>131</v>
      </c>
      <c r="I112" s="10" t="s">
        <v>78</v>
      </c>
      <c r="J112" s="4" t="str">
        <f t="shared" si="24"/>
        <v/>
      </c>
      <c r="K112" s="4">
        <v>1</v>
      </c>
      <c r="L112" s="43">
        <v>279000</v>
      </c>
      <c r="M112" s="78" t="s">
        <v>132</v>
      </c>
      <c r="N112" s="98" t="s">
        <v>133</v>
      </c>
      <c r="O112" s="10" t="s">
        <v>61</v>
      </c>
      <c r="P112" s="63">
        <v>100</v>
      </c>
      <c r="Q112" s="94" t="s">
        <v>85</v>
      </c>
      <c r="R112" s="63" t="s">
        <v>134</v>
      </c>
      <c r="S112" s="96" t="s">
        <v>135</v>
      </c>
      <c r="T112" s="10" t="s">
        <v>122</v>
      </c>
      <c r="U112" s="10" t="s">
        <v>136</v>
      </c>
      <c r="V112" s="10" t="s">
        <v>66</v>
      </c>
      <c r="W112" s="10"/>
      <c r="X112" s="9" t="s">
        <v>67</v>
      </c>
      <c r="Y112" s="10" t="s">
        <v>68</v>
      </c>
      <c r="Z112" s="94" t="s">
        <v>125</v>
      </c>
      <c r="AA112" s="94" t="s">
        <v>90</v>
      </c>
      <c r="AB112" s="9" t="s">
        <v>71</v>
      </c>
      <c r="AC112" s="10" t="s">
        <v>62</v>
      </c>
      <c r="AD112" s="10" t="s">
        <v>72</v>
      </c>
      <c r="AE112" s="65" t="s">
        <v>137</v>
      </c>
      <c r="AF112" s="39" t="s">
        <v>106</v>
      </c>
      <c r="AG112" s="10" t="s">
        <v>127</v>
      </c>
      <c r="AH112" s="4">
        <v>650</v>
      </c>
      <c r="AI112" s="11" t="s">
        <v>128</v>
      </c>
      <c r="AJ112" s="4" t="s">
        <v>94</v>
      </c>
      <c r="AK112" s="50">
        <v>10619</v>
      </c>
      <c r="AL112" s="43">
        <v>2962701000</v>
      </c>
      <c r="AM112" s="43">
        <v>896</v>
      </c>
      <c r="AN112" s="43">
        <v>247662771</v>
      </c>
      <c r="AO112" s="43">
        <v>3376</v>
      </c>
      <c r="AP112" s="43">
        <v>931994651</v>
      </c>
      <c r="AQ112" s="43">
        <v>7985</v>
      </c>
      <c r="AR112" s="43">
        <v>2173706668</v>
      </c>
      <c r="AS112" s="52">
        <f t="shared" si="25"/>
        <v>0.75195404463697146</v>
      </c>
    </row>
    <row r="113" spans="2:45" x14ac:dyDescent="0.3">
      <c r="B113" s="32" t="s">
        <v>130</v>
      </c>
      <c r="C113" s="10" t="str">
        <f t="shared" si="23"/>
        <v>DJ930</v>
      </c>
      <c r="D113" s="10" t="s">
        <v>55</v>
      </c>
      <c r="E113" s="10" t="str">
        <f t="shared" si="15"/>
        <v>W</v>
      </c>
      <c r="F113" s="10" t="str">
        <f t="shared" si="16"/>
        <v>DJ</v>
      </c>
      <c r="G113" s="10" t="s">
        <v>56</v>
      </c>
      <c r="H113" s="4" t="s">
        <v>131</v>
      </c>
      <c r="I113" s="10" t="s">
        <v>140</v>
      </c>
      <c r="J113" s="4" t="str">
        <f t="shared" si="24"/>
        <v/>
      </c>
      <c r="K113" s="4">
        <v>1</v>
      </c>
      <c r="L113" s="43">
        <v>279000</v>
      </c>
      <c r="M113" s="78" t="s">
        <v>141</v>
      </c>
      <c r="N113" s="98" t="s">
        <v>142</v>
      </c>
      <c r="O113" s="10" t="s">
        <v>143</v>
      </c>
      <c r="P113" s="63">
        <v>100</v>
      </c>
      <c r="Q113" s="94" t="s">
        <v>144</v>
      </c>
      <c r="R113" s="63" t="s">
        <v>145</v>
      </c>
      <c r="S113" s="96" t="s">
        <v>146</v>
      </c>
      <c r="T113" s="10" t="s">
        <v>65</v>
      </c>
      <c r="U113" s="10"/>
      <c r="V113" s="10" t="s">
        <v>66</v>
      </c>
      <c r="W113" s="10"/>
      <c r="X113" s="9" t="s">
        <v>67</v>
      </c>
      <c r="Y113" s="10" t="s">
        <v>68</v>
      </c>
      <c r="Z113" s="94" t="s">
        <v>69</v>
      </c>
      <c r="AA113" s="94" t="s">
        <v>147</v>
      </c>
      <c r="AB113" s="9" t="s">
        <v>71</v>
      </c>
      <c r="AC113" s="10" t="s">
        <v>62</v>
      </c>
      <c r="AD113" s="10" t="s">
        <v>72</v>
      </c>
      <c r="AE113" s="65" t="s">
        <v>137</v>
      </c>
      <c r="AF113" s="39" t="s">
        <v>106</v>
      </c>
      <c r="AG113" s="10" t="s">
        <v>127</v>
      </c>
      <c r="AH113" s="4">
        <v>650</v>
      </c>
      <c r="AI113" s="11" t="s">
        <v>128</v>
      </c>
      <c r="AJ113" s="4" t="s">
        <v>94</v>
      </c>
      <c r="AK113" s="50">
        <v>2033</v>
      </c>
      <c r="AL113" s="43">
        <v>567207000</v>
      </c>
      <c r="AM113" s="43">
        <v>251</v>
      </c>
      <c r="AN113" s="43">
        <v>68813216</v>
      </c>
      <c r="AO113" s="43">
        <v>1024</v>
      </c>
      <c r="AP113" s="43">
        <v>281593831</v>
      </c>
      <c r="AQ113" s="43">
        <v>1849</v>
      </c>
      <c r="AR113" s="43">
        <v>502215616</v>
      </c>
      <c r="AS113" s="52">
        <f t="shared" si="25"/>
        <v>0.90949335956714217</v>
      </c>
    </row>
    <row r="114" spans="2:45" x14ac:dyDescent="0.3">
      <c r="B114" s="32" t="s">
        <v>130</v>
      </c>
      <c r="C114" s="10" t="str">
        <f t="shared" si="23"/>
        <v>DJ930</v>
      </c>
      <c r="D114" s="10" t="s">
        <v>148</v>
      </c>
      <c r="E114" s="10" t="str">
        <f t="shared" si="15"/>
        <v>W</v>
      </c>
      <c r="F114" s="10" t="str">
        <f t="shared" si="16"/>
        <v>DJ</v>
      </c>
      <c r="G114" s="10" t="s">
        <v>56</v>
      </c>
      <c r="H114" s="4" t="s">
        <v>131</v>
      </c>
      <c r="I114" s="10" t="s">
        <v>149</v>
      </c>
      <c r="J114" s="4" t="str">
        <f t="shared" si="24"/>
        <v/>
      </c>
      <c r="K114" s="4">
        <v>1</v>
      </c>
      <c r="L114" s="43">
        <v>279000</v>
      </c>
      <c r="M114" s="78" t="s">
        <v>150</v>
      </c>
      <c r="N114" s="98" t="s">
        <v>151</v>
      </c>
      <c r="O114" s="10" t="s">
        <v>143</v>
      </c>
      <c r="P114" s="63">
        <v>100</v>
      </c>
      <c r="Q114" s="94" t="s">
        <v>144</v>
      </c>
      <c r="R114" s="63" t="s">
        <v>145</v>
      </c>
      <c r="S114" s="96" t="s">
        <v>152</v>
      </c>
      <c r="T114" s="10" t="s">
        <v>65</v>
      </c>
      <c r="U114" s="10"/>
      <c r="V114" s="10" t="s">
        <v>153</v>
      </c>
      <c r="W114" s="10"/>
      <c r="X114" s="9" t="s">
        <v>67</v>
      </c>
      <c r="Y114" s="10" t="s">
        <v>68</v>
      </c>
      <c r="Z114" s="94" t="s">
        <v>154</v>
      </c>
      <c r="AA114" s="94" t="s">
        <v>147</v>
      </c>
      <c r="AB114" s="9" t="s">
        <v>71</v>
      </c>
      <c r="AC114" s="10" t="s">
        <v>62</v>
      </c>
      <c r="AD114" s="10" t="s">
        <v>72</v>
      </c>
      <c r="AE114" s="65" t="s">
        <v>137</v>
      </c>
      <c r="AF114" s="39" t="s">
        <v>106</v>
      </c>
      <c r="AG114" s="10" t="s">
        <v>127</v>
      </c>
      <c r="AH114" s="4">
        <v>650</v>
      </c>
      <c r="AI114" s="11" t="s">
        <v>128</v>
      </c>
      <c r="AJ114" s="4" t="s">
        <v>94</v>
      </c>
      <c r="AK114" s="50">
        <v>1560</v>
      </c>
      <c r="AL114" s="43">
        <v>435240000</v>
      </c>
      <c r="AM114" s="43">
        <v>135</v>
      </c>
      <c r="AN114" s="43">
        <v>37191052</v>
      </c>
      <c r="AO114" s="43">
        <v>543</v>
      </c>
      <c r="AP114" s="43">
        <v>149071994</v>
      </c>
      <c r="AQ114" s="43">
        <v>1114</v>
      </c>
      <c r="AR114" s="43">
        <v>301186611</v>
      </c>
      <c r="AS114" s="52">
        <f t="shared" si="25"/>
        <v>0.71410256410256412</v>
      </c>
    </row>
    <row r="115" spans="2:45" x14ac:dyDescent="0.3">
      <c r="B115" s="32" t="s">
        <v>130</v>
      </c>
      <c r="C115" s="10" t="str">
        <f t="shared" si="23"/>
        <v>DJ930</v>
      </c>
      <c r="D115" s="10" t="s">
        <v>148</v>
      </c>
      <c r="E115" s="10" t="str">
        <f t="shared" si="15"/>
        <v>W</v>
      </c>
      <c r="F115" s="10" t="str">
        <f t="shared" si="16"/>
        <v>DJ</v>
      </c>
      <c r="G115" s="10" t="s">
        <v>56</v>
      </c>
      <c r="H115" s="4" t="s">
        <v>131</v>
      </c>
      <c r="I115" s="10" t="s">
        <v>155</v>
      </c>
      <c r="J115" s="4" t="str">
        <f t="shared" si="24"/>
        <v/>
      </c>
      <c r="K115" s="4">
        <v>1</v>
      </c>
      <c r="L115" s="43">
        <v>279000</v>
      </c>
      <c r="M115" s="78" t="s">
        <v>132</v>
      </c>
      <c r="N115" s="98" t="s">
        <v>133</v>
      </c>
      <c r="O115" s="10" t="s">
        <v>61</v>
      </c>
      <c r="P115" s="63">
        <v>100</v>
      </c>
      <c r="Q115" s="94" t="s">
        <v>85</v>
      </c>
      <c r="R115" s="63" t="s">
        <v>134</v>
      </c>
      <c r="S115" s="96" t="s">
        <v>135</v>
      </c>
      <c r="T115" s="10" t="s">
        <v>122</v>
      </c>
      <c r="U115" s="10" t="s">
        <v>136</v>
      </c>
      <c r="V115" s="10" t="s">
        <v>66</v>
      </c>
      <c r="W115" s="10"/>
      <c r="X115" s="9" t="s">
        <v>67</v>
      </c>
      <c r="Y115" s="10" t="s">
        <v>68</v>
      </c>
      <c r="Z115" s="94" t="s">
        <v>125</v>
      </c>
      <c r="AA115" s="94" t="s">
        <v>90</v>
      </c>
      <c r="AB115" s="9" t="s">
        <v>71</v>
      </c>
      <c r="AC115" s="10" t="s">
        <v>62</v>
      </c>
      <c r="AD115" s="10" t="s">
        <v>72</v>
      </c>
      <c r="AE115" s="65" t="s">
        <v>137</v>
      </c>
      <c r="AF115" s="39" t="s">
        <v>106</v>
      </c>
      <c r="AG115" s="10" t="s">
        <v>127</v>
      </c>
      <c r="AH115" s="4">
        <v>650</v>
      </c>
      <c r="AI115" s="11" t="s">
        <v>128</v>
      </c>
      <c r="AJ115" s="4" t="s">
        <v>94</v>
      </c>
      <c r="AK115" s="50">
        <v>1452</v>
      </c>
      <c r="AL115" s="43">
        <v>405108000</v>
      </c>
      <c r="AM115" s="43">
        <v>26</v>
      </c>
      <c r="AN115" s="43">
        <v>7166809</v>
      </c>
      <c r="AO115" s="43">
        <v>35</v>
      </c>
      <c r="AP115" s="43">
        <v>9647809</v>
      </c>
      <c r="AQ115" s="43">
        <v>273</v>
      </c>
      <c r="AR115" s="43">
        <v>73447486</v>
      </c>
      <c r="AS115" s="52">
        <f t="shared" si="25"/>
        <v>0.18801652892561985</v>
      </c>
    </row>
    <row r="116" spans="2:45" x14ac:dyDescent="0.3">
      <c r="B116" s="32" t="s">
        <v>156</v>
      </c>
      <c r="C116" s="10" t="str">
        <f t="shared" si="23"/>
        <v>DJ970</v>
      </c>
      <c r="D116" s="10" t="s">
        <v>55</v>
      </c>
      <c r="E116" s="10" t="str">
        <f t="shared" si="15"/>
        <v>W</v>
      </c>
      <c r="F116" s="10" t="str">
        <f t="shared" si="16"/>
        <v>DJ</v>
      </c>
      <c r="G116" s="10" t="s">
        <v>56</v>
      </c>
      <c r="H116" s="4" t="s">
        <v>157</v>
      </c>
      <c r="I116" s="10" t="s">
        <v>78</v>
      </c>
      <c r="J116" s="4">
        <f t="shared" si="24"/>
        <v>1</v>
      </c>
      <c r="K116" s="4">
        <v>1</v>
      </c>
      <c r="L116" s="43">
        <v>279000</v>
      </c>
      <c r="M116" s="78" t="s">
        <v>132</v>
      </c>
      <c r="N116" s="98" t="s">
        <v>133</v>
      </c>
      <c r="O116" s="10" t="s">
        <v>61</v>
      </c>
      <c r="P116" s="63">
        <v>100</v>
      </c>
      <c r="Q116" s="94" t="s">
        <v>85</v>
      </c>
      <c r="R116" s="63" t="s">
        <v>134</v>
      </c>
      <c r="S116" s="96" t="s">
        <v>135</v>
      </c>
      <c r="T116" s="10" t="s">
        <v>122</v>
      </c>
      <c r="U116" s="10" t="s">
        <v>136</v>
      </c>
      <c r="V116" s="10" t="s">
        <v>66</v>
      </c>
      <c r="W116" s="10"/>
      <c r="X116" s="9" t="s">
        <v>67</v>
      </c>
      <c r="Y116" s="10" t="s">
        <v>68</v>
      </c>
      <c r="Z116" s="94" t="s">
        <v>125</v>
      </c>
      <c r="AA116" s="94" t="s">
        <v>90</v>
      </c>
      <c r="AB116" s="9" t="s">
        <v>71</v>
      </c>
      <c r="AC116" s="10" t="s">
        <v>62</v>
      </c>
      <c r="AD116" s="10" t="s">
        <v>72</v>
      </c>
      <c r="AE116" s="65" t="s">
        <v>137</v>
      </c>
      <c r="AF116" s="39" t="s">
        <v>158</v>
      </c>
      <c r="AG116" s="10" t="s">
        <v>127</v>
      </c>
      <c r="AH116" s="4">
        <v>650</v>
      </c>
      <c r="AI116" s="11" t="s">
        <v>128</v>
      </c>
      <c r="AJ116" s="4" t="s">
        <v>129</v>
      </c>
      <c r="AK116" s="50">
        <v>2849</v>
      </c>
      <c r="AL116" s="43">
        <v>794871000</v>
      </c>
      <c r="AM116" s="43">
        <v>250</v>
      </c>
      <c r="AN116" s="43">
        <v>68883850</v>
      </c>
      <c r="AO116" s="43">
        <v>1150</v>
      </c>
      <c r="AP116" s="43">
        <v>317272889</v>
      </c>
      <c r="AQ116" s="43">
        <v>1962</v>
      </c>
      <c r="AR116" s="43">
        <v>535314075</v>
      </c>
      <c r="AS116" s="52">
        <f t="shared" si="25"/>
        <v>0.68866268866268865</v>
      </c>
    </row>
    <row r="117" spans="2:45" x14ac:dyDescent="0.3">
      <c r="B117" s="32" t="s">
        <v>156</v>
      </c>
      <c r="C117" s="10" t="str">
        <f t="shared" si="23"/>
        <v>DJ970</v>
      </c>
      <c r="D117" s="10" t="s">
        <v>55</v>
      </c>
      <c r="E117" s="10" t="str">
        <f t="shared" si="15"/>
        <v>W</v>
      </c>
      <c r="F117" s="10" t="str">
        <f t="shared" si="16"/>
        <v>DJ</v>
      </c>
      <c r="G117" s="10" t="s">
        <v>56</v>
      </c>
      <c r="H117" s="4" t="s">
        <v>157</v>
      </c>
      <c r="I117" s="10" t="s">
        <v>79</v>
      </c>
      <c r="J117" s="4" t="str">
        <f t="shared" si="24"/>
        <v/>
      </c>
      <c r="K117" s="4">
        <v>1</v>
      </c>
      <c r="L117" s="43">
        <v>279000</v>
      </c>
      <c r="M117" s="78" t="s">
        <v>132</v>
      </c>
      <c r="N117" s="98" t="s">
        <v>133</v>
      </c>
      <c r="O117" s="10" t="s">
        <v>61</v>
      </c>
      <c r="P117" s="63">
        <v>100</v>
      </c>
      <c r="Q117" s="94" t="s">
        <v>85</v>
      </c>
      <c r="R117" s="63" t="s">
        <v>134</v>
      </c>
      <c r="S117" s="96" t="s">
        <v>135</v>
      </c>
      <c r="T117" s="10" t="s">
        <v>122</v>
      </c>
      <c r="U117" s="10" t="s">
        <v>136</v>
      </c>
      <c r="V117" s="10" t="s">
        <v>66</v>
      </c>
      <c r="W117" s="10"/>
      <c r="X117" s="9" t="s">
        <v>67</v>
      </c>
      <c r="Y117" s="10" t="s">
        <v>68</v>
      </c>
      <c r="Z117" s="94" t="s">
        <v>125</v>
      </c>
      <c r="AA117" s="94" t="s">
        <v>90</v>
      </c>
      <c r="AB117" s="9" t="s">
        <v>71</v>
      </c>
      <c r="AC117" s="10" t="s">
        <v>62</v>
      </c>
      <c r="AD117" s="10" t="s">
        <v>72</v>
      </c>
      <c r="AE117" s="65" t="s">
        <v>137</v>
      </c>
      <c r="AF117" s="39" t="s">
        <v>158</v>
      </c>
      <c r="AG117" s="10" t="s">
        <v>127</v>
      </c>
      <c r="AH117" s="4">
        <v>650</v>
      </c>
      <c r="AI117" s="11" t="s">
        <v>128</v>
      </c>
      <c r="AJ117" s="4" t="s">
        <v>129</v>
      </c>
      <c r="AK117" s="50">
        <v>1628</v>
      </c>
      <c r="AL117" s="43">
        <v>454212000</v>
      </c>
      <c r="AM117" s="43">
        <v>132</v>
      </c>
      <c r="AN117" s="43">
        <v>36484310</v>
      </c>
      <c r="AO117" s="43">
        <v>606</v>
      </c>
      <c r="AP117" s="43">
        <v>167095340</v>
      </c>
      <c r="AQ117" s="43">
        <v>1078</v>
      </c>
      <c r="AR117" s="43">
        <v>294145910</v>
      </c>
      <c r="AS117" s="52">
        <f t="shared" si="25"/>
        <v>0.66216216216216217</v>
      </c>
    </row>
    <row r="118" spans="2:45" x14ac:dyDescent="0.3">
      <c r="B118" s="32" t="s">
        <v>156</v>
      </c>
      <c r="C118" s="10" t="str">
        <f t="shared" si="23"/>
        <v>DJ970</v>
      </c>
      <c r="D118" s="10" t="s">
        <v>55</v>
      </c>
      <c r="E118" s="10" t="str">
        <f t="shared" si="15"/>
        <v>W</v>
      </c>
      <c r="F118" s="10" t="str">
        <f t="shared" si="16"/>
        <v>DJ</v>
      </c>
      <c r="G118" s="10" t="s">
        <v>56</v>
      </c>
      <c r="H118" s="4" t="s">
        <v>157</v>
      </c>
      <c r="I118" s="10" t="s">
        <v>159</v>
      </c>
      <c r="J118" s="4" t="str">
        <f t="shared" si="24"/>
        <v/>
      </c>
      <c r="K118" s="4">
        <v>1</v>
      </c>
      <c r="L118" s="43">
        <v>279000</v>
      </c>
      <c r="M118" s="78" t="s">
        <v>132</v>
      </c>
      <c r="N118" s="98" t="s">
        <v>133</v>
      </c>
      <c r="O118" s="10" t="s">
        <v>61</v>
      </c>
      <c r="P118" s="63">
        <v>100</v>
      </c>
      <c r="Q118" s="94" t="s">
        <v>85</v>
      </c>
      <c r="R118" s="63" t="s">
        <v>134</v>
      </c>
      <c r="S118" s="96" t="s">
        <v>135</v>
      </c>
      <c r="T118" s="10" t="s">
        <v>122</v>
      </c>
      <c r="U118" s="10" t="s">
        <v>136</v>
      </c>
      <c r="V118" s="10" t="s">
        <v>66</v>
      </c>
      <c r="W118" s="10"/>
      <c r="X118" s="9" t="s">
        <v>67</v>
      </c>
      <c r="Y118" s="10" t="s">
        <v>68</v>
      </c>
      <c r="Z118" s="94" t="s">
        <v>125</v>
      </c>
      <c r="AA118" s="94" t="s">
        <v>90</v>
      </c>
      <c r="AB118" s="9" t="s">
        <v>71</v>
      </c>
      <c r="AC118" s="10" t="s">
        <v>62</v>
      </c>
      <c r="AD118" s="10" t="s">
        <v>72</v>
      </c>
      <c r="AE118" s="65" t="s">
        <v>137</v>
      </c>
      <c r="AF118" s="39" t="s">
        <v>158</v>
      </c>
      <c r="AG118" s="10" t="s">
        <v>127</v>
      </c>
      <c r="AH118" s="4">
        <v>650</v>
      </c>
      <c r="AI118" s="11" t="s">
        <v>128</v>
      </c>
      <c r="AJ118" s="4" t="s">
        <v>129</v>
      </c>
      <c r="AK118" s="50">
        <v>1628</v>
      </c>
      <c r="AL118" s="43">
        <v>454212000</v>
      </c>
      <c r="AM118" s="43">
        <v>137</v>
      </c>
      <c r="AN118" s="43">
        <v>37444060</v>
      </c>
      <c r="AO118" s="43">
        <v>668</v>
      </c>
      <c r="AP118" s="43">
        <v>182584560</v>
      </c>
      <c r="AQ118" s="43">
        <v>1121</v>
      </c>
      <c r="AR118" s="43">
        <v>303511309</v>
      </c>
      <c r="AS118" s="52">
        <f t="shared" si="25"/>
        <v>0.68857493857493857</v>
      </c>
    </row>
    <row r="119" spans="2:45" x14ac:dyDescent="0.3">
      <c r="B119" s="32" t="s">
        <v>156</v>
      </c>
      <c r="C119" s="10" t="str">
        <f t="shared" si="23"/>
        <v>DJ970</v>
      </c>
      <c r="D119" s="10" t="s">
        <v>55</v>
      </c>
      <c r="E119" s="10" t="str">
        <f t="shared" si="15"/>
        <v>W</v>
      </c>
      <c r="F119" s="10" t="str">
        <f t="shared" si="16"/>
        <v>DJ</v>
      </c>
      <c r="G119" s="10" t="s">
        <v>56</v>
      </c>
      <c r="H119" s="4" t="s">
        <v>157</v>
      </c>
      <c r="I119" s="10" t="s">
        <v>160</v>
      </c>
      <c r="J119" s="4" t="str">
        <f t="shared" si="24"/>
        <v/>
      </c>
      <c r="K119" s="4">
        <v>1</v>
      </c>
      <c r="L119" s="43">
        <v>279000</v>
      </c>
      <c r="M119" s="78" t="s">
        <v>132</v>
      </c>
      <c r="N119" s="98" t="s">
        <v>133</v>
      </c>
      <c r="O119" s="10" t="s">
        <v>61</v>
      </c>
      <c r="P119" s="63">
        <v>100</v>
      </c>
      <c r="Q119" s="94" t="s">
        <v>85</v>
      </c>
      <c r="R119" s="63" t="s">
        <v>134</v>
      </c>
      <c r="S119" s="96" t="s">
        <v>135</v>
      </c>
      <c r="T119" s="10" t="s">
        <v>122</v>
      </c>
      <c r="U119" s="10" t="s">
        <v>136</v>
      </c>
      <c r="V119" s="10" t="s">
        <v>66</v>
      </c>
      <c r="W119" s="10"/>
      <c r="X119" s="9" t="s">
        <v>67</v>
      </c>
      <c r="Y119" s="10" t="s">
        <v>68</v>
      </c>
      <c r="Z119" s="94" t="s">
        <v>125</v>
      </c>
      <c r="AA119" s="94" t="s">
        <v>90</v>
      </c>
      <c r="AB119" s="9" t="s">
        <v>71</v>
      </c>
      <c r="AC119" s="10" t="s">
        <v>62</v>
      </c>
      <c r="AD119" s="10" t="s">
        <v>72</v>
      </c>
      <c r="AE119" s="65" t="s">
        <v>137</v>
      </c>
      <c r="AF119" s="39" t="s">
        <v>158</v>
      </c>
      <c r="AG119" s="10" t="s">
        <v>127</v>
      </c>
      <c r="AH119" s="4">
        <v>650</v>
      </c>
      <c r="AI119" s="11" t="s">
        <v>128</v>
      </c>
      <c r="AJ119" s="4" t="s">
        <v>129</v>
      </c>
      <c r="AK119" s="50">
        <v>1012</v>
      </c>
      <c r="AL119" s="43">
        <v>282348000</v>
      </c>
      <c r="AM119" s="43">
        <v>11</v>
      </c>
      <c r="AN119" s="43">
        <v>3064001</v>
      </c>
      <c r="AO119" s="43">
        <v>71</v>
      </c>
      <c r="AP119" s="43">
        <v>19328011</v>
      </c>
      <c r="AQ119" s="43">
        <v>168</v>
      </c>
      <c r="AR119" s="43">
        <v>45636411</v>
      </c>
      <c r="AS119" s="52">
        <f t="shared" si="25"/>
        <v>0.16600790513833993</v>
      </c>
    </row>
    <row r="120" spans="2:45" x14ac:dyDescent="0.3">
      <c r="B120" s="32" t="s">
        <v>161</v>
      </c>
      <c r="C120" s="10" t="str">
        <f t="shared" si="23"/>
        <v>DJ9G0</v>
      </c>
      <c r="D120" s="10" t="s">
        <v>55</v>
      </c>
      <c r="E120" s="10" t="str">
        <f t="shared" ref="E120:E183" si="27">MID($B120,2,1)</f>
        <v>W</v>
      </c>
      <c r="F120" s="10" t="str">
        <f t="shared" ref="F120:F183" si="28">MID($B120,3,2)</f>
        <v>DJ</v>
      </c>
      <c r="G120" s="10" t="s">
        <v>56</v>
      </c>
      <c r="H120" s="4" t="s">
        <v>162</v>
      </c>
      <c r="I120" s="10" t="s">
        <v>163</v>
      </c>
      <c r="J120" s="4">
        <f t="shared" si="24"/>
        <v>1</v>
      </c>
      <c r="K120" s="4">
        <v>1</v>
      </c>
      <c r="L120" s="43">
        <v>279000</v>
      </c>
      <c r="M120" s="78" t="s">
        <v>59</v>
      </c>
      <c r="N120" s="98" t="s">
        <v>164</v>
      </c>
      <c r="O120" s="10" t="s">
        <v>61</v>
      </c>
      <c r="P120" s="63">
        <v>100</v>
      </c>
      <c r="Q120" s="94" t="s">
        <v>62</v>
      </c>
      <c r="R120" s="63" t="s">
        <v>165</v>
      </c>
      <c r="S120" s="96" t="s">
        <v>166</v>
      </c>
      <c r="T120" s="10" t="s">
        <v>65</v>
      </c>
      <c r="U120" s="10"/>
      <c r="V120" s="10" t="s">
        <v>66</v>
      </c>
      <c r="W120" s="10"/>
      <c r="X120" s="9" t="s">
        <v>67</v>
      </c>
      <c r="Y120" s="10" t="s">
        <v>68</v>
      </c>
      <c r="Z120" s="94" t="s">
        <v>69</v>
      </c>
      <c r="AA120" s="94" t="s">
        <v>70</v>
      </c>
      <c r="AB120" s="9" t="s">
        <v>71</v>
      </c>
      <c r="AC120" s="10" t="s">
        <v>62</v>
      </c>
      <c r="AD120" s="10" t="s">
        <v>72</v>
      </c>
      <c r="AE120" s="65" t="s">
        <v>137</v>
      </c>
      <c r="AF120" s="39" t="s">
        <v>93</v>
      </c>
      <c r="AG120" s="10" t="s">
        <v>127</v>
      </c>
      <c r="AH120" s="4">
        <v>650</v>
      </c>
      <c r="AI120" s="11" t="s">
        <v>128</v>
      </c>
      <c r="AJ120" s="4" t="s">
        <v>129</v>
      </c>
      <c r="AK120" s="50">
        <v>2014</v>
      </c>
      <c r="AL120" s="43">
        <v>561906000</v>
      </c>
      <c r="AM120" s="43">
        <v>24</v>
      </c>
      <c r="AN120" s="43">
        <v>6498830</v>
      </c>
      <c r="AO120" s="43">
        <v>104</v>
      </c>
      <c r="AP120" s="43">
        <v>28289461</v>
      </c>
      <c r="AQ120" s="43">
        <v>233</v>
      </c>
      <c r="AR120" s="43">
        <v>62865737</v>
      </c>
      <c r="AS120" s="52">
        <f t="shared" si="25"/>
        <v>0.1156901688182721</v>
      </c>
    </row>
    <row r="121" spans="2:45" x14ac:dyDescent="0.3">
      <c r="B121" s="32" t="s">
        <v>161</v>
      </c>
      <c r="C121" s="10" t="str">
        <f t="shared" si="23"/>
        <v>DJ9G0</v>
      </c>
      <c r="D121" s="10" t="s">
        <v>55</v>
      </c>
      <c r="E121" s="10" t="str">
        <f t="shared" si="27"/>
        <v>W</v>
      </c>
      <c r="F121" s="10" t="str">
        <f t="shared" si="28"/>
        <v>DJ</v>
      </c>
      <c r="G121" s="10" t="s">
        <v>56</v>
      </c>
      <c r="H121" s="4" t="s">
        <v>162</v>
      </c>
      <c r="I121" s="10" t="s">
        <v>140</v>
      </c>
      <c r="J121" s="4" t="str">
        <f t="shared" si="24"/>
        <v/>
      </c>
      <c r="K121" s="4">
        <v>1</v>
      </c>
      <c r="L121" s="43">
        <v>279000</v>
      </c>
      <c r="M121" s="78" t="s">
        <v>167</v>
      </c>
      <c r="N121" s="98" t="s">
        <v>168</v>
      </c>
      <c r="O121" s="10" t="s">
        <v>61</v>
      </c>
      <c r="P121" s="63">
        <v>100</v>
      </c>
      <c r="Q121" s="94" t="s">
        <v>119</v>
      </c>
      <c r="R121" s="63" t="s">
        <v>169</v>
      </c>
      <c r="S121" s="96" t="s">
        <v>152</v>
      </c>
      <c r="T121" s="10" t="s">
        <v>122</v>
      </c>
      <c r="U121" s="10"/>
      <c r="V121" s="10"/>
      <c r="W121" s="10"/>
      <c r="X121" s="9" t="s">
        <v>67</v>
      </c>
      <c r="Y121" s="10" t="s">
        <v>68</v>
      </c>
      <c r="Z121" s="94" t="s">
        <v>69</v>
      </c>
      <c r="AA121" s="94" t="s">
        <v>70</v>
      </c>
      <c r="AB121" s="9" t="s">
        <v>71</v>
      </c>
      <c r="AC121" s="10" t="s">
        <v>62</v>
      </c>
      <c r="AD121" s="10" t="s">
        <v>72</v>
      </c>
      <c r="AE121" s="65" t="s">
        <v>137</v>
      </c>
      <c r="AF121" s="39" t="s">
        <v>170</v>
      </c>
      <c r="AG121" s="10" t="s">
        <v>127</v>
      </c>
      <c r="AH121" s="4">
        <v>650</v>
      </c>
      <c r="AI121" s="11" t="s">
        <v>128</v>
      </c>
      <c r="AJ121" s="4" t="s">
        <v>129</v>
      </c>
      <c r="AK121" s="50">
        <v>4043</v>
      </c>
      <c r="AL121" s="43">
        <v>1127997000</v>
      </c>
      <c r="AM121" s="43">
        <v>310</v>
      </c>
      <c r="AN121" s="43">
        <v>85017738</v>
      </c>
      <c r="AO121" s="43">
        <v>1777</v>
      </c>
      <c r="AP121" s="43">
        <v>487575184</v>
      </c>
      <c r="AQ121" s="43">
        <v>3880</v>
      </c>
      <c r="AR121" s="43">
        <v>1047164309</v>
      </c>
      <c r="AS121" s="52">
        <f t="shared" si="25"/>
        <v>0.95968340341330693</v>
      </c>
    </row>
    <row r="122" spans="2:45" x14ac:dyDescent="0.3">
      <c r="B122" s="32" t="s">
        <v>161</v>
      </c>
      <c r="C122" s="10" t="str">
        <f t="shared" si="23"/>
        <v>DJ9G0</v>
      </c>
      <c r="D122" s="10" t="s">
        <v>55</v>
      </c>
      <c r="E122" s="10" t="str">
        <f t="shared" si="27"/>
        <v>W</v>
      </c>
      <c r="F122" s="10" t="str">
        <f t="shared" si="28"/>
        <v>DJ</v>
      </c>
      <c r="G122" s="10" t="s">
        <v>56</v>
      </c>
      <c r="H122" s="4" t="s">
        <v>162</v>
      </c>
      <c r="I122" s="10" t="s">
        <v>79</v>
      </c>
      <c r="J122" s="4" t="str">
        <f t="shared" si="24"/>
        <v/>
      </c>
      <c r="K122" s="4">
        <v>1</v>
      </c>
      <c r="L122" s="43">
        <v>279000</v>
      </c>
      <c r="M122" s="78" t="s">
        <v>59</v>
      </c>
      <c r="N122" s="98" t="s">
        <v>164</v>
      </c>
      <c r="O122" s="10" t="s">
        <v>61</v>
      </c>
      <c r="P122" s="63">
        <v>100</v>
      </c>
      <c r="Q122" s="94" t="s">
        <v>62</v>
      </c>
      <c r="R122" s="63" t="s">
        <v>165</v>
      </c>
      <c r="S122" s="96" t="s">
        <v>166</v>
      </c>
      <c r="T122" s="10" t="s">
        <v>65</v>
      </c>
      <c r="U122" s="10"/>
      <c r="V122" s="10" t="s">
        <v>66</v>
      </c>
      <c r="W122" s="10"/>
      <c r="X122" s="9" t="s">
        <v>67</v>
      </c>
      <c r="Y122" s="10" t="s">
        <v>68</v>
      </c>
      <c r="Z122" s="94" t="s">
        <v>69</v>
      </c>
      <c r="AA122" s="94" t="s">
        <v>70</v>
      </c>
      <c r="AB122" s="9" t="s">
        <v>71</v>
      </c>
      <c r="AC122" s="10" t="s">
        <v>62</v>
      </c>
      <c r="AD122" s="10" t="s">
        <v>72</v>
      </c>
      <c r="AE122" s="65" t="s">
        <v>137</v>
      </c>
      <c r="AF122" s="39" t="s">
        <v>93</v>
      </c>
      <c r="AG122" s="10" t="s">
        <v>127</v>
      </c>
      <c r="AH122" s="4">
        <v>650</v>
      </c>
      <c r="AI122" s="11" t="s">
        <v>128</v>
      </c>
      <c r="AJ122" s="4" t="s">
        <v>129</v>
      </c>
      <c r="AK122" s="50">
        <v>2500</v>
      </c>
      <c r="AL122" s="43">
        <v>697500000</v>
      </c>
      <c r="AM122" s="43">
        <v>112</v>
      </c>
      <c r="AN122" s="43">
        <v>30821814</v>
      </c>
      <c r="AO122" s="43">
        <v>562</v>
      </c>
      <c r="AP122" s="43">
        <v>154871414</v>
      </c>
      <c r="AQ122" s="43">
        <v>1116</v>
      </c>
      <c r="AR122" s="43">
        <v>303493686</v>
      </c>
      <c r="AS122" s="52">
        <f t="shared" si="25"/>
        <v>0.44640000000000002</v>
      </c>
    </row>
    <row r="123" spans="2:45" x14ac:dyDescent="0.3">
      <c r="B123" s="32" t="s">
        <v>161</v>
      </c>
      <c r="C123" s="10" t="str">
        <f t="shared" si="23"/>
        <v>DJ9G0</v>
      </c>
      <c r="D123" s="10" t="s">
        <v>55</v>
      </c>
      <c r="E123" s="10" t="str">
        <f t="shared" si="27"/>
        <v>W</v>
      </c>
      <c r="F123" s="10" t="str">
        <f t="shared" si="28"/>
        <v>DJ</v>
      </c>
      <c r="G123" s="10" t="s">
        <v>56</v>
      </c>
      <c r="H123" s="4" t="s">
        <v>162</v>
      </c>
      <c r="I123" s="10" t="s">
        <v>78</v>
      </c>
      <c r="J123" s="4" t="str">
        <f t="shared" si="24"/>
        <v/>
      </c>
      <c r="K123" s="4">
        <v>1</v>
      </c>
      <c r="L123" s="43">
        <v>279000</v>
      </c>
      <c r="M123" s="78" t="s">
        <v>59</v>
      </c>
      <c r="N123" s="98" t="s">
        <v>164</v>
      </c>
      <c r="O123" s="10" t="s">
        <v>61</v>
      </c>
      <c r="P123" s="63">
        <v>100</v>
      </c>
      <c r="Q123" s="94" t="s">
        <v>62</v>
      </c>
      <c r="R123" s="63" t="s">
        <v>165</v>
      </c>
      <c r="S123" s="96" t="s">
        <v>166</v>
      </c>
      <c r="T123" s="10" t="s">
        <v>65</v>
      </c>
      <c r="U123" s="10"/>
      <c r="V123" s="10" t="s">
        <v>66</v>
      </c>
      <c r="W123" s="10"/>
      <c r="X123" s="9" t="s">
        <v>67</v>
      </c>
      <c r="Y123" s="10" t="s">
        <v>68</v>
      </c>
      <c r="Z123" s="94" t="s">
        <v>69</v>
      </c>
      <c r="AA123" s="94" t="s">
        <v>70</v>
      </c>
      <c r="AB123" s="9" t="s">
        <v>71</v>
      </c>
      <c r="AC123" s="10" t="s">
        <v>62</v>
      </c>
      <c r="AD123" s="10" t="s">
        <v>72</v>
      </c>
      <c r="AE123" s="65" t="s">
        <v>137</v>
      </c>
      <c r="AF123" s="39" t="s">
        <v>93</v>
      </c>
      <c r="AG123" s="10" t="s">
        <v>127</v>
      </c>
      <c r="AH123" s="4">
        <v>650</v>
      </c>
      <c r="AI123" s="11" t="s">
        <v>128</v>
      </c>
      <c r="AJ123" s="4" t="s">
        <v>129</v>
      </c>
      <c r="AK123" s="50">
        <v>4056</v>
      </c>
      <c r="AL123" s="43">
        <v>1131624000</v>
      </c>
      <c r="AM123" s="43">
        <v>332</v>
      </c>
      <c r="AN123" s="43">
        <v>91539167</v>
      </c>
      <c r="AO123" s="43">
        <v>1373</v>
      </c>
      <c r="AP123" s="43">
        <v>378766343</v>
      </c>
      <c r="AQ123" s="43">
        <v>2588</v>
      </c>
      <c r="AR123" s="43">
        <v>705845653</v>
      </c>
      <c r="AS123" s="52">
        <f t="shared" si="25"/>
        <v>0.63806706114398426</v>
      </c>
    </row>
    <row r="124" spans="2:45" x14ac:dyDescent="0.3">
      <c r="B124" s="32" t="s">
        <v>161</v>
      </c>
      <c r="C124" s="10" t="str">
        <f t="shared" si="23"/>
        <v>DJ9G0</v>
      </c>
      <c r="D124" s="10" t="s">
        <v>148</v>
      </c>
      <c r="E124" s="10" t="str">
        <f t="shared" si="27"/>
        <v>W</v>
      </c>
      <c r="F124" s="10" t="str">
        <f t="shared" si="28"/>
        <v>DJ</v>
      </c>
      <c r="G124" s="10" t="s">
        <v>56</v>
      </c>
      <c r="H124" s="4" t="s">
        <v>162</v>
      </c>
      <c r="I124" s="10" t="s">
        <v>171</v>
      </c>
      <c r="J124" s="4" t="str">
        <f t="shared" si="24"/>
        <v/>
      </c>
      <c r="K124" s="4">
        <v>1</v>
      </c>
      <c r="L124" s="43">
        <v>279000</v>
      </c>
      <c r="M124" s="78" t="s">
        <v>167</v>
      </c>
      <c r="N124" s="98" t="s">
        <v>168</v>
      </c>
      <c r="O124" s="10" t="s">
        <v>61</v>
      </c>
      <c r="P124" s="63">
        <v>100</v>
      </c>
      <c r="Q124" s="94" t="s">
        <v>119</v>
      </c>
      <c r="R124" s="63" t="s">
        <v>169</v>
      </c>
      <c r="S124" s="96" t="s">
        <v>152</v>
      </c>
      <c r="T124" s="10" t="s">
        <v>122</v>
      </c>
      <c r="U124" s="10"/>
      <c r="V124" s="10"/>
      <c r="W124" s="10"/>
      <c r="X124" s="9" t="s">
        <v>67</v>
      </c>
      <c r="Y124" s="10" t="s">
        <v>68</v>
      </c>
      <c r="Z124" s="94" t="s">
        <v>69</v>
      </c>
      <c r="AA124" s="94" t="s">
        <v>70</v>
      </c>
      <c r="AB124" s="9" t="s">
        <v>71</v>
      </c>
      <c r="AC124" s="10" t="s">
        <v>62</v>
      </c>
      <c r="AD124" s="10" t="s">
        <v>72</v>
      </c>
      <c r="AE124" s="65" t="s">
        <v>137</v>
      </c>
      <c r="AF124" s="39" t="s">
        <v>170</v>
      </c>
      <c r="AG124" s="10" t="s">
        <v>127</v>
      </c>
      <c r="AH124" s="4">
        <v>650</v>
      </c>
      <c r="AI124" s="11" t="s">
        <v>128</v>
      </c>
      <c r="AJ124" s="4" t="s">
        <v>129</v>
      </c>
      <c r="AK124" s="50">
        <v>1590</v>
      </c>
      <c r="AL124" s="43">
        <v>443610000</v>
      </c>
      <c r="AM124" s="43">
        <v>119</v>
      </c>
      <c r="AN124" s="43">
        <v>32707225</v>
      </c>
      <c r="AO124" s="43">
        <v>641</v>
      </c>
      <c r="AP124" s="43">
        <v>175209912</v>
      </c>
      <c r="AQ124" s="43">
        <v>1039</v>
      </c>
      <c r="AR124" s="43">
        <v>282208407</v>
      </c>
      <c r="AS124" s="52">
        <f t="shared" si="25"/>
        <v>0.65345911949685531</v>
      </c>
    </row>
    <row r="125" spans="2:45" x14ac:dyDescent="0.3">
      <c r="B125" s="32" t="s">
        <v>172</v>
      </c>
      <c r="C125" s="10" t="str">
        <f t="shared" si="23"/>
        <v>DJ940</v>
      </c>
      <c r="D125" s="10" t="s">
        <v>55</v>
      </c>
      <c r="E125" s="10" t="str">
        <f t="shared" si="27"/>
        <v>W</v>
      </c>
      <c r="F125" s="10" t="str">
        <f t="shared" si="28"/>
        <v>DJ</v>
      </c>
      <c r="G125" s="10" t="s">
        <v>56</v>
      </c>
      <c r="H125" s="4" t="s">
        <v>173</v>
      </c>
      <c r="I125" s="10" t="s">
        <v>140</v>
      </c>
      <c r="J125" s="4">
        <f t="shared" si="24"/>
        <v>1</v>
      </c>
      <c r="K125" s="4">
        <v>1</v>
      </c>
      <c r="L125" s="43">
        <v>279000</v>
      </c>
      <c r="M125" s="78" t="s">
        <v>141</v>
      </c>
      <c r="N125" s="98" t="s">
        <v>174</v>
      </c>
      <c r="O125" s="10" t="s">
        <v>143</v>
      </c>
      <c r="P125" s="63">
        <v>100</v>
      </c>
      <c r="Q125" s="94" t="s">
        <v>144</v>
      </c>
      <c r="R125" s="63" t="s">
        <v>145</v>
      </c>
      <c r="S125" s="96" t="s">
        <v>146</v>
      </c>
      <c r="T125" s="10" t="s">
        <v>65</v>
      </c>
      <c r="U125" s="10"/>
      <c r="V125" s="10" t="s">
        <v>66</v>
      </c>
      <c r="W125" s="10"/>
      <c r="X125" s="9" t="s">
        <v>67</v>
      </c>
      <c r="Y125" s="10" t="s">
        <v>68</v>
      </c>
      <c r="Z125" s="94" t="s">
        <v>69</v>
      </c>
      <c r="AA125" s="94" t="s">
        <v>147</v>
      </c>
      <c r="AB125" s="9" t="s">
        <v>71</v>
      </c>
      <c r="AC125" s="10" t="s">
        <v>62</v>
      </c>
      <c r="AD125" s="10" t="s">
        <v>72</v>
      </c>
      <c r="AE125" s="65" t="s">
        <v>137</v>
      </c>
      <c r="AF125" s="39" t="s">
        <v>175</v>
      </c>
      <c r="AG125" s="10" t="s">
        <v>127</v>
      </c>
      <c r="AH125" s="4">
        <v>650</v>
      </c>
      <c r="AI125" s="11" t="s">
        <v>128</v>
      </c>
      <c r="AJ125" s="4" t="s">
        <v>77</v>
      </c>
      <c r="AK125" s="50">
        <v>1191</v>
      </c>
      <c r="AL125" s="43">
        <v>332289000</v>
      </c>
      <c r="AM125" s="43">
        <v>134</v>
      </c>
      <c r="AN125" s="43">
        <v>36950074</v>
      </c>
      <c r="AO125" s="43">
        <v>834</v>
      </c>
      <c r="AP125" s="43">
        <v>229274570</v>
      </c>
      <c r="AQ125" s="43">
        <v>1053</v>
      </c>
      <c r="AR125" s="43">
        <v>287914007</v>
      </c>
      <c r="AS125" s="52">
        <f t="shared" si="25"/>
        <v>0.88413098236775822</v>
      </c>
    </row>
    <row r="126" spans="2:45" x14ac:dyDescent="0.3">
      <c r="B126" s="32" t="s">
        <v>172</v>
      </c>
      <c r="C126" s="10" t="str">
        <f t="shared" si="23"/>
        <v>DJ940</v>
      </c>
      <c r="D126" s="10" t="s">
        <v>55</v>
      </c>
      <c r="E126" s="10" t="str">
        <f t="shared" si="27"/>
        <v>W</v>
      </c>
      <c r="F126" s="10" t="str">
        <f t="shared" si="28"/>
        <v>DJ</v>
      </c>
      <c r="G126" s="10" t="s">
        <v>56</v>
      </c>
      <c r="H126" s="4" t="s">
        <v>173</v>
      </c>
      <c r="I126" s="10" t="s">
        <v>79</v>
      </c>
      <c r="J126" s="4" t="str">
        <f t="shared" si="24"/>
        <v/>
      </c>
      <c r="K126" s="4">
        <v>1</v>
      </c>
      <c r="L126" s="43">
        <v>279000</v>
      </c>
      <c r="M126" s="78" t="s">
        <v>132</v>
      </c>
      <c r="N126" s="98" t="s">
        <v>133</v>
      </c>
      <c r="O126" s="10" t="s">
        <v>61</v>
      </c>
      <c r="P126" s="63">
        <v>100</v>
      </c>
      <c r="Q126" s="94" t="s">
        <v>85</v>
      </c>
      <c r="R126" s="63" t="s">
        <v>134</v>
      </c>
      <c r="S126" s="96" t="s">
        <v>135</v>
      </c>
      <c r="T126" s="10" t="s">
        <v>122</v>
      </c>
      <c r="U126" s="10" t="s">
        <v>136</v>
      </c>
      <c r="V126" s="10" t="s">
        <v>66</v>
      </c>
      <c r="W126" s="10"/>
      <c r="X126" s="9" t="s">
        <v>67</v>
      </c>
      <c r="Y126" s="10" t="s">
        <v>68</v>
      </c>
      <c r="Z126" s="94" t="s">
        <v>125</v>
      </c>
      <c r="AA126" s="94" t="s">
        <v>90</v>
      </c>
      <c r="AB126" s="9" t="s">
        <v>71</v>
      </c>
      <c r="AC126" s="10" t="s">
        <v>62</v>
      </c>
      <c r="AD126" s="10" t="s">
        <v>72</v>
      </c>
      <c r="AE126" s="65" t="s">
        <v>137</v>
      </c>
      <c r="AF126" s="39" t="s">
        <v>106</v>
      </c>
      <c r="AG126" s="10" t="s">
        <v>127</v>
      </c>
      <c r="AH126" s="4">
        <v>650</v>
      </c>
      <c r="AI126" s="11" t="s">
        <v>128</v>
      </c>
      <c r="AJ126" s="4" t="s">
        <v>77</v>
      </c>
      <c r="AK126" s="50">
        <v>4050</v>
      </c>
      <c r="AL126" s="43">
        <v>1129950000</v>
      </c>
      <c r="AM126" s="43">
        <v>506</v>
      </c>
      <c r="AN126" s="43">
        <v>139634992</v>
      </c>
      <c r="AO126" s="43">
        <v>2383</v>
      </c>
      <c r="AP126" s="43">
        <v>657434225</v>
      </c>
      <c r="AQ126" s="43">
        <v>3735</v>
      </c>
      <c r="AR126" s="43">
        <v>1022119185</v>
      </c>
      <c r="AS126" s="52">
        <f t="shared" si="25"/>
        <v>0.92222222222222228</v>
      </c>
    </row>
    <row r="127" spans="2:45" x14ac:dyDescent="0.3">
      <c r="B127" s="32" t="s">
        <v>172</v>
      </c>
      <c r="C127" s="10" t="str">
        <f t="shared" si="23"/>
        <v>DJ940</v>
      </c>
      <c r="D127" s="10" t="s">
        <v>55</v>
      </c>
      <c r="E127" s="10" t="str">
        <f t="shared" si="27"/>
        <v>W</v>
      </c>
      <c r="F127" s="10" t="str">
        <f t="shared" si="28"/>
        <v>DJ</v>
      </c>
      <c r="G127" s="10" t="s">
        <v>56</v>
      </c>
      <c r="H127" s="4" t="s">
        <v>173</v>
      </c>
      <c r="I127" s="10" t="s">
        <v>78</v>
      </c>
      <c r="J127" s="4" t="str">
        <f t="shared" si="24"/>
        <v/>
      </c>
      <c r="K127" s="4">
        <v>1</v>
      </c>
      <c r="L127" s="43">
        <v>279000</v>
      </c>
      <c r="M127" s="78" t="s">
        <v>132</v>
      </c>
      <c r="N127" s="98" t="s">
        <v>133</v>
      </c>
      <c r="O127" s="10" t="s">
        <v>61</v>
      </c>
      <c r="P127" s="63">
        <v>100</v>
      </c>
      <c r="Q127" s="94" t="s">
        <v>85</v>
      </c>
      <c r="R127" s="63" t="s">
        <v>134</v>
      </c>
      <c r="S127" s="96" t="s">
        <v>135</v>
      </c>
      <c r="T127" s="10" t="s">
        <v>122</v>
      </c>
      <c r="U127" s="10" t="s">
        <v>136</v>
      </c>
      <c r="V127" s="10" t="s">
        <v>66</v>
      </c>
      <c r="W127" s="10"/>
      <c r="X127" s="9" t="s">
        <v>67</v>
      </c>
      <c r="Y127" s="10" t="s">
        <v>68</v>
      </c>
      <c r="Z127" s="94" t="s">
        <v>125</v>
      </c>
      <c r="AA127" s="94" t="s">
        <v>90</v>
      </c>
      <c r="AB127" s="9" t="s">
        <v>71</v>
      </c>
      <c r="AC127" s="10" t="s">
        <v>62</v>
      </c>
      <c r="AD127" s="10" t="s">
        <v>72</v>
      </c>
      <c r="AE127" s="65" t="s">
        <v>137</v>
      </c>
      <c r="AF127" s="39" t="s">
        <v>106</v>
      </c>
      <c r="AG127" s="10" t="s">
        <v>127</v>
      </c>
      <c r="AH127" s="4">
        <v>650</v>
      </c>
      <c r="AI127" s="11" t="s">
        <v>128</v>
      </c>
      <c r="AJ127" s="4" t="s">
        <v>77</v>
      </c>
      <c r="AK127" s="50">
        <v>4888</v>
      </c>
      <c r="AL127" s="43">
        <v>1363752000</v>
      </c>
      <c r="AM127" s="43">
        <v>618</v>
      </c>
      <c r="AN127" s="43">
        <v>168366228</v>
      </c>
      <c r="AO127" s="43">
        <v>3782</v>
      </c>
      <c r="AP127" s="43">
        <v>1038883095</v>
      </c>
      <c r="AQ127" s="43">
        <v>4793</v>
      </c>
      <c r="AR127" s="43">
        <v>1311677224</v>
      </c>
      <c r="AS127" s="52">
        <f t="shared" si="25"/>
        <v>0.98056464811783961</v>
      </c>
    </row>
    <row r="128" spans="2:45" x14ac:dyDescent="0.3">
      <c r="B128" s="32" t="s">
        <v>172</v>
      </c>
      <c r="C128" s="10" t="str">
        <f t="shared" si="23"/>
        <v>DJ940</v>
      </c>
      <c r="D128" s="10" t="s">
        <v>55</v>
      </c>
      <c r="E128" s="10" t="str">
        <f t="shared" si="27"/>
        <v>W</v>
      </c>
      <c r="F128" s="10" t="str">
        <f t="shared" si="28"/>
        <v>DJ</v>
      </c>
      <c r="G128" s="10" t="s">
        <v>56</v>
      </c>
      <c r="H128" s="4" t="s">
        <v>173</v>
      </c>
      <c r="I128" s="10" t="s">
        <v>176</v>
      </c>
      <c r="J128" s="4" t="str">
        <f t="shared" si="24"/>
        <v/>
      </c>
      <c r="K128" s="4">
        <v>1</v>
      </c>
      <c r="L128" s="43">
        <v>279000</v>
      </c>
      <c r="M128" s="78" t="s">
        <v>141</v>
      </c>
      <c r="N128" s="98" t="s">
        <v>174</v>
      </c>
      <c r="O128" s="10" t="s">
        <v>143</v>
      </c>
      <c r="P128" s="63">
        <v>100</v>
      </c>
      <c r="Q128" s="94" t="s">
        <v>144</v>
      </c>
      <c r="R128" s="63" t="s">
        <v>145</v>
      </c>
      <c r="S128" s="96" t="s">
        <v>146</v>
      </c>
      <c r="T128" s="10" t="s">
        <v>65</v>
      </c>
      <c r="U128" s="10"/>
      <c r="V128" s="10" t="s">
        <v>66</v>
      </c>
      <c r="W128" s="10"/>
      <c r="X128" s="9" t="s">
        <v>67</v>
      </c>
      <c r="Y128" s="10" t="s">
        <v>68</v>
      </c>
      <c r="Z128" s="94" t="s">
        <v>69</v>
      </c>
      <c r="AA128" s="94" t="s">
        <v>147</v>
      </c>
      <c r="AB128" s="9" t="s">
        <v>71</v>
      </c>
      <c r="AC128" s="10" t="s">
        <v>62</v>
      </c>
      <c r="AD128" s="10" t="s">
        <v>72</v>
      </c>
      <c r="AE128" s="65" t="s">
        <v>137</v>
      </c>
      <c r="AF128" s="39" t="s">
        <v>175</v>
      </c>
      <c r="AG128" s="10" t="s">
        <v>127</v>
      </c>
      <c r="AH128" s="4">
        <v>650</v>
      </c>
      <c r="AI128" s="11" t="s">
        <v>128</v>
      </c>
      <c r="AJ128" s="4" t="s">
        <v>77</v>
      </c>
      <c r="AK128" s="50">
        <v>2007</v>
      </c>
      <c r="AL128" s="43">
        <v>559953000</v>
      </c>
      <c r="AM128" s="43">
        <v>261</v>
      </c>
      <c r="AN128" s="43">
        <v>71891698</v>
      </c>
      <c r="AO128" s="43">
        <v>1130</v>
      </c>
      <c r="AP128" s="43">
        <v>311004830</v>
      </c>
      <c r="AQ128" s="43">
        <v>1701</v>
      </c>
      <c r="AR128" s="43">
        <v>465358724</v>
      </c>
      <c r="AS128" s="52">
        <f t="shared" si="25"/>
        <v>0.84753363228699552</v>
      </c>
    </row>
    <row r="129" spans="2:45" x14ac:dyDescent="0.3">
      <c r="B129" s="32" t="s">
        <v>172</v>
      </c>
      <c r="C129" s="10" t="str">
        <f t="shared" si="23"/>
        <v>DJ940</v>
      </c>
      <c r="D129" s="10" t="s">
        <v>55</v>
      </c>
      <c r="E129" s="10" t="str">
        <f t="shared" si="27"/>
        <v>W</v>
      </c>
      <c r="F129" s="10" t="str">
        <f t="shared" si="28"/>
        <v>DJ</v>
      </c>
      <c r="G129" s="10" t="s">
        <v>56</v>
      </c>
      <c r="H129" s="4" t="s">
        <v>173</v>
      </c>
      <c r="I129" s="10" t="s">
        <v>177</v>
      </c>
      <c r="J129" s="4" t="str">
        <f t="shared" si="24"/>
        <v/>
      </c>
      <c r="K129" s="4">
        <v>1</v>
      </c>
      <c r="L129" s="43">
        <v>279000</v>
      </c>
      <c r="M129" s="78" t="s">
        <v>132</v>
      </c>
      <c r="N129" s="98" t="s">
        <v>133</v>
      </c>
      <c r="O129" s="10" t="s">
        <v>61</v>
      </c>
      <c r="P129" s="63">
        <v>100</v>
      </c>
      <c r="Q129" s="94" t="s">
        <v>85</v>
      </c>
      <c r="R129" s="63" t="s">
        <v>134</v>
      </c>
      <c r="S129" s="96" t="s">
        <v>135</v>
      </c>
      <c r="T129" s="10" t="s">
        <v>122</v>
      </c>
      <c r="U129" s="10" t="s">
        <v>136</v>
      </c>
      <c r="V129" s="10" t="s">
        <v>66</v>
      </c>
      <c r="W129" s="10"/>
      <c r="X129" s="9" t="s">
        <v>67</v>
      </c>
      <c r="Y129" s="10" t="s">
        <v>68</v>
      </c>
      <c r="Z129" s="94" t="s">
        <v>125</v>
      </c>
      <c r="AA129" s="94" t="s">
        <v>90</v>
      </c>
      <c r="AB129" s="9" t="s">
        <v>71</v>
      </c>
      <c r="AC129" s="10" t="s">
        <v>62</v>
      </c>
      <c r="AD129" s="10" t="s">
        <v>72</v>
      </c>
      <c r="AE129" s="65" t="s">
        <v>137</v>
      </c>
      <c r="AF129" s="39" t="s">
        <v>106</v>
      </c>
      <c r="AG129" s="10" t="s">
        <v>127</v>
      </c>
      <c r="AH129" s="4">
        <v>650</v>
      </c>
      <c r="AI129" s="11" t="s">
        <v>128</v>
      </c>
      <c r="AJ129" s="4" t="s">
        <v>77</v>
      </c>
      <c r="AK129" s="50">
        <v>1422</v>
      </c>
      <c r="AL129" s="43">
        <v>396738000</v>
      </c>
      <c r="AM129" s="43">
        <v>16</v>
      </c>
      <c r="AN129" s="43">
        <v>4454000</v>
      </c>
      <c r="AO129" s="43">
        <v>139</v>
      </c>
      <c r="AP129" s="43">
        <v>38161510</v>
      </c>
      <c r="AQ129" s="43">
        <v>256</v>
      </c>
      <c r="AR129" s="43">
        <v>70038842</v>
      </c>
      <c r="AS129" s="52">
        <f t="shared" si="25"/>
        <v>0.18002812939521801</v>
      </c>
    </row>
    <row r="130" spans="2:45" x14ac:dyDescent="0.3">
      <c r="B130" s="32" t="s">
        <v>172</v>
      </c>
      <c r="C130" s="10" t="str">
        <f t="shared" si="23"/>
        <v>DJ940</v>
      </c>
      <c r="D130" s="10" t="s">
        <v>55</v>
      </c>
      <c r="E130" s="10" t="str">
        <f t="shared" si="27"/>
        <v>W</v>
      </c>
      <c r="F130" s="10" t="str">
        <f t="shared" si="28"/>
        <v>DJ</v>
      </c>
      <c r="G130" s="10" t="s">
        <v>56</v>
      </c>
      <c r="H130" s="4" t="s">
        <v>173</v>
      </c>
      <c r="I130" s="10" t="s">
        <v>178</v>
      </c>
      <c r="J130" s="4" t="str">
        <f t="shared" si="24"/>
        <v/>
      </c>
      <c r="K130" s="4">
        <v>1</v>
      </c>
      <c r="L130" s="43">
        <v>279000</v>
      </c>
      <c r="M130" s="78" t="s">
        <v>132</v>
      </c>
      <c r="N130" s="98" t="s">
        <v>133</v>
      </c>
      <c r="O130" s="10" t="s">
        <v>61</v>
      </c>
      <c r="P130" s="63">
        <v>100</v>
      </c>
      <c r="Q130" s="94" t="s">
        <v>85</v>
      </c>
      <c r="R130" s="63" t="s">
        <v>134</v>
      </c>
      <c r="S130" s="96" t="s">
        <v>135</v>
      </c>
      <c r="T130" s="10" t="s">
        <v>122</v>
      </c>
      <c r="U130" s="10" t="s">
        <v>136</v>
      </c>
      <c r="V130" s="10" t="s">
        <v>66</v>
      </c>
      <c r="W130" s="10"/>
      <c r="X130" s="9" t="s">
        <v>67</v>
      </c>
      <c r="Y130" s="10" t="s">
        <v>68</v>
      </c>
      <c r="Z130" s="94" t="s">
        <v>125</v>
      </c>
      <c r="AA130" s="94" t="s">
        <v>90</v>
      </c>
      <c r="AB130" s="9" t="s">
        <v>71</v>
      </c>
      <c r="AC130" s="10" t="s">
        <v>62</v>
      </c>
      <c r="AD130" s="10" t="s">
        <v>72</v>
      </c>
      <c r="AE130" s="65" t="s">
        <v>137</v>
      </c>
      <c r="AF130" s="39" t="s">
        <v>106</v>
      </c>
      <c r="AG130" s="10" t="s">
        <v>127</v>
      </c>
      <c r="AH130" s="4">
        <v>650</v>
      </c>
      <c r="AI130" s="11" t="s">
        <v>128</v>
      </c>
      <c r="AJ130" s="4" t="s">
        <v>77</v>
      </c>
      <c r="AK130" s="50">
        <v>1422</v>
      </c>
      <c r="AL130" s="43">
        <v>396738000</v>
      </c>
      <c r="AM130" s="43">
        <v>123</v>
      </c>
      <c r="AN130" s="43">
        <v>34128548</v>
      </c>
      <c r="AO130" s="43">
        <v>608</v>
      </c>
      <c r="AP130" s="43">
        <v>168142020</v>
      </c>
      <c r="AQ130" s="43">
        <v>1149</v>
      </c>
      <c r="AR130" s="43">
        <v>314543806</v>
      </c>
      <c r="AS130" s="52">
        <f t="shared" si="25"/>
        <v>0.80801687763713081</v>
      </c>
    </row>
    <row r="131" spans="2:45" x14ac:dyDescent="0.3">
      <c r="B131" s="32" t="s">
        <v>172</v>
      </c>
      <c r="C131" s="10" t="str">
        <f t="shared" si="23"/>
        <v>DJ940</v>
      </c>
      <c r="D131" s="10" t="s">
        <v>148</v>
      </c>
      <c r="E131" s="10" t="str">
        <f t="shared" si="27"/>
        <v>W</v>
      </c>
      <c r="F131" s="10" t="str">
        <f t="shared" si="28"/>
        <v>DJ</v>
      </c>
      <c r="G131" s="10" t="s">
        <v>56</v>
      </c>
      <c r="H131" s="4" t="s">
        <v>173</v>
      </c>
      <c r="I131" s="10" t="s">
        <v>179</v>
      </c>
      <c r="J131" s="4" t="str">
        <f t="shared" si="24"/>
        <v/>
      </c>
      <c r="K131" s="4">
        <v>1</v>
      </c>
      <c r="L131" s="43">
        <v>279000</v>
      </c>
      <c r="M131" s="78" t="s">
        <v>132</v>
      </c>
      <c r="N131" s="98" t="s">
        <v>133</v>
      </c>
      <c r="O131" s="10" t="s">
        <v>61</v>
      </c>
      <c r="P131" s="63">
        <v>100</v>
      </c>
      <c r="Q131" s="94" t="s">
        <v>85</v>
      </c>
      <c r="R131" s="63" t="s">
        <v>134</v>
      </c>
      <c r="S131" s="96" t="s">
        <v>135</v>
      </c>
      <c r="T131" s="10" t="s">
        <v>122</v>
      </c>
      <c r="U131" s="10" t="s">
        <v>136</v>
      </c>
      <c r="V131" s="10" t="s">
        <v>66</v>
      </c>
      <c r="W131" s="10"/>
      <c r="X131" s="9" t="s">
        <v>67</v>
      </c>
      <c r="Y131" s="10" t="s">
        <v>68</v>
      </c>
      <c r="Z131" s="94" t="s">
        <v>125</v>
      </c>
      <c r="AA131" s="94" t="s">
        <v>90</v>
      </c>
      <c r="AB131" s="9" t="s">
        <v>71</v>
      </c>
      <c r="AC131" s="10" t="s">
        <v>62</v>
      </c>
      <c r="AD131" s="10" t="s">
        <v>72</v>
      </c>
      <c r="AE131" s="65" t="s">
        <v>137</v>
      </c>
      <c r="AF131" s="39" t="s">
        <v>106</v>
      </c>
      <c r="AG131" s="10" t="s">
        <v>127</v>
      </c>
      <c r="AH131" s="4">
        <v>650</v>
      </c>
      <c r="AI131" s="11" t="s">
        <v>128</v>
      </c>
      <c r="AJ131" s="4" t="s">
        <v>77</v>
      </c>
      <c r="AK131" s="50">
        <v>1519</v>
      </c>
      <c r="AL131" s="43">
        <v>423801000</v>
      </c>
      <c r="AM131" s="43">
        <v>53</v>
      </c>
      <c r="AN131" s="43">
        <v>14320875</v>
      </c>
      <c r="AO131" s="43">
        <v>90</v>
      </c>
      <c r="AP131" s="43">
        <v>24590773</v>
      </c>
      <c r="AQ131" s="43">
        <v>689</v>
      </c>
      <c r="AR131" s="43">
        <v>186134015</v>
      </c>
      <c r="AS131" s="52">
        <f t="shared" si="25"/>
        <v>0.45358788676761025</v>
      </c>
    </row>
    <row r="132" spans="2:45" x14ac:dyDescent="0.3">
      <c r="B132" s="32" t="s">
        <v>180</v>
      </c>
      <c r="C132" s="10" t="str">
        <f t="shared" si="23"/>
        <v>DJ940</v>
      </c>
      <c r="D132" s="10" t="s">
        <v>148</v>
      </c>
      <c r="E132" s="10" t="str">
        <f t="shared" si="27"/>
        <v>W</v>
      </c>
      <c r="F132" s="10" t="str">
        <f t="shared" si="28"/>
        <v>DJ</v>
      </c>
      <c r="G132" s="10" t="s">
        <v>56</v>
      </c>
      <c r="H132" s="4" t="s">
        <v>173</v>
      </c>
      <c r="I132" s="10" t="s">
        <v>181</v>
      </c>
      <c r="J132" s="4" t="str">
        <f t="shared" si="24"/>
        <v/>
      </c>
      <c r="K132" s="4">
        <v>1</v>
      </c>
      <c r="L132" s="43">
        <v>279000</v>
      </c>
      <c r="M132" s="78" t="s">
        <v>141</v>
      </c>
      <c r="N132" s="98" t="s">
        <v>174</v>
      </c>
      <c r="O132" s="10" t="s">
        <v>143</v>
      </c>
      <c r="P132" s="63">
        <v>100</v>
      </c>
      <c r="Q132" s="94" t="s">
        <v>144</v>
      </c>
      <c r="R132" s="63" t="s">
        <v>145</v>
      </c>
      <c r="S132" s="96" t="s">
        <v>146</v>
      </c>
      <c r="T132" s="10" t="s">
        <v>182</v>
      </c>
      <c r="U132" s="10"/>
      <c r="V132" s="10" t="s">
        <v>66</v>
      </c>
      <c r="W132" s="10"/>
      <c r="X132" s="9" t="s">
        <v>67</v>
      </c>
      <c r="Y132" s="10" t="s">
        <v>68</v>
      </c>
      <c r="Z132" s="94" t="s">
        <v>69</v>
      </c>
      <c r="AA132" s="94" t="s">
        <v>147</v>
      </c>
      <c r="AB132" s="9" t="s">
        <v>71</v>
      </c>
      <c r="AC132" s="10" t="s">
        <v>62</v>
      </c>
      <c r="AD132" s="10" t="s">
        <v>72</v>
      </c>
      <c r="AE132" s="65" t="s">
        <v>137</v>
      </c>
      <c r="AF132" s="39" t="s">
        <v>175</v>
      </c>
      <c r="AG132" s="10" t="s">
        <v>127</v>
      </c>
      <c r="AH132" s="4">
        <v>650</v>
      </c>
      <c r="AI132" s="11" t="s">
        <v>128</v>
      </c>
      <c r="AJ132" s="4" t="s">
        <v>77</v>
      </c>
      <c r="AK132" s="50">
        <v>612</v>
      </c>
      <c r="AL132" s="43">
        <v>170748000</v>
      </c>
      <c r="AM132" s="43">
        <v>0</v>
      </c>
      <c r="AN132" s="43">
        <v>0</v>
      </c>
      <c r="AO132" s="43">
        <v>0</v>
      </c>
      <c r="AP132" s="43">
        <v>0</v>
      </c>
      <c r="AQ132" s="43">
        <v>98</v>
      </c>
      <c r="AR132" s="43">
        <v>26361297</v>
      </c>
      <c r="AS132" s="52">
        <f t="shared" si="25"/>
        <v>0.16013071895424835</v>
      </c>
    </row>
    <row r="133" spans="2:45" x14ac:dyDescent="0.3">
      <c r="B133" s="32" t="s">
        <v>183</v>
      </c>
      <c r="C133" s="10" t="str">
        <f t="shared" si="23"/>
        <v>DJ9K0</v>
      </c>
      <c r="D133" s="10" t="s">
        <v>148</v>
      </c>
      <c r="E133" s="10" t="str">
        <f t="shared" si="27"/>
        <v>W</v>
      </c>
      <c r="F133" s="10" t="str">
        <f t="shared" si="28"/>
        <v>DJ</v>
      </c>
      <c r="G133" s="10" t="s">
        <v>56</v>
      </c>
      <c r="H133" s="4" t="s">
        <v>173</v>
      </c>
      <c r="I133" s="10" t="s">
        <v>140</v>
      </c>
      <c r="J133" s="4">
        <f t="shared" si="24"/>
        <v>1</v>
      </c>
      <c r="K133" s="4">
        <v>1</v>
      </c>
      <c r="L133" s="43">
        <v>279000</v>
      </c>
      <c r="M133" s="78" t="s">
        <v>150</v>
      </c>
      <c r="N133" s="98" t="s">
        <v>151</v>
      </c>
      <c r="O133" s="10" t="s">
        <v>143</v>
      </c>
      <c r="P133" s="63">
        <v>100</v>
      </c>
      <c r="Q133" s="94" t="s">
        <v>144</v>
      </c>
      <c r="R133" s="63" t="s">
        <v>145</v>
      </c>
      <c r="S133" s="96" t="s">
        <v>152</v>
      </c>
      <c r="T133" s="10" t="s">
        <v>182</v>
      </c>
      <c r="U133" s="10"/>
      <c r="V133" s="10" t="s">
        <v>184</v>
      </c>
      <c r="W133" s="10"/>
      <c r="X133" s="9" t="s">
        <v>67</v>
      </c>
      <c r="Y133" s="10" t="s">
        <v>68</v>
      </c>
      <c r="Z133" s="94" t="s">
        <v>154</v>
      </c>
      <c r="AA133" s="94" t="s">
        <v>185</v>
      </c>
      <c r="AB133" s="9" t="s">
        <v>71</v>
      </c>
      <c r="AC133" s="10" t="s">
        <v>62</v>
      </c>
      <c r="AD133" s="10" t="s">
        <v>72</v>
      </c>
      <c r="AE133" s="65" t="s">
        <v>137</v>
      </c>
      <c r="AF133" s="39" t="s">
        <v>175</v>
      </c>
      <c r="AG133" s="10" t="s">
        <v>127</v>
      </c>
      <c r="AH133" s="4">
        <v>650</v>
      </c>
      <c r="AI133" s="11" t="s">
        <v>128</v>
      </c>
      <c r="AJ133" s="4" t="s">
        <v>77</v>
      </c>
      <c r="AK133" s="50">
        <v>1025</v>
      </c>
      <c r="AL133" s="43">
        <v>285975000</v>
      </c>
      <c r="AM133" s="43">
        <v>20</v>
      </c>
      <c r="AN133" s="43">
        <v>5535000</v>
      </c>
      <c r="AO133" s="43">
        <v>20</v>
      </c>
      <c r="AP133" s="43">
        <v>5535000</v>
      </c>
      <c r="AQ133" s="43">
        <v>464</v>
      </c>
      <c r="AR133" s="43">
        <v>124356346</v>
      </c>
      <c r="AS133" s="52">
        <f t="shared" si="25"/>
        <v>0.45268292682926831</v>
      </c>
    </row>
    <row r="134" spans="2:45" x14ac:dyDescent="0.3">
      <c r="B134" s="32" t="s">
        <v>186</v>
      </c>
      <c r="C134" s="10" t="str">
        <f t="shared" si="23"/>
        <v>DJ950</v>
      </c>
      <c r="D134" s="10" t="s">
        <v>55</v>
      </c>
      <c r="E134" s="10" t="str">
        <f t="shared" si="27"/>
        <v>W</v>
      </c>
      <c r="F134" s="10" t="str">
        <f t="shared" si="28"/>
        <v>DJ</v>
      </c>
      <c r="G134" s="10" t="s">
        <v>56</v>
      </c>
      <c r="H134" s="4" t="s">
        <v>187</v>
      </c>
      <c r="I134" s="10" t="s">
        <v>78</v>
      </c>
      <c r="J134" s="4">
        <f t="shared" si="24"/>
        <v>1</v>
      </c>
      <c r="K134" s="4">
        <v>1</v>
      </c>
      <c r="L134" s="43">
        <v>299000</v>
      </c>
      <c r="M134" s="78" t="s">
        <v>132</v>
      </c>
      <c r="N134" s="98" t="s">
        <v>188</v>
      </c>
      <c r="O134" s="10" t="s">
        <v>61</v>
      </c>
      <c r="P134" s="63">
        <v>100</v>
      </c>
      <c r="Q134" s="94" t="s">
        <v>119</v>
      </c>
      <c r="R134" s="63" t="s">
        <v>189</v>
      </c>
      <c r="S134" s="96" t="s">
        <v>190</v>
      </c>
      <c r="T134" s="10" t="s">
        <v>122</v>
      </c>
      <c r="U134" s="10" t="s">
        <v>136</v>
      </c>
      <c r="V134" s="10" t="s">
        <v>66</v>
      </c>
      <c r="W134" s="10"/>
      <c r="X134" s="9" t="s">
        <v>67</v>
      </c>
      <c r="Y134" s="10" t="s">
        <v>68</v>
      </c>
      <c r="Z134" s="94" t="s">
        <v>125</v>
      </c>
      <c r="AA134" s="94" t="s">
        <v>90</v>
      </c>
      <c r="AB134" s="9" t="s">
        <v>71</v>
      </c>
      <c r="AC134" s="10" t="s">
        <v>62</v>
      </c>
      <c r="AD134" s="10" t="s">
        <v>72</v>
      </c>
      <c r="AE134" s="65" t="s">
        <v>137</v>
      </c>
      <c r="AF134" s="39" t="s">
        <v>191</v>
      </c>
      <c r="AG134" s="10" t="s">
        <v>127</v>
      </c>
      <c r="AH134" s="4">
        <v>650</v>
      </c>
      <c r="AI134" s="11" t="s">
        <v>128</v>
      </c>
      <c r="AJ134" s="4" t="s">
        <v>77</v>
      </c>
      <c r="AK134" s="50">
        <v>1606</v>
      </c>
      <c r="AL134" s="43">
        <v>480194000</v>
      </c>
      <c r="AM134" s="43">
        <v>46</v>
      </c>
      <c r="AN134" s="43">
        <v>13729945</v>
      </c>
      <c r="AO134" s="43">
        <v>291</v>
      </c>
      <c r="AP134" s="43">
        <v>85945738</v>
      </c>
      <c r="AQ134" s="43">
        <v>616</v>
      </c>
      <c r="AR134" s="43">
        <v>166506588</v>
      </c>
      <c r="AS134" s="52">
        <f t="shared" si="25"/>
        <v>0.38356164383561642</v>
      </c>
    </row>
    <row r="135" spans="2:45" x14ac:dyDescent="0.3">
      <c r="B135" s="32" t="s">
        <v>186</v>
      </c>
      <c r="C135" s="10" t="str">
        <f t="shared" si="23"/>
        <v>DJ950</v>
      </c>
      <c r="D135" s="10" t="s">
        <v>55</v>
      </c>
      <c r="E135" s="10" t="str">
        <f t="shared" si="27"/>
        <v>W</v>
      </c>
      <c r="F135" s="10" t="str">
        <f t="shared" si="28"/>
        <v>DJ</v>
      </c>
      <c r="G135" s="10" t="s">
        <v>56</v>
      </c>
      <c r="H135" s="4" t="s">
        <v>187</v>
      </c>
      <c r="I135" s="10" t="s">
        <v>160</v>
      </c>
      <c r="J135" s="4" t="str">
        <f t="shared" si="24"/>
        <v/>
      </c>
      <c r="K135" s="4">
        <v>1</v>
      </c>
      <c r="L135" s="43">
        <v>299000</v>
      </c>
      <c r="M135" s="78" t="s">
        <v>132</v>
      </c>
      <c r="N135" s="98" t="s">
        <v>188</v>
      </c>
      <c r="O135" s="10" t="s">
        <v>61</v>
      </c>
      <c r="P135" s="63">
        <v>100</v>
      </c>
      <c r="Q135" s="94" t="s">
        <v>119</v>
      </c>
      <c r="R135" s="63" t="s">
        <v>189</v>
      </c>
      <c r="S135" s="96" t="s">
        <v>190</v>
      </c>
      <c r="T135" s="10" t="s">
        <v>122</v>
      </c>
      <c r="U135" s="10" t="s">
        <v>136</v>
      </c>
      <c r="V135" s="10" t="s">
        <v>66</v>
      </c>
      <c r="W135" s="10"/>
      <c r="X135" s="9" t="s">
        <v>67</v>
      </c>
      <c r="Y135" s="10" t="s">
        <v>68</v>
      </c>
      <c r="Z135" s="94" t="s">
        <v>125</v>
      </c>
      <c r="AA135" s="94" t="s">
        <v>90</v>
      </c>
      <c r="AB135" s="9" t="s">
        <v>71</v>
      </c>
      <c r="AC135" s="10" t="s">
        <v>62</v>
      </c>
      <c r="AD135" s="10" t="s">
        <v>72</v>
      </c>
      <c r="AE135" s="65" t="s">
        <v>137</v>
      </c>
      <c r="AF135" s="39" t="s">
        <v>191</v>
      </c>
      <c r="AG135" s="10" t="s">
        <v>127</v>
      </c>
      <c r="AH135" s="4">
        <v>650</v>
      </c>
      <c r="AI135" s="11" t="s">
        <v>128</v>
      </c>
      <c r="AJ135" s="4" t="s">
        <v>77</v>
      </c>
      <c r="AK135" s="50">
        <v>907</v>
      </c>
      <c r="AL135" s="43">
        <v>271193000</v>
      </c>
      <c r="AM135" s="43">
        <v>7</v>
      </c>
      <c r="AN135" s="43">
        <v>2093000</v>
      </c>
      <c r="AO135" s="43">
        <v>44</v>
      </c>
      <c r="AP135" s="43">
        <v>13041353</v>
      </c>
      <c r="AQ135" s="43">
        <v>87</v>
      </c>
      <c r="AR135" s="43">
        <v>23633553</v>
      </c>
      <c r="AS135" s="52">
        <f t="shared" si="25"/>
        <v>9.5920617420066148E-2</v>
      </c>
    </row>
    <row r="136" spans="2:45" x14ac:dyDescent="0.3">
      <c r="B136" s="32" t="s">
        <v>192</v>
      </c>
      <c r="C136" s="10" t="str">
        <f t="shared" si="23"/>
        <v>DJ960</v>
      </c>
      <c r="D136" s="10" t="s">
        <v>55</v>
      </c>
      <c r="E136" s="10" t="str">
        <f t="shared" si="27"/>
        <v>W</v>
      </c>
      <c r="F136" s="10" t="str">
        <f t="shared" si="28"/>
        <v>DJ</v>
      </c>
      <c r="G136" s="10" t="s">
        <v>56</v>
      </c>
      <c r="H136" s="4" t="s">
        <v>193</v>
      </c>
      <c r="I136" s="10" t="s">
        <v>155</v>
      </c>
      <c r="J136" s="4">
        <f t="shared" si="24"/>
        <v>1</v>
      </c>
      <c r="K136" s="4">
        <v>1</v>
      </c>
      <c r="L136" s="43">
        <v>359000</v>
      </c>
      <c r="M136" s="78" t="s">
        <v>194</v>
      </c>
      <c r="N136" s="98" t="s">
        <v>195</v>
      </c>
      <c r="O136" s="10" t="s">
        <v>61</v>
      </c>
      <c r="P136" s="63">
        <v>100</v>
      </c>
      <c r="Q136" s="94" t="s">
        <v>119</v>
      </c>
      <c r="R136" s="63" t="s">
        <v>196</v>
      </c>
      <c r="S136" s="96" t="s">
        <v>197</v>
      </c>
      <c r="T136" s="10" t="s">
        <v>122</v>
      </c>
      <c r="U136" s="10" t="s">
        <v>198</v>
      </c>
      <c r="V136" s="10" t="s">
        <v>66</v>
      </c>
      <c r="W136" s="10"/>
      <c r="X136" s="9" t="s">
        <v>67</v>
      </c>
      <c r="Y136" s="10" t="s">
        <v>68</v>
      </c>
      <c r="Z136" s="94" t="s">
        <v>125</v>
      </c>
      <c r="AA136" s="94" t="s">
        <v>90</v>
      </c>
      <c r="AB136" s="9" t="s">
        <v>71</v>
      </c>
      <c r="AC136" s="10" t="s">
        <v>62</v>
      </c>
      <c r="AD136" s="10" t="s">
        <v>72</v>
      </c>
      <c r="AE136" s="65" t="s">
        <v>73</v>
      </c>
      <c r="AF136" s="39" t="s">
        <v>199</v>
      </c>
      <c r="AG136" s="10" t="s">
        <v>127</v>
      </c>
      <c r="AH136" s="4">
        <v>650</v>
      </c>
      <c r="AI136" s="11" t="s">
        <v>99</v>
      </c>
      <c r="AJ136" s="4" t="s">
        <v>100</v>
      </c>
      <c r="AK136" s="50">
        <v>1668</v>
      </c>
      <c r="AL136" s="43">
        <v>598812000</v>
      </c>
      <c r="AM136" s="43">
        <v>33</v>
      </c>
      <c r="AN136" s="43">
        <v>11761000</v>
      </c>
      <c r="AO136" s="43">
        <v>101</v>
      </c>
      <c r="AP136" s="43">
        <v>34980615</v>
      </c>
      <c r="AQ136" s="43">
        <v>358</v>
      </c>
      <c r="AR136" s="43">
        <v>111464396</v>
      </c>
      <c r="AS136" s="52">
        <f t="shared" si="25"/>
        <v>0.21462829736211031</v>
      </c>
    </row>
    <row r="137" spans="2:45" x14ac:dyDescent="0.3">
      <c r="B137" s="32" t="s">
        <v>192</v>
      </c>
      <c r="C137" s="10" t="str">
        <f t="shared" si="23"/>
        <v>DJ960</v>
      </c>
      <c r="D137" s="10" t="s">
        <v>55</v>
      </c>
      <c r="E137" s="10" t="str">
        <f t="shared" si="27"/>
        <v>W</v>
      </c>
      <c r="F137" s="10" t="str">
        <f t="shared" si="28"/>
        <v>DJ</v>
      </c>
      <c r="G137" s="10" t="s">
        <v>56</v>
      </c>
      <c r="H137" s="4" t="s">
        <v>193</v>
      </c>
      <c r="I137" s="10" t="s">
        <v>79</v>
      </c>
      <c r="J137" s="4" t="str">
        <f t="shared" si="24"/>
        <v/>
      </c>
      <c r="K137" s="4">
        <v>1</v>
      </c>
      <c r="L137" s="43">
        <v>359000</v>
      </c>
      <c r="M137" s="78" t="s">
        <v>194</v>
      </c>
      <c r="N137" s="98" t="s">
        <v>195</v>
      </c>
      <c r="O137" s="10" t="s">
        <v>61</v>
      </c>
      <c r="P137" s="63">
        <v>100</v>
      </c>
      <c r="Q137" s="94" t="s">
        <v>119</v>
      </c>
      <c r="R137" s="63" t="s">
        <v>196</v>
      </c>
      <c r="S137" s="96" t="s">
        <v>197</v>
      </c>
      <c r="T137" s="10" t="s">
        <v>122</v>
      </c>
      <c r="U137" s="10" t="s">
        <v>198</v>
      </c>
      <c r="V137" s="10" t="s">
        <v>66</v>
      </c>
      <c r="W137" s="10"/>
      <c r="X137" s="9" t="s">
        <v>67</v>
      </c>
      <c r="Y137" s="10" t="s">
        <v>68</v>
      </c>
      <c r="Z137" s="94" t="s">
        <v>125</v>
      </c>
      <c r="AA137" s="94" t="s">
        <v>90</v>
      </c>
      <c r="AB137" s="9" t="s">
        <v>71</v>
      </c>
      <c r="AC137" s="10" t="s">
        <v>62</v>
      </c>
      <c r="AD137" s="10" t="s">
        <v>72</v>
      </c>
      <c r="AE137" s="65" t="s">
        <v>73</v>
      </c>
      <c r="AF137" s="39" t="s">
        <v>199</v>
      </c>
      <c r="AG137" s="10" t="s">
        <v>127</v>
      </c>
      <c r="AH137" s="4">
        <v>650</v>
      </c>
      <c r="AI137" s="11" t="s">
        <v>99</v>
      </c>
      <c r="AJ137" s="4" t="s">
        <v>100</v>
      </c>
      <c r="AK137" s="50">
        <v>1135</v>
      </c>
      <c r="AL137" s="43">
        <v>407465000</v>
      </c>
      <c r="AM137" s="43">
        <v>39</v>
      </c>
      <c r="AN137" s="43">
        <v>13847446</v>
      </c>
      <c r="AO137" s="43">
        <v>151</v>
      </c>
      <c r="AP137" s="43">
        <v>53737708</v>
      </c>
      <c r="AQ137" s="43">
        <v>413</v>
      </c>
      <c r="AR137" s="43">
        <v>131669362</v>
      </c>
      <c r="AS137" s="52">
        <f t="shared" si="25"/>
        <v>0.36387665198237884</v>
      </c>
    </row>
    <row r="138" spans="2:45" x14ac:dyDescent="0.3">
      <c r="B138" s="32" t="s">
        <v>192</v>
      </c>
      <c r="C138" s="10" t="str">
        <f t="shared" si="23"/>
        <v>DJ960</v>
      </c>
      <c r="D138" s="10" t="s">
        <v>55</v>
      </c>
      <c r="E138" s="10" t="str">
        <f t="shared" si="27"/>
        <v>W</v>
      </c>
      <c r="F138" s="10" t="str">
        <f t="shared" si="28"/>
        <v>DJ</v>
      </c>
      <c r="G138" s="10" t="s">
        <v>56</v>
      </c>
      <c r="H138" s="4" t="s">
        <v>193</v>
      </c>
      <c r="I138" s="10" t="s">
        <v>78</v>
      </c>
      <c r="J138" s="4" t="str">
        <f t="shared" si="24"/>
        <v/>
      </c>
      <c r="K138" s="4">
        <v>1</v>
      </c>
      <c r="L138" s="43">
        <v>359000</v>
      </c>
      <c r="M138" s="78" t="s">
        <v>194</v>
      </c>
      <c r="N138" s="98" t="s">
        <v>195</v>
      </c>
      <c r="O138" s="10" t="s">
        <v>61</v>
      </c>
      <c r="P138" s="63">
        <v>100</v>
      </c>
      <c r="Q138" s="94" t="s">
        <v>119</v>
      </c>
      <c r="R138" s="63" t="s">
        <v>196</v>
      </c>
      <c r="S138" s="96" t="s">
        <v>197</v>
      </c>
      <c r="T138" s="10" t="s">
        <v>122</v>
      </c>
      <c r="U138" s="10" t="s">
        <v>198</v>
      </c>
      <c r="V138" s="10" t="s">
        <v>66</v>
      </c>
      <c r="W138" s="10"/>
      <c r="X138" s="9" t="s">
        <v>67</v>
      </c>
      <c r="Y138" s="10" t="s">
        <v>68</v>
      </c>
      <c r="Z138" s="94" t="s">
        <v>125</v>
      </c>
      <c r="AA138" s="94" t="s">
        <v>90</v>
      </c>
      <c r="AB138" s="9" t="s">
        <v>71</v>
      </c>
      <c r="AC138" s="10" t="s">
        <v>62</v>
      </c>
      <c r="AD138" s="10" t="s">
        <v>72</v>
      </c>
      <c r="AE138" s="65" t="s">
        <v>73</v>
      </c>
      <c r="AF138" s="39" t="s">
        <v>199</v>
      </c>
      <c r="AG138" s="10" t="s">
        <v>127</v>
      </c>
      <c r="AH138" s="4">
        <v>650</v>
      </c>
      <c r="AI138" s="11" t="s">
        <v>99</v>
      </c>
      <c r="AJ138" s="4" t="s">
        <v>100</v>
      </c>
      <c r="AK138" s="50">
        <v>2360</v>
      </c>
      <c r="AL138" s="43">
        <v>847240000</v>
      </c>
      <c r="AM138" s="43">
        <v>120</v>
      </c>
      <c r="AN138" s="43">
        <v>42641657</v>
      </c>
      <c r="AO138" s="43">
        <v>495</v>
      </c>
      <c r="AP138" s="43">
        <v>175324145</v>
      </c>
      <c r="AQ138" s="43">
        <v>1799</v>
      </c>
      <c r="AR138" s="43">
        <v>556656265</v>
      </c>
      <c r="AS138" s="52">
        <f t="shared" si="25"/>
        <v>0.76228813559322028</v>
      </c>
    </row>
    <row r="139" spans="2:45" x14ac:dyDescent="0.3">
      <c r="B139" s="32" t="s">
        <v>192</v>
      </c>
      <c r="C139" s="10" t="str">
        <f t="shared" si="23"/>
        <v>DJ960</v>
      </c>
      <c r="D139" s="10" t="s">
        <v>55</v>
      </c>
      <c r="E139" s="10" t="str">
        <f t="shared" si="27"/>
        <v>W</v>
      </c>
      <c r="F139" s="10" t="str">
        <f t="shared" si="28"/>
        <v>DJ</v>
      </c>
      <c r="G139" s="10" t="s">
        <v>56</v>
      </c>
      <c r="H139" s="4" t="s">
        <v>193</v>
      </c>
      <c r="I139" s="10" t="s">
        <v>82</v>
      </c>
      <c r="J139" s="4" t="str">
        <f t="shared" si="24"/>
        <v/>
      </c>
      <c r="K139" s="4">
        <v>1</v>
      </c>
      <c r="L139" s="43">
        <v>359000</v>
      </c>
      <c r="M139" s="78" t="s">
        <v>194</v>
      </c>
      <c r="N139" s="98" t="s">
        <v>195</v>
      </c>
      <c r="O139" s="10" t="s">
        <v>61</v>
      </c>
      <c r="P139" s="63">
        <v>100</v>
      </c>
      <c r="Q139" s="94" t="s">
        <v>119</v>
      </c>
      <c r="R139" s="63" t="s">
        <v>196</v>
      </c>
      <c r="S139" s="96" t="s">
        <v>197</v>
      </c>
      <c r="T139" s="10" t="s">
        <v>122</v>
      </c>
      <c r="U139" s="10" t="s">
        <v>198</v>
      </c>
      <c r="V139" s="10" t="s">
        <v>66</v>
      </c>
      <c r="W139" s="10"/>
      <c r="X139" s="9" t="s">
        <v>67</v>
      </c>
      <c r="Y139" s="10" t="s">
        <v>68</v>
      </c>
      <c r="Z139" s="94" t="s">
        <v>125</v>
      </c>
      <c r="AA139" s="94" t="s">
        <v>90</v>
      </c>
      <c r="AB139" s="9" t="s">
        <v>71</v>
      </c>
      <c r="AC139" s="10" t="s">
        <v>62</v>
      </c>
      <c r="AD139" s="10" t="s">
        <v>72</v>
      </c>
      <c r="AE139" s="65" t="s">
        <v>73</v>
      </c>
      <c r="AF139" s="39" t="s">
        <v>199</v>
      </c>
      <c r="AG139" s="10" t="s">
        <v>127</v>
      </c>
      <c r="AH139" s="4">
        <v>650</v>
      </c>
      <c r="AI139" s="11" t="s">
        <v>99</v>
      </c>
      <c r="AJ139" s="4" t="s">
        <v>100</v>
      </c>
      <c r="AK139" s="50">
        <v>2000</v>
      </c>
      <c r="AL139" s="43">
        <v>718000000</v>
      </c>
      <c r="AM139" s="43">
        <v>54</v>
      </c>
      <c r="AN139" s="43">
        <v>19107640</v>
      </c>
      <c r="AO139" s="43">
        <v>197</v>
      </c>
      <c r="AP139" s="43">
        <v>69463304</v>
      </c>
      <c r="AQ139" s="43">
        <v>687</v>
      </c>
      <c r="AR139" s="43">
        <v>210675511</v>
      </c>
      <c r="AS139" s="52">
        <f t="shared" si="25"/>
        <v>0.34350000000000003</v>
      </c>
    </row>
    <row r="140" spans="2:45" x14ac:dyDescent="0.3">
      <c r="B140" s="32" t="s">
        <v>200</v>
      </c>
      <c r="C140" s="10" t="str">
        <f t="shared" si="23"/>
        <v>DJ980</v>
      </c>
      <c r="D140" s="10" t="s">
        <v>55</v>
      </c>
      <c r="E140" s="10" t="str">
        <f t="shared" si="27"/>
        <v>W</v>
      </c>
      <c r="F140" s="10" t="str">
        <f t="shared" si="28"/>
        <v>DJ</v>
      </c>
      <c r="G140" s="10" t="s">
        <v>56</v>
      </c>
      <c r="H140" s="4" t="s">
        <v>201</v>
      </c>
      <c r="I140" s="10" t="s">
        <v>163</v>
      </c>
      <c r="J140" s="4">
        <f t="shared" si="24"/>
        <v>1</v>
      </c>
      <c r="K140" s="4">
        <v>1</v>
      </c>
      <c r="L140" s="43">
        <v>490000</v>
      </c>
      <c r="M140" s="78" t="s">
        <v>202</v>
      </c>
      <c r="N140" s="98" t="s">
        <v>203</v>
      </c>
      <c r="O140" s="10" t="s">
        <v>61</v>
      </c>
      <c r="P140" s="63">
        <v>100</v>
      </c>
      <c r="Q140" s="94" t="s">
        <v>204</v>
      </c>
      <c r="R140" s="63" t="s">
        <v>205</v>
      </c>
      <c r="S140" s="96" t="s">
        <v>206</v>
      </c>
      <c r="T140" s="10" t="s">
        <v>122</v>
      </c>
      <c r="U140" s="10" t="s">
        <v>207</v>
      </c>
      <c r="V140" s="10" t="s">
        <v>66</v>
      </c>
      <c r="W140" s="10"/>
      <c r="X140" s="9" t="s">
        <v>67</v>
      </c>
      <c r="Y140" s="10" t="s">
        <v>68</v>
      </c>
      <c r="Z140" s="94" t="s">
        <v>125</v>
      </c>
      <c r="AA140" s="94" t="s">
        <v>90</v>
      </c>
      <c r="AB140" s="9" t="s">
        <v>71</v>
      </c>
      <c r="AC140" s="10" t="s">
        <v>85</v>
      </c>
      <c r="AD140" s="10" t="s">
        <v>208</v>
      </c>
      <c r="AE140" s="65" t="s">
        <v>73</v>
      </c>
      <c r="AF140" s="39" t="s">
        <v>199</v>
      </c>
      <c r="AG140" s="10" t="s">
        <v>127</v>
      </c>
      <c r="AH140" s="4">
        <v>650</v>
      </c>
      <c r="AI140" s="11" t="s">
        <v>99</v>
      </c>
      <c r="AJ140" s="4" t="s">
        <v>100</v>
      </c>
      <c r="AK140" s="50">
        <v>1968</v>
      </c>
      <c r="AL140" s="43">
        <v>964320000</v>
      </c>
      <c r="AM140" s="43">
        <v>93</v>
      </c>
      <c r="AN140" s="43">
        <v>44742940</v>
      </c>
      <c r="AO140" s="43">
        <v>336</v>
      </c>
      <c r="AP140" s="43">
        <v>161755077</v>
      </c>
      <c r="AQ140" s="43">
        <v>867</v>
      </c>
      <c r="AR140" s="43">
        <v>412672065</v>
      </c>
      <c r="AS140" s="52">
        <f t="shared" si="25"/>
        <v>0.44054878048780488</v>
      </c>
    </row>
    <row r="141" spans="2:45" x14ac:dyDescent="0.3">
      <c r="B141" s="32" t="s">
        <v>200</v>
      </c>
      <c r="C141" s="10" t="str">
        <f t="shared" si="23"/>
        <v>DJ980</v>
      </c>
      <c r="D141" s="10" t="s">
        <v>55</v>
      </c>
      <c r="E141" s="10" t="str">
        <f t="shared" si="27"/>
        <v>W</v>
      </c>
      <c r="F141" s="10" t="str">
        <f t="shared" si="28"/>
        <v>DJ</v>
      </c>
      <c r="G141" s="10" t="s">
        <v>56</v>
      </c>
      <c r="H141" s="4" t="s">
        <v>201</v>
      </c>
      <c r="I141" s="10" t="s">
        <v>209</v>
      </c>
      <c r="J141" s="4" t="str">
        <f t="shared" si="24"/>
        <v/>
      </c>
      <c r="K141" s="4">
        <v>1</v>
      </c>
      <c r="L141" s="43">
        <v>490000</v>
      </c>
      <c r="M141" s="78" t="s">
        <v>202</v>
      </c>
      <c r="N141" s="98" t="s">
        <v>203</v>
      </c>
      <c r="O141" s="10" t="s">
        <v>61</v>
      </c>
      <c r="P141" s="63">
        <v>100</v>
      </c>
      <c r="Q141" s="94" t="s">
        <v>204</v>
      </c>
      <c r="R141" s="63" t="s">
        <v>205</v>
      </c>
      <c r="S141" s="96" t="s">
        <v>206</v>
      </c>
      <c r="T141" s="10" t="s">
        <v>122</v>
      </c>
      <c r="U141" s="10" t="s">
        <v>207</v>
      </c>
      <c r="V141" s="10" t="s">
        <v>66</v>
      </c>
      <c r="W141" s="10"/>
      <c r="X141" s="9" t="s">
        <v>67</v>
      </c>
      <c r="Y141" s="10" t="s">
        <v>68</v>
      </c>
      <c r="Z141" s="94" t="s">
        <v>125</v>
      </c>
      <c r="AA141" s="94" t="s">
        <v>90</v>
      </c>
      <c r="AB141" s="9" t="s">
        <v>71</v>
      </c>
      <c r="AC141" s="10" t="s">
        <v>85</v>
      </c>
      <c r="AD141" s="10" t="s">
        <v>208</v>
      </c>
      <c r="AE141" s="65" t="s">
        <v>73</v>
      </c>
      <c r="AF141" s="39" t="s">
        <v>199</v>
      </c>
      <c r="AG141" s="10" t="s">
        <v>127</v>
      </c>
      <c r="AH141" s="4">
        <v>650</v>
      </c>
      <c r="AI141" s="11" t="s">
        <v>99</v>
      </c>
      <c r="AJ141" s="4" t="s">
        <v>100</v>
      </c>
      <c r="AK141" s="50">
        <v>1470</v>
      </c>
      <c r="AL141" s="43">
        <v>720300000</v>
      </c>
      <c r="AM141" s="43">
        <v>33</v>
      </c>
      <c r="AN141" s="43">
        <v>15998818</v>
      </c>
      <c r="AO141" s="43">
        <v>142</v>
      </c>
      <c r="AP141" s="43">
        <v>67503340</v>
      </c>
      <c r="AQ141" s="43">
        <v>410</v>
      </c>
      <c r="AR141" s="43">
        <v>194315169</v>
      </c>
      <c r="AS141" s="52">
        <f t="shared" si="25"/>
        <v>0.27891156462585032</v>
      </c>
    </row>
    <row r="142" spans="2:45" x14ac:dyDescent="0.3">
      <c r="B142" s="32" t="s">
        <v>200</v>
      </c>
      <c r="C142" s="10" t="str">
        <f t="shared" si="23"/>
        <v>DJ980</v>
      </c>
      <c r="D142" s="10" t="s">
        <v>55</v>
      </c>
      <c r="E142" s="10" t="str">
        <f t="shared" si="27"/>
        <v>W</v>
      </c>
      <c r="F142" s="10" t="str">
        <f t="shared" si="28"/>
        <v>DJ</v>
      </c>
      <c r="G142" s="10" t="s">
        <v>56</v>
      </c>
      <c r="H142" s="4" t="s">
        <v>201</v>
      </c>
      <c r="I142" s="10" t="s">
        <v>78</v>
      </c>
      <c r="J142" s="4" t="str">
        <f t="shared" si="24"/>
        <v/>
      </c>
      <c r="K142" s="4">
        <v>1</v>
      </c>
      <c r="L142" s="43">
        <v>490000</v>
      </c>
      <c r="M142" s="78" t="s">
        <v>202</v>
      </c>
      <c r="N142" s="98" t="s">
        <v>203</v>
      </c>
      <c r="O142" s="10" t="s">
        <v>61</v>
      </c>
      <c r="P142" s="63">
        <v>100</v>
      </c>
      <c r="Q142" s="94" t="s">
        <v>204</v>
      </c>
      <c r="R142" s="63" t="s">
        <v>205</v>
      </c>
      <c r="S142" s="96" t="s">
        <v>206</v>
      </c>
      <c r="T142" s="10" t="s">
        <v>122</v>
      </c>
      <c r="U142" s="10" t="s">
        <v>207</v>
      </c>
      <c r="V142" s="10" t="s">
        <v>66</v>
      </c>
      <c r="W142" s="10"/>
      <c r="X142" s="9" t="s">
        <v>67</v>
      </c>
      <c r="Y142" s="10" t="s">
        <v>68</v>
      </c>
      <c r="Z142" s="94" t="s">
        <v>125</v>
      </c>
      <c r="AA142" s="94" t="s">
        <v>90</v>
      </c>
      <c r="AB142" s="9" t="s">
        <v>71</v>
      </c>
      <c r="AC142" s="10" t="s">
        <v>85</v>
      </c>
      <c r="AD142" s="10" t="s">
        <v>208</v>
      </c>
      <c r="AE142" s="65" t="s">
        <v>73</v>
      </c>
      <c r="AF142" s="39" t="s">
        <v>199</v>
      </c>
      <c r="AG142" s="10" t="s">
        <v>127</v>
      </c>
      <c r="AH142" s="4">
        <v>650</v>
      </c>
      <c r="AI142" s="11" t="s">
        <v>99</v>
      </c>
      <c r="AJ142" s="4" t="s">
        <v>100</v>
      </c>
      <c r="AK142" s="50">
        <v>2990</v>
      </c>
      <c r="AL142" s="43">
        <v>1465100000</v>
      </c>
      <c r="AM142" s="43">
        <v>349</v>
      </c>
      <c r="AN142" s="43">
        <v>167720323</v>
      </c>
      <c r="AO142" s="43">
        <v>1244</v>
      </c>
      <c r="AP142" s="43">
        <v>596531009</v>
      </c>
      <c r="AQ142" s="43">
        <v>2749</v>
      </c>
      <c r="AR142" s="43">
        <v>1301124906</v>
      </c>
      <c r="AS142" s="52">
        <f t="shared" si="25"/>
        <v>0.91939799331103678</v>
      </c>
    </row>
    <row r="143" spans="2:45" x14ac:dyDescent="0.3">
      <c r="B143" s="32" t="s">
        <v>200</v>
      </c>
      <c r="C143" s="10" t="str">
        <f t="shared" si="23"/>
        <v>DJ980</v>
      </c>
      <c r="D143" s="10" t="s">
        <v>55</v>
      </c>
      <c r="E143" s="10" t="str">
        <f t="shared" si="27"/>
        <v>W</v>
      </c>
      <c r="F143" s="10" t="str">
        <f t="shared" si="28"/>
        <v>DJ</v>
      </c>
      <c r="G143" s="10" t="s">
        <v>56</v>
      </c>
      <c r="H143" s="4" t="s">
        <v>201</v>
      </c>
      <c r="I143" s="10" t="s">
        <v>111</v>
      </c>
      <c r="J143" s="4" t="str">
        <f t="shared" si="24"/>
        <v/>
      </c>
      <c r="K143" s="4">
        <v>1</v>
      </c>
      <c r="L143" s="43">
        <v>490000</v>
      </c>
      <c r="M143" s="78" t="s">
        <v>202</v>
      </c>
      <c r="N143" s="98" t="s">
        <v>203</v>
      </c>
      <c r="O143" s="10" t="s">
        <v>61</v>
      </c>
      <c r="P143" s="63">
        <v>100</v>
      </c>
      <c r="Q143" s="94" t="s">
        <v>204</v>
      </c>
      <c r="R143" s="63" t="s">
        <v>205</v>
      </c>
      <c r="S143" s="96" t="s">
        <v>206</v>
      </c>
      <c r="T143" s="10" t="s">
        <v>122</v>
      </c>
      <c r="U143" s="10" t="s">
        <v>207</v>
      </c>
      <c r="V143" s="10" t="s">
        <v>66</v>
      </c>
      <c r="W143" s="10"/>
      <c r="X143" s="9" t="s">
        <v>67</v>
      </c>
      <c r="Y143" s="10" t="s">
        <v>68</v>
      </c>
      <c r="Z143" s="94" t="s">
        <v>125</v>
      </c>
      <c r="AA143" s="94" t="s">
        <v>90</v>
      </c>
      <c r="AB143" s="9" t="s">
        <v>71</v>
      </c>
      <c r="AC143" s="10" t="s">
        <v>85</v>
      </c>
      <c r="AD143" s="10" t="s">
        <v>208</v>
      </c>
      <c r="AE143" s="65" t="s">
        <v>73</v>
      </c>
      <c r="AF143" s="39" t="s">
        <v>199</v>
      </c>
      <c r="AG143" s="10" t="s">
        <v>127</v>
      </c>
      <c r="AH143" s="4">
        <v>650</v>
      </c>
      <c r="AI143" s="11" t="s">
        <v>99</v>
      </c>
      <c r="AJ143" s="4" t="s">
        <v>100</v>
      </c>
      <c r="AK143" s="50">
        <v>2060</v>
      </c>
      <c r="AL143" s="43">
        <v>1009400000</v>
      </c>
      <c r="AM143" s="43">
        <v>104</v>
      </c>
      <c r="AN143" s="43">
        <v>50224296</v>
      </c>
      <c r="AO143" s="43">
        <v>436</v>
      </c>
      <c r="AP143" s="43">
        <v>210479097</v>
      </c>
      <c r="AQ143" s="43">
        <v>1101</v>
      </c>
      <c r="AR143" s="43">
        <v>524358085</v>
      </c>
      <c r="AS143" s="52">
        <f t="shared" si="25"/>
        <v>0.53446601941747574</v>
      </c>
    </row>
    <row r="144" spans="2:45" x14ac:dyDescent="0.3">
      <c r="B144" s="32" t="s">
        <v>210</v>
      </c>
      <c r="C144" s="10" t="str">
        <f t="shared" si="23"/>
        <v>DJ990</v>
      </c>
      <c r="D144" s="10" t="s">
        <v>55</v>
      </c>
      <c r="E144" s="10" t="str">
        <f t="shared" si="27"/>
        <v>W</v>
      </c>
      <c r="F144" s="10" t="str">
        <f t="shared" si="28"/>
        <v>DJ</v>
      </c>
      <c r="G144" s="10" t="s">
        <v>56</v>
      </c>
      <c r="H144" s="4" t="s">
        <v>211</v>
      </c>
      <c r="I144" s="10" t="s">
        <v>78</v>
      </c>
      <c r="J144" s="4">
        <f t="shared" si="24"/>
        <v>1</v>
      </c>
      <c r="K144" s="4">
        <v>1</v>
      </c>
      <c r="L144" s="43">
        <v>379000</v>
      </c>
      <c r="M144" s="78" t="s">
        <v>202</v>
      </c>
      <c r="N144" s="98" t="s">
        <v>203</v>
      </c>
      <c r="O144" s="10" t="s">
        <v>61</v>
      </c>
      <c r="P144" s="63">
        <v>100</v>
      </c>
      <c r="Q144" s="94" t="s">
        <v>204</v>
      </c>
      <c r="R144" s="63" t="s">
        <v>205</v>
      </c>
      <c r="S144" s="96" t="s">
        <v>206</v>
      </c>
      <c r="T144" s="10" t="s">
        <v>122</v>
      </c>
      <c r="U144" s="10" t="s">
        <v>207</v>
      </c>
      <c r="V144" s="10" t="s">
        <v>66</v>
      </c>
      <c r="W144" s="10"/>
      <c r="X144" s="9" t="s">
        <v>67</v>
      </c>
      <c r="Y144" s="10" t="s">
        <v>68</v>
      </c>
      <c r="Z144" s="94" t="s">
        <v>125</v>
      </c>
      <c r="AA144" s="94" t="s">
        <v>90</v>
      </c>
      <c r="AB144" s="9" t="s">
        <v>71</v>
      </c>
      <c r="AC144" s="10" t="s">
        <v>85</v>
      </c>
      <c r="AD144" s="10" t="s">
        <v>208</v>
      </c>
      <c r="AE144" s="65" t="s">
        <v>73</v>
      </c>
      <c r="AF144" s="39" t="s">
        <v>191</v>
      </c>
      <c r="AG144" s="10" t="s">
        <v>127</v>
      </c>
      <c r="AH144" s="4">
        <v>650</v>
      </c>
      <c r="AI144" s="11" t="s">
        <v>128</v>
      </c>
      <c r="AJ144" s="4" t="s">
        <v>94</v>
      </c>
      <c r="AK144" s="50">
        <v>1800</v>
      </c>
      <c r="AL144" s="43">
        <v>682200000</v>
      </c>
      <c r="AM144" s="43">
        <v>317</v>
      </c>
      <c r="AN144" s="43">
        <v>118686546</v>
      </c>
      <c r="AO144" s="43">
        <v>1231</v>
      </c>
      <c r="AP144" s="43">
        <v>460090945</v>
      </c>
      <c r="AQ144" s="43">
        <v>1729</v>
      </c>
      <c r="AR144" s="43">
        <v>641802583</v>
      </c>
      <c r="AS144" s="52">
        <f t="shared" si="25"/>
        <v>0.96055555555555561</v>
      </c>
    </row>
    <row r="145" spans="2:45" x14ac:dyDescent="0.3">
      <c r="B145" s="32" t="s">
        <v>210</v>
      </c>
      <c r="C145" s="10" t="str">
        <f t="shared" si="23"/>
        <v>DJ990</v>
      </c>
      <c r="D145" s="10" t="s">
        <v>55</v>
      </c>
      <c r="E145" s="10" t="str">
        <f t="shared" si="27"/>
        <v>W</v>
      </c>
      <c r="F145" s="10" t="str">
        <f t="shared" si="28"/>
        <v>DJ</v>
      </c>
      <c r="G145" s="10" t="s">
        <v>56</v>
      </c>
      <c r="H145" s="4" t="s">
        <v>211</v>
      </c>
      <c r="I145" s="10" t="s">
        <v>111</v>
      </c>
      <c r="J145" s="4" t="str">
        <f t="shared" si="24"/>
        <v/>
      </c>
      <c r="K145" s="4">
        <v>1</v>
      </c>
      <c r="L145" s="43">
        <v>379000</v>
      </c>
      <c r="M145" s="78" t="s">
        <v>202</v>
      </c>
      <c r="N145" s="98" t="s">
        <v>203</v>
      </c>
      <c r="O145" s="10" t="s">
        <v>61</v>
      </c>
      <c r="P145" s="63">
        <v>100</v>
      </c>
      <c r="Q145" s="94" t="s">
        <v>204</v>
      </c>
      <c r="R145" s="63" t="s">
        <v>205</v>
      </c>
      <c r="S145" s="96" t="s">
        <v>206</v>
      </c>
      <c r="T145" s="10" t="s">
        <v>122</v>
      </c>
      <c r="U145" s="10" t="s">
        <v>207</v>
      </c>
      <c r="V145" s="10" t="s">
        <v>66</v>
      </c>
      <c r="W145" s="10"/>
      <c r="X145" s="9" t="s">
        <v>67</v>
      </c>
      <c r="Y145" s="10" t="s">
        <v>68</v>
      </c>
      <c r="Z145" s="94" t="s">
        <v>125</v>
      </c>
      <c r="AA145" s="94" t="s">
        <v>90</v>
      </c>
      <c r="AB145" s="9" t="s">
        <v>71</v>
      </c>
      <c r="AC145" s="10" t="s">
        <v>85</v>
      </c>
      <c r="AD145" s="10" t="s">
        <v>208</v>
      </c>
      <c r="AE145" s="65" t="s">
        <v>73</v>
      </c>
      <c r="AF145" s="39" t="s">
        <v>191</v>
      </c>
      <c r="AG145" s="10" t="s">
        <v>127</v>
      </c>
      <c r="AH145" s="4">
        <v>650</v>
      </c>
      <c r="AI145" s="11" t="s">
        <v>128</v>
      </c>
      <c r="AJ145" s="4" t="s">
        <v>94</v>
      </c>
      <c r="AK145" s="50">
        <v>1199</v>
      </c>
      <c r="AL145" s="43">
        <v>454421000</v>
      </c>
      <c r="AM145" s="43">
        <v>223</v>
      </c>
      <c r="AN145" s="43">
        <v>83496818</v>
      </c>
      <c r="AO145" s="43">
        <v>978</v>
      </c>
      <c r="AP145" s="43">
        <v>365660932</v>
      </c>
      <c r="AQ145" s="43">
        <v>1144</v>
      </c>
      <c r="AR145" s="43">
        <v>425683158</v>
      </c>
      <c r="AS145" s="52">
        <f t="shared" si="25"/>
        <v>0.95412844036697253</v>
      </c>
    </row>
    <row r="146" spans="2:45" x14ac:dyDescent="0.3">
      <c r="B146" s="32" t="s">
        <v>212</v>
      </c>
      <c r="C146" s="10" t="str">
        <f t="shared" si="23"/>
        <v>DJ9A0</v>
      </c>
      <c r="D146" s="10" t="s">
        <v>55</v>
      </c>
      <c r="E146" s="10" t="str">
        <f t="shared" si="27"/>
        <v>W</v>
      </c>
      <c r="F146" s="10" t="str">
        <f t="shared" si="28"/>
        <v>DJ</v>
      </c>
      <c r="G146" s="10" t="s">
        <v>56</v>
      </c>
      <c r="H146" s="4" t="s">
        <v>213</v>
      </c>
      <c r="I146" s="10" t="s">
        <v>105</v>
      </c>
      <c r="J146" s="4">
        <f t="shared" si="24"/>
        <v>1</v>
      </c>
      <c r="K146" s="4">
        <v>1</v>
      </c>
      <c r="L146" s="43">
        <v>570000</v>
      </c>
      <c r="M146" s="78" t="s">
        <v>202</v>
      </c>
      <c r="N146" s="98" t="s">
        <v>203</v>
      </c>
      <c r="O146" s="10" t="s">
        <v>61</v>
      </c>
      <c r="P146" s="63">
        <v>100</v>
      </c>
      <c r="Q146" s="94" t="s">
        <v>204</v>
      </c>
      <c r="R146" s="63" t="s">
        <v>205</v>
      </c>
      <c r="S146" s="96" t="s">
        <v>206</v>
      </c>
      <c r="T146" s="10" t="s">
        <v>122</v>
      </c>
      <c r="U146" s="10" t="s">
        <v>207</v>
      </c>
      <c r="V146" s="10" t="s">
        <v>66</v>
      </c>
      <c r="W146" s="10"/>
      <c r="X146" s="9" t="s">
        <v>67</v>
      </c>
      <c r="Y146" s="10" t="s">
        <v>68</v>
      </c>
      <c r="Z146" s="94" t="s">
        <v>125</v>
      </c>
      <c r="AA146" s="94" t="s">
        <v>90</v>
      </c>
      <c r="AB146" s="9" t="s">
        <v>71</v>
      </c>
      <c r="AC146" s="10" t="s">
        <v>85</v>
      </c>
      <c r="AD146" s="10" t="s">
        <v>208</v>
      </c>
      <c r="AE146" s="65" t="s">
        <v>73</v>
      </c>
      <c r="AF146" s="39" t="s">
        <v>214</v>
      </c>
      <c r="AG146" s="10" t="s">
        <v>127</v>
      </c>
      <c r="AH146" s="4">
        <v>650</v>
      </c>
      <c r="AI146" s="11" t="s">
        <v>107</v>
      </c>
      <c r="AJ146" s="4" t="s">
        <v>108</v>
      </c>
      <c r="AK146" s="50">
        <v>3968</v>
      </c>
      <c r="AL146" s="43">
        <v>2261760000</v>
      </c>
      <c r="AM146" s="43">
        <v>238</v>
      </c>
      <c r="AN146" s="43">
        <v>133593921</v>
      </c>
      <c r="AO146" s="43">
        <v>838</v>
      </c>
      <c r="AP146" s="43">
        <v>468889573</v>
      </c>
      <c r="AQ146" s="43">
        <v>2160</v>
      </c>
      <c r="AR146" s="43">
        <v>1189059049</v>
      </c>
      <c r="AS146" s="52">
        <f t="shared" si="25"/>
        <v>0.54435483870967738</v>
      </c>
    </row>
    <row r="147" spans="2:45" x14ac:dyDescent="0.3">
      <c r="B147" s="32" t="s">
        <v>212</v>
      </c>
      <c r="C147" s="10" t="str">
        <f t="shared" si="23"/>
        <v>DJ9A0</v>
      </c>
      <c r="D147" s="10" t="s">
        <v>55</v>
      </c>
      <c r="E147" s="10" t="str">
        <f t="shared" si="27"/>
        <v>W</v>
      </c>
      <c r="F147" s="10" t="str">
        <f t="shared" si="28"/>
        <v>DJ</v>
      </c>
      <c r="G147" s="10" t="s">
        <v>56</v>
      </c>
      <c r="H147" s="4" t="s">
        <v>213</v>
      </c>
      <c r="I147" s="10" t="s">
        <v>78</v>
      </c>
      <c r="J147" s="4" t="str">
        <f t="shared" si="24"/>
        <v/>
      </c>
      <c r="K147" s="4">
        <v>1</v>
      </c>
      <c r="L147" s="43">
        <v>570000</v>
      </c>
      <c r="M147" s="78" t="s">
        <v>202</v>
      </c>
      <c r="N147" s="98" t="s">
        <v>203</v>
      </c>
      <c r="O147" s="10" t="s">
        <v>61</v>
      </c>
      <c r="P147" s="63">
        <v>100</v>
      </c>
      <c r="Q147" s="94" t="s">
        <v>204</v>
      </c>
      <c r="R147" s="63" t="s">
        <v>205</v>
      </c>
      <c r="S147" s="96" t="s">
        <v>206</v>
      </c>
      <c r="T147" s="10" t="s">
        <v>122</v>
      </c>
      <c r="U147" s="10" t="s">
        <v>207</v>
      </c>
      <c r="V147" s="10" t="s">
        <v>66</v>
      </c>
      <c r="W147" s="10"/>
      <c r="X147" s="9" t="s">
        <v>67</v>
      </c>
      <c r="Y147" s="10" t="s">
        <v>68</v>
      </c>
      <c r="Z147" s="94" t="s">
        <v>125</v>
      </c>
      <c r="AA147" s="94" t="s">
        <v>90</v>
      </c>
      <c r="AB147" s="9" t="s">
        <v>71</v>
      </c>
      <c r="AC147" s="10" t="s">
        <v>85</v>
      </c>
      <c r="AD147" s="10" t="s">
        <v>208</v>
      </c>
      <c r="AE147" s="65" t="s">
        <v>73</v>
      </c>
      <c r="AF147" s="39" t="s">
        <v>214</v>
      </c>
      <c r="AG147" s="10" t="s">
        <v>127</v>
      </c>
      <c r="AH147" s="4">
        <v>650</v>
      </c>
      <c r="AI147" s="11" t="s">
        <v>107</v>
      </c>
      <c r="AJ147" s="4" t="s">
        <v>108</v>
      </c>
      <c r="AK147" s="50">
        <v>9538</v>
      </c>
      <c r="AL147" s="43">
        <v>5436660000</v>
      </c>
      <c r="AM147" s="43">
        <v>669</v>
      </c>
      <c r="AN147" s="43">
        <v>375870002</v>
      </c>
      <c r="AO147" s="43">
        <v>2327</v>
      </c>
      <c r="AP147" s="43">
        <v>1301285153</v>
      </c>
      <c r="AQ147" s="43">
        <v>6117</v>
      </c>
      <c r="AR147" s="43">
        <v>3382216511</v>
      </c>
      <c r="AS147" s="52">
        <f t="shared" si="25"/>
        <v>0.6413294191654435</v>
      </c>
    </row>
    <row r="148" spans="2:45" x14ac:dyDescent="0.3">
      <c r="B148" s="32" t="s">
        <v>212</v>
      </c>
      <c r="C148" s="10" t="str">
        <f t="shared" si="23"/>
        <v>DJ9A0</v>
      </c>
      <c r="D148" s="10" t="s">
        <v>55</v>
      </c>
      <c r="E148" s="10" t="str">
        <f t="shared" si="27"/>
        <v>W</v>
      </c>
      <c r="F148" s="10" t="str">
        <f t="shared" si="28"/>
        <v>DJ</v>
      </c>
      <c r="G148" s="10" t="s">
        <v>56</v>
      </c>
      <c r="H148" s="4" t="s">
        <v>213</v>
      </c>
      <c r="I148" s="10" t="s">
        <v>82</v>
      </c>
      <c r="J148" s="4" t="str">
        <f t="shared" si="24"/>
        <v/>
      </c>
      <c r="K148" s="4">
        <v>1</v>
      </c>
      <c r="L148" s="43">
        <v>570000</v>
      </c>
      <c r="M148" s="78" t="s">
        <v>202</v>
      </c>
      <c r="N148" s="98" t="s">
        <v>203</v>
      </c>
      <c r="O148" s="10" t="s">
        <v>61</v>
      </c>
      <c r="P148" s="63">
        <v>100</v>
      </c>
      <c r="Q148" s="94" t="s">
        <v>204</v>
      </c>
      <c r="R148" s="63" t="s">
        <v>205</v>
      </c>
      <c r="S148" s="96" t="s">
        <v>206</v>
      </c>
      <c r="T148" s="10" t="s">
        <v>122</v>
      </c>
      <c r="U148" s="10" t="s">
        <v>207</v>
      </c>
      <c r="V148" s="10" t="s">
        <v>66</v>
      </c>
      <c r="W148" s="10"/>
      <c r="X148" s="9" t="s">
        <v>67</v>
      </c>
      <c r="Y148" s="10" t="s">
        <v>68</v>
      </c>
      <c r="Z148" s="94" t="s">
        <v>125</v>
      </c>
      <c r="AA148" s="94" t="s">
        <v>90</v>
      </c>
      <c r="AB148" s="9" t="s">
        <v>71</v>
      </c>
      <c r="AC148" s="10" t="s">
        <v>85</v>
      </c>
      <c r="AD148" s="10" t="s">
        <v>208</v>
      </c>
      <c r="AE148" s="65" t="s">
        <v>73</v>
      </c>
      <c r="AF148" s="39" t="s">
        <v>214</v>
      </c>
      <c r="AG148" s="10" t="s">
        <v>127</v>
      </c>
      <c r="AH148" s="4">
        <v>650</v>
      </c>
      <c r="AI148" s="11" t="s">
        <v>107</v>
      </c>
      <c r="AJ148" s="4" t="s">
        <v>108</v>
      </c>
      <c r="AK148" s="50">
        <v>1998</v>
      </c>
      <c r="AL148" s="43">
        <v>1138860000</v>
      </c>
      <c r="AM148" s="43">
        <v>18</v>
      </c>
      <c r="AN148" s="43">
        <v>10163000</v>
      </c>
      <c r="AO148" s="43">
        <v>129</v>
      </c>
      <c r="AP148" s="43">
        <v>70856559</v>
      </c>
      <c r="AQ148" s="43">
        <v>370</v>
      </c>
      <c r="AR148" s="43">
        <v>203460418</v>
      </c>
      <c r="AS148" s="52">
        <f t="shared" si="25"/>
        <v>0.18518518518518517</v>
      </c>
    </row>
    <row r="149" spans="2:45" x14ac:dyDescent="0.3">
      <c r="B149" s="32" t="s">
        <v>212</v>
      </c>
      <c r="C149" s="10" t="str">
        <f t="shared" si="23"/>
        <v>DJ9A0</v>
      </c>
      <c r="D149" s="10" t="s">
        <v>55</v>
      </c>
      <c r="E149" s="10" t="str">
        <f t="shared" si="27"/>
        <v>W</v>
      </c>
      <c r="F149" s="10" t="str">
        <f t="shared" si="28"/>
        <v>DJ</v>
      </c>
      <c r="G149" s="10" t="s">
        <v>56</v>
      </c>
      <c r="H149" s="4" t="s">
        <v>213</v>
      </c>
      <c r="I149" s="10" t="s">
        <v>215</v>
      </c>
      <c r="J149" s="4" t="str">
        <f t="shared" si="24"/>
        <v/>
      </c>
      <c r="K149" s="4">
        <v>1</v>
      </c>
      <c r="L149" s="43">
        <v>570000</v>
      </c>
      <c r="M149" s="78" t="s">
        <v>202</v>
      </c>
      <c r="N149" s="98" t="s">
        <v>203</v>
      </c>
      <c r="O149" s="10" t="s">
        <v>61</v>
      </c>
      <c r="P149" s="63">
        <v>100</v>
      </c>
      <c r="Q149" s="94" t="s">
        <v>204</v>
      </c>
      <c r="R149" s="63" t="s">
        <v>205</v>
      </c>
      <c r="S149" s="96" t="s">
        <v>206</v>
      </c>
      <c r="T149" s="10" t="s">
        <v>122</v>
      </c>
      <c r="U149" s="10" t="s">
        <v>207</v>
      </c>
      <c r="V149" s="10" t="s">
        <v>66</v>
      </c>
      <c r="W149" s="10"/>
      <c r="X149" s="9" t="s">
        <v>67</v>
      </c>
      <c r="Y149" s="10" t="s">
        <v>68</v>
      </c>
      <c r="Z149" s="94" t="s">
        <v>125</v>
      </c>
      <c r="AA149" s="94" t="s">
        <v>90</v>
      </c>
      <c r="AB149" s="9" t="s">
        <v>71</v>
      </c>
      <c r="AC149" s="10" t="s">
        <v>85</v>
      </c>
      <c r="AD149" s="10" t="s">
        <v>208</v>
      </c>
      <c r="AE149" s="65" t="s">
        <v>73</v>
      </c>
      <c r="AF149" s="39" t="s">
        <v>214</v>
      </c>
      <c r="AG149" s="10" t="s">
        <v>127</v>
      </c>
      <c r="AH149" s="4">
        <v>650</v>
      </c>
      <c r="AI149" s="11" t="s">
        <v>107</v>
      </c>
      <c r="AJ149" s="4" t="s">
        <v>108</v>
      </c>
      <c r="AK149" s="50">
        <v>3581</v>
      </c>
      <c r="AL149" s="43">
        <v>2041170000</v>
      </c>
      <c r="AM149" s="43">
        <v>111</v>
      </c>
      <c r="AN149" s="43">
        <v>62308288</v>
      </c>
      <c r="AO149" s="43">
        <v>381</v>
      </c>
      <c r="AP149" s="43">
        <v>213710843</v>
      </c>
      <c r="AQ149" s="43">
        <v>1106</v>
      </c>
      <c r="AR149" s="43">
        <v>609394863</v>
      </c>
      <c r="AS149" s="52">
        <f t="shared" si="25"/>
        <v>0.30885227590058645</v>
      </c>
    </row>
    <row r="150" spans="2:45" x14ac:dyDescent="0.3">
      <c r="B150" s="32" t="s">
        <v>212</v>
      </c>
      <c r="C150" s="10" t="str">
        <f t="shared" si="23"/>
        <v>DJ9A0</v>
      </c>
      <c r="D150" s="10" t="s">
        <v>55</v>
      </c>
      <c r="E150" s="10" t="str">
        <f t="shared" si="27"/>
        <v>W</v>
      </c>
      <c r="F150" s="10" t="str">
        <f t="shared" si="28"/>
        <v>DJ</v>
      </c>
      <c r="G150" s="10" t="s">
        <v>56</v>
      </c>
      <c r="H150" s="4" t="s">
        <v>213</v>
      </c>
      <c r="I150" s="10" t="s">
        <v>139</v>
      </c>
      <c r="J150" s="4" t="str">
        <f t="shared" si="24"/>
        <v/>
      </c>
      <c r="K150" s="4">
        <v>1</v>
      </c>
      <c r="L150" s="43">
        <v>570000</v>
      </c>
      <c r="M150" s="78" t="s">
        <v>202</v>
      </c>
      <c r="N150" s="98" t="s">
        <v>203</v>
      </c>
      <c r="O150" s="10" t="s">
        <v>61</v>
      </c>
      <c r="P150" s="63">
        <v>100</v>
      </c>
      <c r="Q150" s="94" t="s">
        <v>204</v>
      </c>
      <c r="R150" s="63" t="s">
        <v>205</v>
      </c>
      <c r="S150" s="96" t="s">
        <v>206</v>
      </c>
      <c r="T150" s="10" t="s">
        <v>122</v>
      </c>
      <c r="U150" s="10" t="s">
        <v>207</v>
      </c>
      <c r="V150" s="10" t="s">
        <v>66</v>
      </c>
      <c r="W150" s="10"/>
      <c r="X150" s="9" t="s">
        <v>67</v>
      </c>
      <c r="Y150" s="10" t="s">
        <v>68</v>
      </c>
      <c r="Z150" s="94" t="s">
        <v>125</v>
      </c>
      <c r="AA150" s="94" t="s">
        <v>90</v>
      </c>
      <c r="AB150" s="9" t="s">
        <v>71</v>
      </c>
      <c r="AC150" s="10" t="s">
        <v>85</v>
      </c>
      <c r="AD150" s="10" t="s">
        <v>208</v>
      </c>
      <c r="AE150" s="65" t="s">
        <v>73</v>
      </c>
      <c r="AF150" s="39" t="s">
        <v>214</v>
      </c>
      <c r="AG150" s="10" t="s">
        <v>127</v>
      </c>
      <c r="AH150" s="4">
        <v>650</v>
      </c>
      <c r="AI150" s="11" t="s">
        <v>107</v>
      </c>
      <c r="AJ150" s="4" t="s">
        <v>108</v>
      </c>
      <c r="AK150" s="50">
        <v>970</v>
      </c>
      <c r="AL150" s="43">
        <v>552900000</v>
      </c>
      <c r="AM150" s="43">
        <v>14</v>
      </c>
      <c r="AN150" s="43">
        <v>7970000</v>
      </c>
      <c r="AO150" s="43">
        <v>52</v>
      </c>
      <c r="AP150" s="43">
        <v>29524286</v>
      </c>
      <c r="AQ150" s="43">
        <v>118</v>
      </c>
      <c r="AR150" s="43">
        <v>65745096</v>
      </c>
      <c r="AS150" s="52">
        <f t="shared" si="25"/>
        <v>0.12164948453608247</v>
      </c>
    </row>
    <row r="151" spans="2:45" x14ac:dyDescent="0.3">
      <c r="B151" s="32" t="s">
        <v>212</v>
      </c>
      <c r="C151" s="10" t="str">
        <f t="shared" si="23"/>
        <v>DJ9A0</v>
      </c>
      <c r="D151" s="10" t="s">
        <v>148</v>
      </c>
      <c r="E151" s="10" t="str">
        <f t="shared" si="27"/>
        <v>W</v>
      </c>
      <c r="F151" s="10" t="str">
        <f t="shared" si="28"/>
        <v>DJ</v>
      </c>
      <c r="G151" s="10" t="s">
        <v>56</v>
      </c>
      <c r="H151" s="4" t="s">
        <v>216</v>
      </c>
      <c r="I151" s="10" t="s">
        <v>140</v>
      </c>
      <c r="J151" s="4" t="str">
        <f t="shared" si="24"/>
        <v/>
      </c>
      <c r="K151" s="4">
        <v>1</v>
      </c>
      <c r="L151" s="43">
        <v>570000</v>
      </c>
      <c r="M151" s="78" t="s">
        <v>217</v>
      </c>
      <c r="N151" s="98" t="s">
        <v>218</v>
      </c>
      <c r="O151" s="10" t="s">
        <v>61</v>
      </c>
      <c r="P151" s="63">
        <v>100</v>
      </c>
      <c r="Q151" s="94" t="s">
        <v>219</v>
      </c>
      <c r="R151" s="63" t="s">
        <v>220</v>
      </c>
      <c r="S151" s="96" t="s">
        <v>221</v>
      </c>
      <c r="T151" s="10" t="s">
        <v>65</v>
      </c>
      <c r="U151" s="10"/>
      <c r="V151" s="10" t="s">
        <v>222</v>
      </c>
      <c r="W151" s="10"/>
      <c r="X151" s="9" t="s">
        <v>67</v>
      </c>
      <c r="Y151" s="10" t="s">
        <v>68</v>
      </c>
      <c r="Z151" s="94" t="s">
        <v>154</v>
      </c>
      <c r="AA151" s="94" t="s">
        <v>185</v>
      </c>
      <c r="AB151" s="9" t="s">
        <v>71</v>
      </c>
      <c r="AC151" s="10" t="s">
        <v>85</v>
      </c>
      <c r="AD151" s="10" t="s">
        <v>208</v>
      </c>
      <c r="AE151" s="65" t="s">
        <v>73</v>
      </c>
      <c r="AF151" s="39" t="s">
        <v>214</v>
      </c>
      <c r="AG151" s="10" t="s">
        <v>127</v>
      </c>
      <c r="AH151" s="4">
        <v>650</v>
      </c>
      <c r="AI151" s="11" t="s">
        <v>107</v>
      </c>
      <c r="AJ151" s="4" t="s">
        <v>108</v>
      </c>
      <c r="AK151" s="50">
        <v>400</v>
      </c>
      <c r="AL151" s="43">
        <v>228000000</v>
      </c>
      <c r="AM151" s="43">
        <v>16</v>
      </c>
      <c r="AN151" s="43">
        <v>9091760</v>
      </c>
      <c r="AO151" s="43">
        <v>72</v>
      </c>
      <c r="AP151" s="43">
        <v>40405980</v>
      </c>
      <c r="AQ151" s="43">
        <v>154</v>
      </c>
      <c r="AR151" s="43">
        <v>85658720</v>
      </c>
      <c r="AS151" s="52">
        <f t="shared" si="25"/>
        <v>0.38500000000000001</v>
      </c>
    </row>
    <row r="152" spans="2:45" x14ac:dyDescent="0.3">
      <c r="B152" s="32" t="s">
        <v>212</v>
      </c>
      <c r="C152" s="10" t="str">
        <f t="shared" si="23"/>
        <v>DJ9A0</v>
      </c>
      <c r="D152" s="10" t="s">
        <v>148</v>
      </c>
      <c r="E152" s="10" t="str">
        <f t="shared" si="27"/>
        <v>W</v>
      </c>
      <c r="F152" s="10" t="str">
        <f t="shared" si="28"/>
        <v>DJ</v>
      </c>
      <c r="G152" s="10" t="s">
        <v>56</v>
      </c>
      <c r="H152" s="4" t="s">
        <v>213</v>
      </c>
      <c r="I152" s="10" t="s">
        <v>179</v>
      </c>
      <c r="J152" s="4" t="str">
        <f t="shared" si="24"/>
        <v/>
      </c>
      <c r="K152" s="4">
        <v>1</v>
      </c>
      <c r="L152" s="43">
        <v>570000</v>
      </c>
      <c r="M152" s="78" t="s">
        <v>202</v>
      </c>
      <c r="N152" s="98" t="s">
        <v>203</v>
      </c>
      <c r="O152" s="10" t="s">
        <v>61</v>
      </c>
      <c r="P152" s="63">
        <v>100</v>
      </c>
      <c r="Q152" s="94" t="s">
        <v>204</v>
      </c>
      <c r="R152" s="63" t="s">
        <v>205</v>
      </c>
      <c r="S152" s="96" t="s">
        <v>206</v>
      </c>
      <c r="T152" s="10" t="s">
        <v>122</v>
      </c>
      <c r="U152" s="10" t="s">
        <v>207</v>
      </c>
      <c r="V152" s="10" t="s">
        <v>66</v>
      </c>
      <c r="W152" s="10"/>
      <c r="X152" s="9" t="s">
        <v>67</v>
      </c>
      <c r="Y152" s="10" t="s">
        <v>68</v>
      </c>
      <c r="Z152" s="94" t="s">
        <v>125</v>
      </c>
      <c r="AA152" s="94" t="s">
        <v>90</v>
      </c>
      <c r="AB152" s="9" t="s">
        <v>71</v>
      </c>
      <c r="AC152" s="10" t="s">
        <v>85</v>
      </c>
      <c r="AD152" s="10" t="s">
        <v>208</v>
      </c>
      <c r="AE152" s="65" t="s">
        <v>73</v>
      </c>
      <c r="AF152" s="39" t="s">
        <v>214</v>
      </c>
      <c r="AG152" s="10" t="s">
        <v>127</v>
      </c>
      <c r="AH152" s="4">
        <v>650</v>
      </c>
      <c r="AI152" s="11" t="s">
        <v>107</v>
      </c>
      <c r="AJ152" s="4" t="s">
        <v>108</v>
      </c>
      <c r="AK152" s="50">
        <v>1498</v>
      </c>
      <c r="AL152" s="43">
        <v>853860000</v>
      </c>
      <c r="AM152" s="43">
        <v>34</v>
      </c>
      <c r="AN152" s="43">
        <v>19225000</v>
      </c>
      <c r="AO152" s="43">
        <v>55</v>
      </c>
      <c r="AP152" s="43">
        <v>31078000</v>
      </c>
      <c r="AQ152" s="43">
        <v>284</v>
      </c>
      <c r="AR152" s="43">
        <v>156506632</v>
      </c>
      <c r="AS152" s="52">
        <f t="shared" si="25"/>
        <v>0.18958611481975968</v>
      </c>
    </row>
    <row r="153" spans="2:45" x14ac:dyDescent="0.3">
      <c r="B153" s="32" t="s">
        <v>223</v>
      </c>
      <c r="C153" s="10" t="str">
        <f t="shared" si="23"/>
        <v>DJ9B0</v>
      </c>
      <c r="D153" s="10" t="s">
        <v>55</v>
      </c>
      <c r="E153" s="10" t="str">
        <f t="shared" si="27"/>
        <v>W</v>
      </c>
      <c r="F153" s="10" t="str">
        <f t="shared" si="28"/>
        <v>DJ</v>
      </c>
      <c r="G153" s="10" t="s">
        <v>56</v>
      </c>
      <c r="H153" s="4" t="s">
        <v>224</v>
      </c>
      <c r="I153" s="10" t="s">
        <v>105</v>
      </c>
      <c r="J153" s="4">
        <f t="shared" si="24"/>
        <v>1</v>
      </c>
      <c r="K153" s="4">
        <v>1</v>
      </c>
      <c r="L153" s="43">
        <v>590000</v>
      </c>
      <c r="M153" s="78" t="s">
        <v>225</v>
      </c>
      <c r="N153" s="98" t="s">
        <v>226</v>
      </c>
      <c r="O153" s="10" t="s">
        <v>61</v>
      </c>
      <c r="P153" s="63">
        <v>100</v>
      </c>
      <c r="Q153" s="94" t="s">
        <v>119</v>
      </c>
      <c r="R153" s="63" t="s">
        <v>126</v>
      </c>
      <c r="S153" s="96" t="s">
        <v>227</v>
      </c>
      <c r="T153" s="10" t="s">
        <v>228</v>
      </c>
      <c r="U153" s="10" t="s">
        <v>198</v>
      </c>
      <c r="V153" s="10" t="s">
        <v>66</v>
      </c>
      <c r="W153" s="10" t="s">
        <v>229</v>
      </c>
      <c r="X153" s="9" t="s">
        <v>67</v>
      </c>
      <c r="Y153" s="10" t="s">
        <v>68</v>
      </c>
      <c r="Z153" s="94" t="s">
        <v>125</v>
      </c>
      <c r="AA153" s="94" t="s">
        <v>90</v>
      </c>
      <c r="AB153" s="9" t="s">
        <v>71</v>
      </c>
      <c r="AC153" s="10" t="s">
        <v>85</v>
      </c>
      <c r="AD153" s="10" t="s">
        <v>208</v>
      </c>
      <c r="AE153" s="65" t="s">
        <v>73</v>
      </c>
      <c r="AF153" s="39" t="s">
        <v>230</v>
      </c>
      <c r="AG153" s="10" t="s">
        <v>127</v>
      </c>
      <c r="AH153" s="4">
        <v>650</v>
      </c>
      <c r="AI153" s="11" t="s">
        <v>107</v>
      </c>
      <c r="AJ153" s="4" t="s">
        <v>108</v>
      </c>
      <c r="AK153" s="50">
        <v>1776</v>
      </c>
      <c r="AL153" s="43">
        <v>1047840000</v>
      </c>
      <c r="AM153" s="43">
        <v>103</v>
      </c>
      <c r="AN153" s="43">
        <v>60193941</v>
      </c>
      <c r="AO153" s="43">
        <v>323</v>
      </c>
      <c r="AP153" s="43">
        <v>187226546</v>
      </c>
      <c r="AQ153" s="43">
        <v>915</v>
      </c>
      <c r="AR153" s="43">
        <v>518537328</v>
      </c>
      <c r="AS153" s="52">
        <f t="shared" si="25"/>
        <v>0.51520270270270274</v>
      </c>
    </row>
    <row r="154" spans="2:45" x14ac:dyDescent="0.3">
      <c r="B154" s="32" t="s">
        <v>223</v>
      </c>
      <c r="C154" s="10" t="str">
        <f t="shared" si="23"/>
        <v>DJ9B0</v>
      </c>
      <c r="D154" s="10" t="s">
        <v>55</v>
      </c>
      <c r="E154" s="10" t="str">
        <f t="shared" si="27"/>
        <v>W</v>
      </c>
      <c r="F154" s="10" t="str">
        <f t="shared" si="28"/>
        <v>DJ</v>
      </c>
      <c r="G154" s="10" t="s">
        <v>56</v>
      </c>
      <c r="H154" s="4" t="s">
        <v>224</v>
      </c>
      <c r="I154" s="10" t="s">
        <v>215</v>
      </c>
      <c r="J154" s="4" t="str">
        <f t="shared" si="24"/>
        <v/>
      </c>
      <c r="K154" s="4">
        <v>1</v>
      </c>
      <c r="L154" s="43">
        <v>590000</v>
      </c>
      <c r="M154" s="78" t="s">
        <v>225</v>
      </c>
      <c r="N154" s="98" t="s">
        <v>226</v>
      </c>
      <c r="O154" s="10" t="s">
        <v>61</v>
      </c>
      <c r="P154" s="63">
        <v>100</v>
      </c>
      <c r="Q154" s="94" t="s">
        <v>119</v>
      </c>
      <c r="R154" s="63" t="s">
        <v>126</v>
      </c>
      <c r="S154" s="96" t="s">
        <v>227</v>
      </c>
      <c r="T154" s="10" t="s">
        <v>228</v>
      </c>
      <c r="U154" s="10" t="s">
        <v>198</v>
      </c>
      <c r="V154" s="10" t="s">
        <v>66</v>
      </c>
      <c r="W154" s="10" t="s">
        <v>229</v>
      </c>
      <c r="X154" s="9" t="s">
        <v>67</v>
      </c>
      <c r="Y154" s="10" t="s">
        <v>68</v>
      </c>
      <c r="Z154" s="94" t="s">
        <v>125</v>
      </c>
      <c r="AA154" s="94" t="s">
        <v>90</v>
      </c>
      <c r="AB154" s="9" t="s">
        <v>71</v>
      </c>
      <c r="AC154" s="10" t="s">
        <v>85</v>
      </c>
      <c r="AD154" s="10" t="s">
        <v>208</v>
      </c>
      <c r="AE154" s="65" t="s">
        <v>73</v>
      </c>
      <c r="AF154" s="39" t="s">
        <v>230</v>
      </c>
      <c r="AG154" s="10" t="s">
        <v>127</v>
      </c>
      <c r="AH154" s="4">
        <v>650</v>
      </c>
      <c r="AI154" s="11" t="s">
        <v>107</v>
      </c>
      <c r="AJ154" s="4" t="s">
        <v>108</v>
      </c>
      <c r="AK154" s="50">
        <v>1199</v>
      </c>
      <c r="AL154" s="43">
        <v>707410000</v>
      </c>
      <c r="AM154" s="43">
        <v>44</v>
      </c>
      <c r="AN154" s="43">
        <v>25667000</v>
      </c>
      <c r="AO154" s="43">
        <v>169</v>
      </c>
      <c r="AP154" s="43">
        <v>98568749</v>
      </c>
      <c r="AQ154" s="43">
        <v>512</v>
      </c>
      <c r="AR154" s="43">
        <v>291714854</v>
      </c>
      <c r="AS154" s="52">
        <f t="shared" si="25"/>
        <v>0.42702251876563802</v>
      </c>
    </row>
    <row r="155" spans="2:45" x14ac:dyDescent="0.3">
      <c r="B155" s="32" t="s">
        <v>223</v>
      </c>
      <c r="C155" s="10" t="str">
        <f t="shared" si="23"/>
        <v>DJ9B0</v>
      </c>
      <c r="D155" s="10" t="s">
        <v>55</v>
      </c>
      <c r="E155" s="10" t="str">
        <f t="shared" si="27"/>
        <v>W</v>
      </c>
      <c r="F155" s="10" t="str">
        <f t="shared" si="28"/>
        <v>DJ</v>
      </c>
      <c r="G155" s="10" t="s">
        <v>56</v>
      </c>
      <c r="H155" s="4" t="s">
        <v>224</v>
      </c>
      <c r="I155" s="10" t="s">
        <v>78</v>
      </c>
      <c r="J155" s="4" t="str">
        <f t="shared" si="24"/>
        <v/>
      </c>
      <c r="K155" s="4">
        <v>1</v>
      </c>
      <c r="L155" s="43">
        <v>590000</v>
      </c>
      <c r="M155" s="78" t="s">
        <v>225</v>
      </c>
      <c r="N155" s="98" t="s">
        <v>226</v>
      </c>
      <c r="O155" s="10" t="s">
        <v>61</v>
      </c>
      <c r="P155" s="63">
        <v>100</v>
      </c>
      <c r="Q155" s="94" t="s">
        <v>119</v>
      </c>
      <c r="R155" s="63" t="s">
        <v>126</v>
      </c>
      <c r="S155" s="96" t="s">
        <v>227</v>
      </c>
      <c r="T155" s="10" t="s">
        <v>228</v>
      </c>
      <c r="U155" s="10" t="s">
        <v>198</v>
      </c>
      <c r="V155" s="10" t="s">
        <v>66</v>
      </c>
      <c r="W155" s="10" t="s">
        <v>229</v>
      </c>
      <c r="X155" s="9" t="s">
        <v>67</v>
      </c>
      <c r="Y155" s="10" t="s">
        <v>68</v>
      </c>
      <c r="Z155" s="94" t="s">
        <v>125</v>
      </c>
      <c r="AA155" s="94" t="s">
        <v>90</v>
      </c>
      <c r="AB155" s="9" t="s">
        <v>71</v>
      </c>
      <c r="AC155" s="10" t="s">
        <v>85</v>
      </c>
      <c r="AD155" s="10" t="s">
        <v>208</v>
      </c>
      <c r="AE155" s="65" t="s">
        <v>73</v>
      </c>
      <c r="AF155" s="39" t="s">
        <v>230</v>
      </c>
      <c r="AG155" s="10" t="s">
        <v>127</v>
      </c>
      <c r="AH155" s="4">
        <v>650</v>
      </c>
      <c r="AI155" s="11" t="s">
        <v>107</v>
      </c>
      <c r="AJ155" s="4" t="s">
        <v>108</v>
      </c>
      <c r="AK155" s="50">
        <v>2963</v>
      </c>
      <c r="AL155" s="43">
        <v>1748170000</v>
      </c>
      <c r="AM155" s="43">
        <v>281</v>
      </c>
      <c r="AN155" s="43">
        <v>163110194</v>
      </c>
      <c r="AO155" s="43">
        <v>909</v>
      </c>
      <c r="AP155" s="43">
        <v>524822343</v>
      </c>
      <c r="AQ155" s="43">
        <v>2705</v>
      </c>
      <c r="AR155" s="43">
        <v>1538516567</v>
      </c>
      <c r="AS155" s="52">
        <f t="shared" si="25"/>
        <v>0.91292608842389467</v>
      </c>
    </row>
    <row r="156" spans="2:45" x14ac:dyDescent="0.3">
      <c r="B156" s="32" t="s">
        <v>231</v>
      </c>
      <c r="C156" s="10" t="str">
        <f t="shared" ref="C156:C219" si="29">MID(B156,3,5)</f>
        <v>DJ9J0</v>
      </c>
      <c r="D156" s="10" t="s">
        <v>55</v>
      </c>
      <c r="E156" s="10" t="str">
        <f t="shared" si="27"/>
        <v>W</v>
      </c>
      <c r="F156" s="10" t="str">
        <f t="shared" si="28"/>
        <v>DJ</v>
      </c>
      <c r="G156" s="10" t="s">
        <v>56</v>
      </c>
      <c r="H156" s="4" t="s">
        <v>232</v>
      </c>
      <c r="I156" s="10" t="s">
        <v>78</v>
      </c>
      <c r="J156" s="4">
        <f t="shared" ref="J156:J219" si="30">IF(B156=B155,"",1)</f>
        <v>1</v>
      </c>
      <c r="K156" s="4">
        <v>1</v>
      </c>
      <c r="L156" s="43">
        <v>379000</v>
      </c>
      <c r="M156" s="78" t="s">
        <v>217</v>
      </c>
      <c r="N156" s="98" t="s">
        <v>218</v>
      </c>
      <c r="O156" s="10" t="s">
        <v>61</v>
      </c>
      <c r="P156" s="63">
        <v>100</v>
      </c>
      <c r="Q156" s="94" t="s">
        <v>219</v>
      </c>
      <c r="R156" s="63" t="s">
        <v>220</v>
      </c>
      <c r="S156" s="96" t="s">
        <v>221</v>
      </c>
      <c r="T156" s="10" t="s">
        <v>65</v>
      </c>
      <c r="U156" s="10"/>
      <c r="V156" s="10" t="s">
        <v>222</v>
      </c>
      <c r="W156" s="10"/>
      <c r="X156" s="9" t="s">
        <v>67</v>
      </c>
      <c r="Y156" s="10" t="s">
        <v>68</v>
      </c>
      <c r="Z156" s="94" t="s">
        <v>154</v>
      </c>
      <c r="AA156" s="94" t="s">
        <v>185</v>
      </c>
      <c r="AB156" s="9" t="s">
        <v>71</v>
      </c>
      <c r="AC156" s="10" t="s">
        <v>62</v>
      </c>
      <c r="AD156" s="10" t="s">
        <v>72</v>
      </c>
      <c r="AE156" s="65" t="s">
        <v>73</v>
      </c>
      <c r="AF156" s="39" t="s">
        <v>230</v>
      </c>
      <c r="AG156" s="10" t="s">
        <v>127</v>
      </c>
      <c r="AH156" s="4">
        <v>650</v>
      </c>
      <c r="AI156" s="11" t="s">
        <v>107</v>
      </c>
      <c r="AJ156" s="4" t="s">
        <v>108</v>
      </c>
      <c r="AK156" s="50">
        <v>3392</v>
      </c>
      <c r="AL156" s="43">
        <v>1285568000</v>
      </c>
      <c r="AM156" s="43">
        <v>37</v>
      </c>
      <c r="AN156" s="43">
        <v>13719534</v>
      </c>
      <c r="AO156" s="43">
        <v>138</v>
      </c>
      <c r="AP156" s="43">
        <v>51354404</v>
      </c>
      <c r="AQ156" s="43">
        <v>725</v>
      </c>
      <c r="AR156" s="43">
        <v>221913088</v>
      </c>
      <c r="AS156" s="52">
        <f t="shared" ref="AS156:AS219" si="31">AQ156/AK156</f>
        <v>0.21373820754716982</v>
      </c>
    </row>
    <row r="157" spans="2:45" x14ac:dyDescent="0.3">
      <c r="B157" s="32" t="s">
        <v>231</v>
      </c>
      <c r="C157" s="10" t="str">
        <f t="shared" si="29"/>
        <v>DJ9J0</v>
      </c>
      <c r="D157" s="10" t="s">
        <v>55</v>
      </c>
      <c r="E157" s="10" t="str">
        <f t="shared" si="27"/>
        <v>W</v>
      </c>
      <c r="F157" s="10" t="str">
        <f t="shared" si="28"/>
        <v>DJ</v>
      </c>
      <c r="G157" s="10" t="s">
        <v>56</v>
      </c>
      <c r="H157" s="4" t="s">
        <v>232</v>
      </c>
      <c r="I157" s="10" t="s">
        <v>101</v>
      </c>
      <c r="J157" s="4" t="str">
        <f t="shared" si="30"/>
        <v/>
      </c>
      <c r="K157" s="4">
        <v>1</v>
      </c>
      <c r="L157" s="43">
        <v>379000</v>
      </c>
      <c r="M157" s="78" t="s">
        <v>217</v>
      </c>
      <c r="N157" s="98" t="s">
        <v>218</v>
      </c>
      <c r="O157" s="10" t="s">
        <v>61</v>
      </c>
      <c r="P157" s="63">
        <v>100</v>
      </c>
      <c r="Q157" s="94" t="s">
        <v>219</v>
      </c>
      <c r="R157" s="63" t="s">
        <v>220</v>
      </c>
      <c r="S157" s="96" t="s">
        <v>221</v>
      </c>
      <c r="T157" s="10" t="s">
        <v>65</v>
      </c>
      <c r="U157" s="10"/>
      <c r="V157" s="10" t="s">
        <v>222</v>
      </c>
      <c r="W157" s="10"/>
      <c r="X157" s="9" t="s">
        <v>67</v>
      </c>
      <c r="Y157" s="10" t="s">
        <v>68</v>
      </c>
      <c r="Z157" s="94" t="s">
        <v>154</v>
      </c>
      <c r="AA157" s="94" t="s">
        <v>185</v>
      </c>
      <c r="AB157" s="9" t="s">
        <v>71</v>
      </c>
      <c r="AC157" s="10" t="s">
        <v>62</v>
      </c>
      <c r="AD157" s="10" t="s">
        <v>72</v>
      </c>
      <c r="AE157" s="65" t="s">
        <v>73</v>
      </c>
      <c r="AF157" s="39" t="s">
        <v>230</v>
      </c>
      <c r="AG157" s="10" t="s">
        <v>127</v>
      </c>
      <c r="AH157" s="4">
        <v>650</v>
      </c>
      <c r="AI157" s="11" t="s">
        <v>107</v>
      </c>
      <c r="AJ157" s="4" t="s">
        <v>108</v>
      </c>
      <c r="AK157" s="50">
        <v>1480</v>
      </c>
      <c r="AL157" s="43">
        <v>560920000</v>
      </c>
      <c r="AM157" s="43">
        <v>13</v>
      </c>
      <c r="AN157" s="43">
        <v>4887000</v>
      </c>
      <c r="AO157" s="43">
        <v>30</v>
      </c>
      <c r="AP157" s="43">
        <v>11309512</v>
      </c>
      <c r="AQ157" s="43">
        <v>136</v>
      </c>
      <c r="AR157" s="43">
        <v>42850212</v>
      </c>
      <c r="AS157" s="52">
        <f t="shared" si="31"/>
        <v>9.1891891891891897E-2</v>
      </c>
    </row>
    <row r="158" spans="2:45" x14ac:dyDescent="0.3">
      <c r="B158" s="32" t="s">
        <v>231</v>
      </c>
      <c r="C158" s="10" t="str">
        <f t="shared" si="29"/>
        <v>DJ9J0</v>
      </c>
      <c r="D158" s="10" t="s">
        <v>55</v>
      </c>
      <c r="E158" s="10" t="str">
        <f t="shared" si="27"/>
        <v>W</v>
      </c>
      <c r="F158" s="10" t="str">
        <f t="shared" si="28"/>
        <v>DJ</v>
      </c>
      <c r="G158" s="10" t="s">
        <v>56</v>
      </c>
      <c r="H158" s="4" t="s">
        <v>232</v>
      </c>
      <c r="I158" s="10" t="s">
        <v>233</v>
      </c>
      <c r="J158" s="4" t="str">
        <f t="shared" si="30"/>
        <v/>
      </c>
      <c r="K158" s="4">
        <v>1</v>
      </c>
      <c r="L158" s="43">
        <v>379000</v>
      </c>
      <c r="M158" s="78" t="s">
        <v>217</v>
      </c>
      <c r="N158" s="98" t="s">
        <v>218</v>
      </c>
      <c r="O158" s="10" t="s">
        <v>61</v>
      </c>
      <c r="P158" s="63">
        <v>100</v>
      </c>
      <c r="Q158" s="94" t="s">
        <v>219</v>
      </c>
      <c r="R158" s="63" t="s">
        <v>220</v>
      </c>
      <c r="S158" s="96" t="s">
        <v>221</v>
      </c>
      <c r="T158" s="10" t="s">
        <v>65</v>
      </c>
      <c r="U158" s="10"/>
      <c r="V158" s="10" t="s">
        <v>222</v>
      </c>
      <c r="W158" s="10"/>
      <c r="X158" s="9" t="s">
        <v>67</v>
      </c>
      <c r="Y158" s="10" t="s">
        <v>68</v>
      </c>
      <c r="Z158" s="94" t="s">
        <v>154</v>
      </c>
      <c r="AA158" s="94" t="s">
        <v>185</v>
      </c>
      <c r="AB158" s="9" t="s">
        <v>71</v>
      </c>
      <c r="AC158" s="10" t="s">
        <v>62</v>
      </c>
      <c r="AD158" s="10" t="s">
        <v>72</v>
      </c>
      <c r="AE158" s="65" t="s">
        <v>73</v>
      </c>
      <c r="AF158" s="39" t="s">
        <v>230</v>
      </c>
      <c r="AG158" s="10" t="s">
        <v>127</v>
      </c>
      <c r="AH158" s="4">
        <v>650</v>
      </c>
      <c r="AI158" s="11" t="s">
        <v>107</v>
      </c>
      <c r="AJ158" s="4" t="s">
        <v>108</v>
      </c>
      <c r="AK158" s="50">
        <v>962</v>
      </c>
      <c r="AL158" s="43">
        <v>364598000</v>
      </c>
      <c r="AM158" s="43">
        <v>11</v>
      </c>
      <c r="AN158" s="43">
        <v>4159000</v>
      </c>
      <c r="AO158" s="43">
        <v>31</v>
      </c>
      <c r="AP158" s="43">
        <v>11282370</v>
      </c>
      <c r="AQ158" s="43">
        <v>167</v>
      </c>
      <c r="AR158" s="43">
        <v>51660183</v>
      </c>
      <c r="AS158" s="52">
        <f t="shared" si="31"/>
        <v>0.17359667359667361</v>
      </c>
    </row>
    <row r="159" spans="2:45" x14ac:dyDescent="0.3">
      <c r="B159" s="32" t="s">
        <v>234</v>
      </c>
      <c r="C159" s="10" t="str">
        <f t="shared" si="29"/>
        <v>DJ8O0</v>
      </c>
      <c r="D159" s="10" t="s">
        <v>55</v>
      </c>
      <c r="E159" s="10" t="str">
        <f t="shared" si="27"/>
        <v>M</v>
      </c>
      <c r="F159" s="10" t="str">
        <f t="shared" si="28"/>
        <v>DJ</v>
      </c>
      <c r="G159" s="10" t="s">
        <v>56</v>
      </c>
      <c r="H159" s="4" t="s">
        <v>235</v>
      </c>
      <c r="I159" s="10" t="s">
        <v>78</v>
      </c>
      <c r="J159" s="4">
        <f t="shared" si="30"/>
        <v>1</v>
      </c>
      <c r="K159" s="4">
        <v>1</v>
      </c>
      <c r="L159" s="43">
        <v>169000</v>
      </c>
      <c r="M159" s="78" t="s">
        <v>132</v>
      </c>
      <c r="N159" s="98" t="s">
        <v>236</v>
      </c>
      <c r="O159" s="10" t="s">
        <v>143</v>
      </c>
      <c r="P159" s="63">
        <v>100</v>
      </c>
      <c r="Q159" s="94" t="s">
        <v>62</v>
      </c>
      <c r="R159" s="63" t="s">
        <v>220</v>
      </c>
      <c r="S159" s="96" t="s">
        <v>237</v>
      </c>
      <c r="T159" s="10" t="s">
        <v>65</v>
      </c>
      <c r="U159" s="10"/>
      <c r="V159" s="10" t="s">
        <v>66</v>
      </c>
      <c r="W159" s="10"/>
      <c r="X159" s="9" t="s">
        <v>67</v>
      </c>
      <c r="Y159" s="10" t="s">
        <v>68</v>
      </c>
      <c r="Z159" s="94" t="s">
        <v>238</v>
      </c>
      <c r="AA159" s="94" t="s">
        <v>90</v>
      </c>
      <c r="AB159" s="9" t="s">
        <v>71</v>
      </c>
      <c r="AC159" s="10" t="s">
        <v>85</v>
      </c>
      <c r="AD159" s="10" t="s">
        <v>208</v>
      </c>
      <c r="AE159" s="65" t="s">
        <v>73</v>
      </c>
      <c r="AF159" s="39" t="s">
        <v>239</v>
      </c>
      <c r="AG159" s="10" t="s">
        <v>240</v>
      </c>
      <c r="AH159" s="4">
        <v>650</v>
      </c>
      <c r="AI159" s="11" t="s">
        <v>76</v>
      </c>
      <c r="AJ159" s="4" t="s">
        <v>241</v>
      </c>
      <c r="AK159" s="50">
        <v>12017</v>
      </c>
      <c r="AL159" s="43">
        <v>2030873000</v>
      </c>
      <c r="AM159" s="43">
        <v>1022</v>
      </c>
      <c r="AN159" s="43">
        <v>130048987</v>
      </c>
      <c r="AO159" s="43">
        <v>5331</v>
      </c>
      <c r="AP159" s="43">
        <v>788891194</v>
      </c>
      <c r="AQ159" s="43">
        <v>8290</v>
      </c>
      <c r="AR159" s="43">
        <v>1250495945</v>
      </c>
      <c r="AS159" s="52">
        <f t="shared" si="31"/>
        <v>0.68985603728051925</v>
      </c>
    </row>
    <row r="160" spans="2:45" x14ac:dyDescent="0.3">
      <c r="B160" s="32" t="s">
        <v>234</v>
      </c>
      <c r="C160" s="10" t="str">
        <f t="shared" si="29"/>
        <v>DJ8O0</v>
      </c>
      <c r="D160" s="10" t="s">
        <v>55</v>
      </c>
      <c r="E160" s="10" t="str">
        <f t="shared" si="27"/>
        <v>M</v>
      </c>
      <c r="F160" s="10" t="str">
        <f t="shared" si="28"/>
        <v>DJ</v>
      </c>
      <c r="G160" s="10" t="s">
        <v>56</v>
      </c>
      <c r="H160" s="4" t="s">
        <v>235</v>
      </c>
      <c r="I160" s="10" t="s">
        <v>105</v>
      </c>
      <c r="J160" s="4" t="str">
        <f t="shared" si="30"/>
        <v/>
      </c>
      <c r="K160" s="4">
        <v>1</v>
      </c>
      <c r="L160" s="43">
        <v>169000</v>
      </c>
      <c r="M160" s="78" t="s">
        <v>132</v>
      </c>
      <c r="N160" s="98" t="s">
        <v>236</v>
      </c>
      <c r="O160" s="10" t="s">
        <v>143</v>
      </c>
      <c r="P160" s="63">
        <v>100</v>
      </c>
      <c r="Q160" s="94" t="s">
        <v>62</v>
      </c>
      <c r="R160" s="63" t="s">
        <v>220</v>
      </c>
      <c r="S160" s="96" t="s">
        <v>237</v>
      </c>
      <c r="T160" s="10" t="s">
        <v>65</v>
      </c>
      <c r="U160" s="10"/>
      <c r="V160" s="10" t="s">
        <v>66</v>
      </c>
      <c r="W160" s="10"/>
      <c r="X160" s="9" t="s">
        <v>67</v>
      </c>
      <c r="Y160" s="10" t="s">
        <v>68</v>
      </c>
      <c r="Z160" s="94" t="s">
        <v>238</v>
      </c>
      <c r="AA160" s="94" t="s">
        <v>90</v>
      </c>
      <c r="AB160" s="9" t="s">
        <v>71</v>
      </c>
      <c r="AC160" s="10" t="s">
        <v>85</v>
      </c>
      <c r="AD160" s="10" t="s">
        <v>208</v>
      </c>
      <c r="AE160" s="65" t="s">
        <v>73</v>
      </c>
      <c r="AF160" s="39" t="s">
        <v>239</v>
      </c>
      <c r="AG160" s="10" t="s">
        <v>240</v>
      </c>
      <c r="AH160" s="4">
        <v>650</v>
      </c>
      <c r="AI160" s="11" t="s">
        <v>76</v>
      </c>
      <c r="AJ160" s="4" t="s">
        <v>241</v>
      </c>
      <c r="AK160" s="50">
        <v>4017</v>
      </c>
      <c r="AL160" s="43">
        <v>678873000</v>
      </c>
      <c r="AM160" s="43">
        <v>107</v>
      </c>
      <c r="AN160" s="43">
        <v>17060400</v>
      </c>
      <c r="AO160" s="43">
        <v>1038</v>
      </c>
      <c r="AP160" s="43">
        <v>160739812</v>
      </c>
      <c r="AQ160" s="43">
        <v>1788</v>
      </c>
      <c r="AR160" s="43">
        <v>280402448</v>
      </c>
      <c r="AS160" s="52">
        <f t="shared" si="31"/>
        <v>0.44510828976848393</v>
      </c>
    </row>
    <row r="161" spans="2:45" x14ac:dyDescent="0.3">
      <c r="B161" s="32" t="s">
        <v>234</v>
      </c>
      <c r="C161" s="10" t="str">
        <f t="shared" si="29"/>
        <v>DJ8O0</v>
      </c>
      <c r="D161" s="10" t="s">
        <v>55</v>
      </c>
      <c r="E161" s="10" t="str">
        <f t="shared" si="27"/>
        <v>M</v>
      </c>
      <c r="F161" s="10" t="str">
        <f t="shared" si="28"/>
        <v>DJ</v>
      </c>
      <c r="G161" s="10" t="s">
        <v>56</v>
      </c>
      <c r="H161" s="4" t="s">
        <v>235</v>
      </c>
      <c r="I161" s="10" t="s">
        <v>242</v>
      </c>
      <c r="J161" s="4" t="str">
        <f t="shared" si="30"/>
        <v/>
      </c>
      <c r="K161" s="4">
        <v>1</v>
      </c>
      <c r="L161" s="43">
        <v>169000</v>
      </c>
      <c r="M161" s="78" t="s">
        <v>132</v>
      </c>
      <c r="N161" s="98" t="s">
        <v>236</v>
      </c>
      <c r="O161" s="10" t="s">
        <v>143</v>
      </c>
      <c r="P161" s="63">
        <v>100</v>
      </c>
      <c r="Q161" s="94" t="s">
        <v>62</v>
      </c>
      <c r="R161" s="63" t="s">
        <v>220</v>
      </c>
      <c r="S161" s="96" t="s">
        <v>237</v>
      </c>
      <c r="T161" s="10" t="s">
        <v>65</v>
      </c>
      <c r="U161" s="10"/>
      <c r="V161" s="10" t="s">
        <v>66</v>
      </c>
      <c r="W161" s="10"/>
      <c r="X161" s="9" t="s">
        <v>67</v>
      </c>
      <c r="Y161" s="10" t="s">
        <v>68</v>
      </c>
      <c r="Z161" s="94" t="s">
        <v>238</v>
      </c>
      <c r="AA161" s="94" t="s">
        <v>90</v>
      </c>
      <c r="AB161" s="9" t="s">
        <v>71</v>
      </c>
      <c r="AC161" s="10" t="s">
        <v>85</v>
      </c>
      <c r="AD161" s="10" t="s">
        <v>208</v>
      </c>
      <c r="AE161" s="65" t="s">
        <v>73</v>
      </c>
      <c r="AF161" s="39" t="s">
        <v>239</v>
      </c>
      <c r="AG161" s="10" t="s">
        <v>240</v>
      </c>
      <c r="AH161" s="4">
        <v>650</v>
      </c>
      <c r="AI161" s="11" t="s">
        <v>76</v>
      </c>
      <c r="AJ161" s="4" t="s">
        <v>241</v>
      </c>
      <c r="AK161" s="50">
        <v>1002</v>
      </c>
      <c r="AL161" s="43">
        <v>169338000</v>
      </c>
      <c r="AM161" s="43">
        <v>14</v>
      </c>
      <c r="AN161" s="43">
        <v>2346000</v>
      </c>
      <c r="AO161" s="43">
        <v>152</v>
      </c>
      <c r="AP161" s="43">
        <v>23736405</v>
      </c>
      <c r="AQ161" s="43">
        <v>244</v>
      </c>
      <c r="AR161" s="43">
        <v>38433638</v>
      </c>
      <c r="AS161" s="52">
        <f t="shared" si="31"/>
        <v>0.2435129740518962</v>
      </c>
    </row>
    <row r="162" spans="2:45" x14ac:dyDescent="0.3">
      <c r="B162" s="32" t="s">
        <v>234</v>
      </c>
      <c r="C162" s="10" t="str">
        <f t="shared" si="29"/>
        <v>DJ8O0</v>
      </c>
      <c r="D162" s="10" t="s">
        <v>55</v>
      </c>
      <c r="E162" s="10" t="str">
        <f t="shared" si="27"/>
        <v>M</v>
      </c>
      <c r="F162" s="10" t="str">
        <f t="shared" si="28"/>
        <v>DJ</v>
      </c>
      <c r="G162" s="10" t="s">
        <v>56</v>
      </c>
      <c r="H162" s="4" t="s">
        <v>235</v>
      </c>
      <c r="I162" s="10" t="s">
        <v>178</v>
      </c>
      <c r="J162" s="4" t="str">
        <f t="shared" si="30"/>
        <v/>
      </c>
      <c r="K162" s="4">
        <v>1</v>
      </c>
      <c r="L162" s="43">
        <v>169000</v>
      </c>
      <c r="M162" s="78" t="s">
        <v>132</v>
      </c>
      <c r="N162" s="98" t="s">
        <v>236</v>
      </c>
      <c r="O162" s="10" t="s">
        <v>143</v>
      </c>
      <c r="P162" s="63">
        <v>100</v>
      </c>
      <c r="Q162" s="94" t="s">
        <v>62</v>
      </c>
      <c r="R162" s="63" t="s">
        <v>220</v>
      </c>
      <c r="S162" s="96" t="s">
        <v>237</v>
      </c>
      <c r="T162" s="10" t="s">
        <v>65</v>
      </c>
      <c r="U162" s="10"/>
      <c r="V162" s="10" t="s">
        <v>66</v>
      </c>
      <c r="W162" s="10"/>
      <c r="X162" s="9" t="s">
        <v>67</v>
      </c>
      <c r="Y162" s="10" t="s">
        <v>68</v>
      </c>
      <c r="Z162" s="94" t="s">
        <v>238</v>
      </c>
      <c r="AA162" s="94" t="s">
        <v>90</v>
      </c>
      <c r="AB162" s="9" t="s">
        <v>71</v>
      </c>
      <c r="AC162" s="10" t="s">
        <v>85</v>
      </c>
      <c r="AD162" s="10" t="s">
        <v>208</v>
      </c>
      <c r="AE162" s="65" t="s">
        <v>73</v>
      </c>
      <c r="AF162" s="39" t="s">
        <v>239</v>
      </c>
      <c r="AG162" s="10" t="s">
        <v>240</v>
      </c>
      <c r="AH162" s="4">
        <v>650</v>
      </c>
      <c r="AI162" s="11" t="s">
        <v>76</v>
      </c>
      <c r="AJ162" s="4" t="s">
        <v>241</v>
      </c>
      <c r="AK162" s="50">
        <v>2010</v>
      </c>
      <c r="AL162" s="43">
        <v>339690000</v>
      </c>
      <c r="AM162" s="43">
        <v>39</v>
      </c>
      <c r="AN162" s="43">
        <v>6282094</v>
      </c>
      <c r="AO162" s="43">
        <v>347</v>
      </c>
      <c r="AP162" s="43">
        <v>54431462</v>
      </c>
      <c r="AQ162" s="43">
        <v>769</v>
      </c>
      <c r="AR162" s="43">
        <v>114484935</v>
      </c>
      <c r="AS162" s="52">
        <f t="shared" si="31"/>
        <v>0.38258706467661691</v>
      </c>
    </row>
    <row r="163" spans="2:45" x14ac:dyDescent="0.3">
      <c r="B163" s="32" t="s">
        <v>234</v>
      </c>
      <c r="C163" s="10" t="str">
        <f t="shared" si="29"/>
        <v>DJ8O0</v>
      </c>
      <c r="D163" s="10" t="s">
        <v>55</v>
      </c>
      <c r="E163" s="10" t="str">
        <f t="shared" si="27"/>
        <v>M</v>
      </c>
      <c r="F163" s="10" t="str">
        <f t="shared" si="28"/>
        <v>DJ</v>
      </c>
      <c r="G163" s="10" t="s">
        <v>56</v>
      </c>
      <c r="H163" s="4" t="s">
        <v>235</v>
      </c>
      <c r="I163" s="10" t="s">
        <v>243</v>
      </c>
      <c r="J163" s="4" t="str">
        <f t="shared" si="30"/>
        <v/>
      </c>
      <c r="K163" s="4">
        <v>1</v>
      </c>
      <c r="L163" s="43">
        <v>169000</v>
      </c>
      <c r="M163" s="78" t="s">
        <v>132</v>
      </c>
      <c r="N163" s="98" t="s">
        <v>236</v>
      </c>
      <c r="O163" s="10" t="s">
        <v>143</v>
      </c>
      <c r="P163" s="63">
        <v>100</v>
      </c>
      <c r="Q163" s="94" t="s">
        <v>62</v>
      </c>
      <c r="R163" s="63" t="s">
        <v>220</v>
      </c>
      <c r="S163" s="96" t="s">
        <v>237</v>
      </c>
      <c r="T163" s="10" t="s">
        <v>65</v>
      </c>
      <c r="U163" s="10"/>
      <c r="V163" s="10" t="s">
        <v>66</v>
      </c>
      <c r="W163" s="10"/>
      <c r="X163" s="9" t="s">
        <v>67</v>
      </c>
      <c r="Y163" s="10" t="s">
        <v>68</v>
      </c>
      <c r="Z163" s="94" t="s">
        <v>238</v>
      </c>
      <c r="AA163" s="94" t="s">
        <v>90</v>
      </c>
      <c r="AB163" s="9" t="s">
        <v>71</v>
      </c>
      <c r="AC163" s="10" t="s">
        <v>85</v>
      </c>
      <c r="AD163" s="10" t="s">
        <v>208</v>
      </c>
      <c r="AE163" s="65" t="s">
        <v>73</v>
      </c>
      <c r="AF163" s="39" t="s">
        <v>239</v>
      </c>
      <c r="AG163" s="10" t="s">
        <v>240</v>
      </c>
      <c r="AH163" s="4">
        <v>650</v>
      </c>
      <c r="AI163" s="11" t="s">
        <v>76</v>
      </c>
      <c r="AJ163" s="4" t="s">
        <v>241</v>
      </c>
      <c r="AK163" s="50">
        <v>2010</v>
      </c>
      <c r="AL163" s="43">
        <v>339690000</v>
      </c>
      <c r="AM163" s="43">
        <v>238</v>
      </c>
      <c r="AN163" s="43">
        <v>27115498</v>
      </c>
      <c r="AO163" s="43">
        <v>1203</v>
      </c>
      <c r="AP163" s="43">
        <v>175843722</v>
      </c>
      <c r="AQ163" s="43">
        <v>1555</v>
      </c>
      <c r="AR163" s="43">
        <v>228969291</v>
      </c>
      <c r="AS163" s="52">
        <f t="shared" si="31"/>
        <v>0.77363184079601988</v>
      </c>
    </row>
    <row r="164" spans="2:45" x14ac:dyDescent="0.3">
      <c r="B164" s="32" t="s">
        <v>244</v>
      </c>
      <c r="C164" s="10" t="str">
        <f t="shared" si="29"/>
        <v>DJ8P0</v>
      </c>
      <c r="D164" s="10" t="s">
        <v>55</v>
      </c>
      <c r="E164" s="10" t="str">
        <f t="shared" si="27"/>
        <v>W</v>
      </c>
      <c r="F164" s="10" t="str">
        <f t="shared" si="28"/>
        <v>DJ</v>
      </c>
      <c r="G164" s="10" t="s">
        <v>56</v>
      </c>
      <c r="H164" s="4" t="s">
        <v>245</v>
      </c>
      <c r="I164" s="10" t="s">
        <v>78</v>
      </c>
      <c r="J164" s="4">
        <f t="shared" si="30"/>
        <v>1</v>
      </c>
      <c r="K164" s="4">
        <v>1</v>
      </c>
      <c r="L164" s="43">
        <v>169000</v>
      </c>
      <c r="M164" s="78" t="s">
        <v>132</v>
      </c>
      <c r="N164" s="98" t="s">
        <v>236</v>
      </c>
      <c r="O164" s="10" t="s">
        <v>143</v>
      </c>
      <c r="P164" s="63">
        <v>100</v>
      </c>
      <c r="Q164" s="94" t="s">
        <v>62</v>
      </c>
      <c r="R164" s="63" t="s">
        <v>220</v>
      </c>
      <c r="S164" s="96" t="s">
        <v>237</v>
      </c>
      <c r="T164" s="10" t="s">
        <v>65</v>
      </c>
      <c r="U164" s="10"/>
      <c r="V164" s="10" t="s">
        <v>66</v>
      </c>
      <c r="W164" s="10"/>
      <c r="X164" s="9" t="s">
        <v>67</v>
      </c>
      <c r="Y164" s="10" t="s">
        <v>68</v>
      </c>
      <c r="Z164" s="94" t="s">
        <v>238</v>
      </c>
      <c r="AA164" s="94" t="s">
        <v>90</v>
      </c>
      <c r="AB164" s="9" t="s">
        <v>71</v>
      </c>
      <c r="AC164" s="10" t="s">
        <v>85</v>
      </c>
      <c r="AD164" s="10" t="s">
        <v>208</v>
      </c>
      <c r="AE164" s="65" t="s">
        <v>73</v>
      </c>
      <c r="AF164" s="39" t="s">
        <v>246</v>
      </c>
      <c r="AG164" s="10" t="s">
        <v>240</v>
      </c>
      <c r="AH164" s="4">
        <v>650</v>
      </c>
      <c r="AI164" s="11" t="s">
        <v>76</v>
      </c>
      <c r="AJ164" s="4" t="s">
        <v>94</v>
      </c>
      <c r="AK164" s="50">
        <v>8017</v>
      </c>
      <c r="AL164" s="43">
        <v>1354873000</v>
      </c>
      <c r="AM164" s="43">
        <v>279</v>
      </c>
      <c r="AN164" s="43">
        <v>41935760</v>
      </c>
      <c r="AO164" s="43">
        <v>3633</v>
      </c>
      <c r="AP164" s="43">
        <v>557039046</v>
      </c>
      <c r="AQ164" s="43">
        <v>5195</v>
      </c>
      <c r="AR164" s="43">
        <v>803661088</v>
      </c>
      <c r="AS164" s="52">
        <f t="shared" si="31"/>
        <v>0.64799800424098786</v>
      </c>
    </row>
    <row r="165" spans="2:45" x14ac:dyDescent="0.3">
      <c r="B165" s="32" t="s">
        <v>244</v>
      </c>
      <c r="C165" s="10" t="str">
        <f t="shared" si="29"/>
        <v>DJ8P0</v>
      </c>
      <c r="D165" s="10" t="s">
        <v>55</v>
      </c>
      <c r="E165" s="10" t="str">
        <f t="shared" si="27"/>
        <v>W</v>
      </c>
      <c r="F165" s="10" t="str">
        <f t="shared" si="28"/>
        <v>DJ</v>
      </c>
      <c r="G165" s="10" t="s">
        <v>56</v>
      </c>
      <c r="H165" s="4" t="s">
        <v>245</v>
      </c>
      <c r="I165" s="10" t="s">
        <v>111</v>
      </c>
      <c r="J165" s="4" t="str">
        <f t="shared" si="30"/>
        <v/>
      </c>
      <c r="K165" s="4">
        <v>1</v>
      </c>
      <c r="L165" s="43">
        <v>169000</v>
      </c>
      <c r="M165" s="78" t="s">
        <v>132</v>
      </c>
      <c r="N165" s="98" t="s">
        <v>236</v>
      </c>
      <c r="O165" s="10" t="s">
        <v>143</v>
      </c>
      <c r="P165" s="63">
        <v>100</v>
      </c>
      <c r="Q165" s="94" t="s">
        <v>62</v>
      </c>
      <c r="R165" s="63" t="s">
        <v>220</v>
      </c>
      <c r="S165" s="96" t="s">
        <v>237</v>
      </c>
      <c r="T165" s="10" t="s">
        <v>65</v>
      </c>
      <c r="U165" s="10"/>
      <c r="V165" s="10" t="s">
        <v>66</v>
      </c>
      <c r="W165" s="10"/>
      <c r="X165" s="9" t="s">
        <v>67</v>
      </c>
      <c r="Y165" s="10" t="s">
        <v>68</v>
      </c>
      <c r="Z165" s="94" t="s">
        <v>238</v>
      </c>
      <c r="AA165" s="94" t="s">
        <v>90</v>
      </c>
      <c r="AB165" s="9" t="s">
        <v>71</v>
      </c>
      <c r="AC165" s="10" t="s">
        <v>85</v>
      </c>
      <c r="AD165" s="10" t="s">
        <v>208</v>
      </c>
      <c r="AE165" s="65" t="s">
        <v>73</v>
      </c>
      <c r="AF165" s="39" t="s">
        <v>246</v>
      </c>
      <c r="AG165" s="10" t="s">
        <v>240</v>
      </c>
      <c r="AH165" s="4">
        <v>650</v>
      </c>
      <c r="AI165" s="11" t="s">
        <v>76</v>
      </c>
      <c r="AJ165" s="4" t="s">
        <v>94</v>
      </c>
      <c r="AK165" s="50">
        <v>9009</v>
      </c>
      <c r="AL165" s="43">
        <v>1522521000</v>
      </c>
      <c r="AM165" s="43">
        <v>180</v>
      </c>
      <c r="AN165" s="43">
        <v>29663905</v>
      </c>
      <c r="AO165" s="43">
        <v>3307</v>
      </c>
      <c r="AP165" s="43">
        <v>531999486</v>
      </c>
      <c r="AQ165" s="43">
        <v>4998</v>
      </c>
      <c r="AR165" s="43">
        <v>794585977</v>
      </c>
      <c r="AS165" s="52">
        <f t="shared" si="31"/>
        <v>0.55477855477855476</v>
      </c>
    </row>
    <row r="166" spans="2:45" x14ac:dyDescent="0.3">
      <c r="B166" s="32" t="s">
        <v>244</v>
      </c>
      <c r="C166" s="10" t="str">
        <f t="shared" si="29"/>
        <v>DJ8P0</v>
      </c>
      <c r="D166" s="10" t="s">
        <v>55</v>
      </c>
      <c r="E166" s="10" t="str">
        <f t="shared" si="27"/>
        <v>W</v>
      </c>
      <c r="F166" s="10" t="str">
        <f t="shared" si="28"/>
        <v>DJ</v>
      </c>
      <c r="G166" s="10" t="s">
        <v>56</v>
      </c>
      <c r="H166" s="4" t="s">
        <v>245</v>
      </c>
      <c r="I166" s="10" t="s">
        <v>163</v>
      </c>
      <c r="J166" s="4" t="str">
        <f t="shared" si="30"/>
        <v/>
      </c>
      <c r="K166" s="4">
        <v>1</v>
      </c>
      <c r="L166" s="43">
        <v>169000</v>
      </c>
      <c r="M166" s="78" t="s">
        <v>132</v>
      </c>
      <c r="N166" s="98" t="s">
        <v>236</v>
      </c>
      <c r="O166" s="10" t="s">
        <v>143</v>
      </c>
      <c r="P166" s="63">
        <v>100</v>
      </c>
      <c r="Q166" s="94" t="s">
        <v>62</v>
      </c>
      <c r="R166" s="63" t="s">
        <v>220</v>
      </c>
      <c r="S166" s="96" t="s">
        <v>237</v>
      </c>
      <c r="T166" s="10" t="s">
        <v>65</v>
      </c>
      <c r="U166" s="10"/>
      <c r="V166" s="10" t="s">
        <v>66</v>
      </c>
      <c r="W166" s="10"/>
      <c r="X166" s="9" t="s">
        <v>67</v>
      </c>
      <c r="Y166" s="10" t="s">
        <v>68</v>
      </c>
      <c r="Z166" s="94" t="s">
        <v>238</v>
      </c>
      <c r="AA166" s="94" t="s">
        <v>90</v>
      </c>
      <c r="AB166" s="9" t="s">
        <v>71</v>
      </c>
      <c r="AC166" s="10" t="s">
        <v>85</v>
      </c>
      <c r="AD166" s="10" t="s">
        <v>208</v>
      </c>
      <c r="AE166" s="65" t="s">
        <v>73</v>
      </c>
      <c r="AF166" s="39" t="s">
        <v>246</v>
      </c>
      <c r="AG166" s="10" t="s">
        <v>240</v>
      </c>
      <c r="AH166" s="4">
        <v>650</v>
      </c>
      <c r="AI166" s="11" t="s">
        <v>76</v>
      </c>
      <c r="AJ166" s="4" t="s">
        <v>94</v>
      </c>
      <c r="AK166" s="50">
        <v>6000</v>
      </c>
      <c r="AL166" s="43">
        <v>1014000000</v>
      </c>
      <c r="AM166" s="43">
        <v>200</v>
      </c>
      <c r="AN166" s="43">
        <v>27507891</v>
      </c>
      <c r="AO166" s="43">
        <v>1936</v>
      </c>
      <c r="AP166" s="43">
        <v>296643581</v>
      </c>
      <c r="AQ166" s="43">
        <v>2854</v>
      </c>
      <c r="AR166" s="43">
        <v>439374390</v>
      </c>
      <c r="AS166" s="52">
        <f t="shared" si="31"/>
        <v>0.47566666666666668</v>
      </c>
    </row>
    <row r="167" spans="2:45" x14ac:dyDescent="0.3">
      <c r="B167" s="32" t="s">
        <v>244</v>
      </c>
      <c r="C167" s="10" t="str">
        <f t="shared" si="29"/>
        <v>DJ8P0</v>
      </c>
      <c r="D167" s="10" t="s">
        <v>55</v>
      </c>
      <c r="E167" s="10" t="str">
        <f t="shared" si="27"/>
        <v>W</v>
      </c>
      <c r="F167" s="10" t="str">
        <f t="shared" si="28"/>
        <v>DJ</v>
      </c>
      <c r="G167" s="10" t="s">
        <v>56</v>
      </c>
      <c r="H167" s="4" t="s">
        <v>245</v>
      </c>
      <c r="I167" s="10" t="s">
        <v>58</v>
      </c>
      <c r="J167" s="4" t="str">
        <f t="shared" si="30"/>
        <v/>
      </c>
      <c r="K167" s="4">
        <v>1</v>
      </c>
      <c r="L167" s="43">
        <v>169000</v>
      </c>
      <c r="M167" s="78" t="s">
        <v>132</v>
      </c>
      <c r="N167" s="98" t="s">
        <v>236</v>
      </c>
      <c r="O167" s="10" t="s">
        <v>143</v>
      </c>
      <c r="P167" s="63">
        <v>100</v>
      </c>
      <c r="Q167" s="94" t="s">
        <v>62</v>
      </c>
      <c r="R167" s="63" t="s">
        <v>220</v>
      </c>
      <c r="S167" s="96" t="s">
        <v>237</v>
      </c>
      <c r="T167" s="10" t="s">
        <v>65</v>
      </c>
      <c r="U167" s="10"/>
      <c r="V167" s="10" t="s">
        <v>66</v>
      </c>
      <c r="W167" s="10"/>
      <c r="X167" s="9" t="s">
        <v>67</v>
      </c>
      <c r="Y167" s="10" t="s">
        <v>68</v>
      </c>
      <c r="Z167" s="94" t="s">
        <v>238</v>
      </c>
      <c r="AA167" s="94" t="s">
        <v>90</v>
      </c>
      <c r="AB167" s="9" t="s">
        <v>71</v>
      </c>
      <c r="AC167" s="10" t="s">
        <v>85</v>
      </c>
      <c r="AD167" s="10" t="s">
        <v>208</v>
      </c>
      <c r="AE167" s="65" t="s">
        <v>73</v>
      </c>
      <c r="AF167" s="39" t="s">
        <v>246</v>
      </c>
      <c r="AG167" s="10" t="s">
        <v>240</v>
      </c>
      <c r="AH167" s="4">
        <v>650</v>
      </c>
      <c r="AI167" s="11" t="s">
        <v>76</v>
      </c>
      <c r="AJ167" s="4" t="s">
        <v>94</v>
      </c>
      <c r="AK167" s="50">
        <v>989</v>
      </c>
      <c r="AL167" s="43">
        <v>167141000</v>
      </c>
      <c r="AM167" s="43">
        <v>13</v>
      </c>
      <c r="AN167" s="43">
        <v>2163030</v>
      </c>
      <c r="AO167" s="43">
        <v>161</v>
      </c>
      <c r="AP167" s="43">
        <v>24571067</v>
      </c>
      <c r="AQ167" s="43">
        <v>246</v>
      </c>
      <c r="AR167" s="43">
        <v>38229185</v>
      </c>
      <c r="AS167" s="52">
        <f t="shared" si="31"/>
        <v>0.24873609706774519</v>
      </c>
    </row>
    <row r="168" spans="2:45" x14ac:dyDescent="0.3">
      <c r="B168" s="32" t="s">
        <v>244</v>
      </c>
      <c r="C168" s="10" t="str">
        <f t="shared" si="29"/>
        <v>DJ8P0</v>
      </c>
      <c r="D168" s="10" t="s">
        <v>55</v>
      </c>
      <c r="E168" s="10" t="str">
        <f t="shared" si="27"/>
        <v>W</v>
      </c>
      <c r="F168" s="10" t="str">
        <f t="shared" si="28"/>
        <v>DJ</v>
      </c>
      <c r="G168" s="10" t="s">
        <v>56</v>
      </c>
      <c r="H168" s="4" t="s">
        <v>245</v>
      </c>
      <c r="I168" s="10" t="s">
        <v>178</v>
      </c>
      <c r="J168" s="4" t="str">
        <f t="shared" si="30"/>
        <v/>
      </c>
      <c r="K168" s="4">
        <v>1</v>
      </c>
      <c r="L168" s="43">
        <v>169000</v>
      </c>
      <c r="M168" s="78" t="s">
        <v>132</v>
      </c>
      <c r="N168" s="98" t="s">
        <v>236</v>
      </c>
      <c r="O168" s="10" t="s">
        <v>143</v>
      </c>
      <c r="P168" s="63">
        <v>100</v>
      </c>
      <c r="Q168" s="94" t="s">
        <v>62</v>
      </c>
      <c r="R168" s="63" t="s">
        <v>220</v>
      </c>
      <c r="S168" s="96" t="s">
        <v>237</v>
      </c>
      <c r="T168" s="10" t="s">
        <v>65</v>
      </c>
      <c r="U168" s="10"/>
      <c r="V168" s="10" t="s">
        <v>66</v>
      </c>
      <c r="W168" s="10"/>
      <c r="X168" s="9" t="s">
        <v>67</v>
      </c>
      <c r="Y168" s="10" t="s">
        <v>68</v>
      </c>
      <c r="Z168" s="94" t="s">
        <v>238</v>
      </c>
      <c r="AA168" s="94" t="s">
        <v>90</v>
      </c>
      <c r="AB168" s="9" t="s">
        <v>71</v>
      </c>
      <c r="AC168" s="10" t="s">
        <v>85</v>
      </c>
      <c r="AD168" s="10" t="s">
        <v>208</v>
      </c>
      <c r="AE168" s="65" t="s">
        <v>73</v>
      </c>
      <c r="AF168" s="39" t="s">
        <v>246</v>
      </c>
      <c r="AG168" s="10" t="s">
        <v>240</v>
      </c>
      <c r="AH168" s="4">
        <v>650</v>
      </c>
      <c r="AI168" s="11" t="s">
        <v>76</v>
      </c>
      <c r="AJ168" s="4" t="s">
        <v>94</v>
      </c>
      <c r="AK168" s="50">
        <v>1506</v>
      </c>
      <c r="AL168" s="43">
        <v>254514000</v>
      </c>
      <c r="AM168" s="43">
        <v>12</v>
      </c>
      <c r="AN168" s="43">
        <v>2018000</v>
      </c>
      <c r="AO168" s="43">
        <v>472</v>
      </c>
      <c r="AP168" s="43">
        <v>73628089</v>
      </c>
      <c r="AQ168" s="43">
        <v>768</v>
      </c>
      <c r="AR168" s="43">
        <v>117655297</v>
      </c>
      <c r="AS168" s="52">
        <f t="shared" si="31"/>
        <v>0.50996015936254979</v>
      </c>
    </row>
    <row r="169" spans="2:45" x14ac:dyDescent="0.3">
      <c r="B169" s="32" t="s">
        <v>247</v>
      </c>
      <c r="C169" s="10" t="str">
        <f t="shared" si="29"/>
        <v>DJ8Q0</v>
      </c>
      <c r="D169" s="10" t="s">
        <v>55</v>
      </c>
      <c r="E169" s="10" t="str">
        <f t="shared" si="27"/>
        <v>X</v>
      </c>
      <c r="F169" s="10" t="str">
        <f t="shared" si="28"/>
        <v>DJ</v>
      </c>
      <c r="G169" s="10" t="s">
        <v>56</v>
      </c>
      <c r="H169" s="4" t="s">
        <v>248</v>
      </c>
      <c r="I169" s="10" t="s">
        <v>78</v>
      </c>
      <c r="J169" s="4">
        <f t="shared" si="30"/>
        <v>1</v>
      </c>
      <c r="K169" s="4">
        <v>1</v>
      </c>
      <c r="L169" s="43">
        <v>179000</v>
      </c>
      <c r="M169" s="78" t="s">
        <v>217</v>
      </c>
      <c r="N169" s="98" t="s">
        <v>249</v>
      </c>
      <c r="O169" s="10" t="s">
        <v>61</v>
      </c>
      <c r="P169" s="63">
        <v>100</v>
      </c>
      <c r="Q169" s="94" t="s">
        <v>119</v>
      </c>
      <c r="R169" s="63" t="s">
        <v>246</v>
      </c>
      <c r="S169" s="96" t="s">
        <v>121</v>
      </c>
      <c r="T169" s="10" t="s">
        <v>122</v>
      </c>
      <c r="U169" s="10" t="s">
        <v>250</v>
      </c>
      <c r="V169" s="10" t="s">
        <v>66</v>
      </c>
      <c r="W169" s="10"/>
      <c r="X169" s="9" t="s">
        <v>67</v>
      </c>
      <c r="Y169" s="10" t="s">
        <v>68</v>
      </c>
      <c r="Z169" s="94" t="s">
        <v>125</v>
      </c>
      <c r="AA169" s="94" t="s">
        <v>90</v>
      </c>
      <c r="AB169" s="9" t="s">
        <v>71</v>
      </c>
      <c r="AC169" s="10" t="s">
        <v>85</v>
      </c>
      <c r="AD169" s="10" t="s">
        <v>208</v>
      </c>
      <c r="AE169" s="65" t="s">
        <v>73</v>
      </c>
      <c r="AF169" s="39" t="s">
        <v>239</v>
      </c>
      <c r="AG169" s="10" t="s">
        <v>240</v>
      </c>
      <c r="AH169" s="4">
        <v>650</v>
      </c>
      <c r="AI169" s="11" t="s">
        <v>76</v>
      </c>
      <c r="AJ169" s="4" t="s">
        <v>241</v>
      </c>
      <c r="AK169" s="50">
        <v>4418</v>
      </c>
      <c r="AL169" s="43">
        <v>790822000</v>
      </c>
      <c r="AM169" s="43">
        <v>62</v>
      </c>
      <c r="AN169" s="43">
        <v>11019010</v>
      </c>
      <c r="AO169" s="43">
        <v>2294</v>
      </c>
      <c r="AP169" s="43">
        <v>376988606</v>
      </c>
      <c r="AQ169" s="43">
        <v>3054</v>
      </c>
      <c r="AR169" s="43">
        <v>506291744</v>
      </c>
      <c r="AS169" s="52">
        <f t="shared" si="31"/>
        <v>0.69126301493888642</v>
      </c>
    </row>
    <row r="170" spans="2:45" x14ac:dyDescent="0.3">
      <c r="B170" s="32" t="s">
        <v>247</v>
      </c>
      <c r="C170" s="10" t="str">
        <f t="shared" si="29"/>
        <v>DJ8Q0</v>
      </c>
      <c r="D170" s="10" t="s">
        <v>55</v>
      </c>
      <c r="E170" s="10" t="str">
        <f t="shared" si="27"/>
        <v>X</v>
      </c>
      <c r="F170" s="10" t="str">
        <f t="shared" si="28"/>
        <v>DJ</v>
      </c>
      <c r="G170" s="10" t="s">
        <v>56</v>
      </c>
      <c r="H170" s="4" t="s">
        <v>248</v>
      </c>
      <c r="I170" s="10" t="s">
        <v>105</v>
      </c>
      <c r="J170" s="4" t="str">
        <f t="shared" si="30"/>
        <v/>
      </c>
      <c r="K170" s="4">
        <v>1</v>
      </c>
      <c r="L170" s="43">
        <v>179000</v>
      </c>
      <c r="M170" s="78" t="s">
        <v>217</v>
      </c>
      <c r="N170" s="98" t="s">
        <v>249</v>
      </c>
      <c r="O170" s="10" t="s">
        <v>61</v>
      </c>
      <c r="P170" s="63">
        <v>100</v>
      </c>
      <c r="Q170" s="94" t="s">
        <v>119</v>
      </c>
      <c r="R170" s="63" t="s">
        <v>246</v>
      </c>
      <c r="S170" s="96" t="s">
        <v>121</v>
      </c>
      <c r="T170" s="10" t="s">
        <v>122</v>
      </c>
      <c r="U170" s="10" t="s">
        <v>250</v>
      </c>
      <c r="V170" s="10" t="s">
        <v>66</v>
      </c>
      <c r="W170" s="10"/>
      <c r="X170" s="9" t="s">
        <v>67</v>
      </c>
      <c r="Y170" s="10" t="s">
        <v>68</v>
      </c>
      <c r="Z170" s="94" t="s">
        <v>125</v>
      </c>
      <c r="AA170" s="94" t="s">
        <v>90</v>
      </c>
      <c r="AB170" s="9" t="s">
        <v>71</v>
      </c>
      <c r="AC170" s="10" t="s">
        <v>85</v>
      </c>
      <c r="AD170" s="10" t="s">
        <v>208</v>
      </c>
      <c r="AE170" s="65" t="s">
        <v>73</v>
      </c>
      <c r="AF170" s="39" t="s">
        <v>239</v>
      </c>
      <c r="AG170" s="10" t="s">
        <v>240</v>
      </c>
      <c r="AH170" s="4">
        <v>650</v>
      </c>
      <c r="AI170" s="11" t="s">
        <v>76</v>
      </c>
      <c r="AJ170" s="4" t="s">
        <v>241</v>
      </c>
      <c r="AK170" s="50">
        <v>1495</v>
      </c>
      <c r="AL170" s="43">
        <v>267605000</v>
      </c>
      <c r="AM170" s="43">
        <v>31</v>
      </c>
      <c r="AN170" s="43">
        <v>5223812</v>
      </c>
      <c r="AO170" s="43">
        <v>667</v>
      </c>
      <c r="AP170" s="43">
        <v>111123510</v>
      </c>
      <c r="AQ170" s="43">
        <v>934</v>
      </c>
      <c r="AR170" s="43">
        <v>156879717</v>
      </c>
      <c r="AS170" s="52">
        <f t="shared" si="31"/>
        <v>0.62474916387959867</v>
      </c>
    </row>
    <row r="171" spans="2:45" x14ac:dyDescent="0.3">
      <c r="B171" s="32" t="s">
        <v>247</v>
      </c>
      <c r="C171" s="10" t="str">
        <f t="shared" si="29"/>
        <v>DJ8Q0</v>
      </c>
      <c r="D171" s="10" t="s">
        <v>55</v>
      </c>
      <c r="E171" s="10" t="str">
        <f t="shared" si="27"/>
        <v>X</v>
      </c>
      <c r="F171" s="10" t="str">
        <f t="shared" si="28"/>
        <v>DJ</v>
      </c>
      <c r="G171" s="10" t="s">
        <v>56</v>
      </c>
      <c r="H171" s="4" t="s">
        <v>248</v>
      </c>
      <c r="I171" s="10" t="s">
        <v>209</v>
      </c>
      <c r="J171" s="4" t="str">
        <f t="shared" si="30"/>
        <v/>
      </c>
      <c r="K171" s="4">
        <v>1</v>
      </c>
      <c r="L171" s="43">
        <v>179000</v>
      </c>
      <c r="M171" s="78" t="s">
        <v>217</v>
      </c>
      <c r="N171" s="98" t="s">
        <v>249</v>
      </c>
      <c r="O171" s="10" t="s">
        <v>61</v>
      </c>
      <c r="P171" s="63">
        <v>100</v>
      </c>
      <c r="Q171" s="94" t="s">
        <v>119</v>
      </c>
      <c r="R171" s="63" t="s">
        <v>246</v>
      </c>
      <c r="S171" s="96" t="s">
        <v>121</v>
      </c>
      <c r="T171" s="10" t="s">
        <v>122</v>
      </c>
      <c r="U171" s="10" t="s">
        <v>250</v>
      </c>
      <c r="V171" s="10" t="s">
        <v>66</v>
      </c>
      <c r="W171" s="10"/>
      <c r="X171" s="9" t="s">
        <v>67</v>
      </c>
      <c r="Y171" s="10" t="s">
        <v>68</v>
      </c>
      <c r="Z171" s="94" t="s">
        <v>125</v>
      </c>
      <c r="AA171" s="94" t="s">
        <v>90</v>
      </c>
      <c r="AB171" s="9" t="s">
        <v>71</v>
      </c>
      <c r="AC171" s="10" t="s">
        <v>85</v>
      </c>
      <c r="AD171" s="10" t="s">
        <v>208</v>
      </c>
      <c r="AE171" s="65" t="s">
        <v>73</v>
      </c>
      <c r="AF171" s="39" t="s">
        <v>239</v>
      </c>
      <c r="AG171" s="10" t="s">
        <v>240</v>
      </c>
      <c r="AH171" s="4">
        <v>650</v>
      </c>
      <c r="AI171" s="11" t="s">
        <v>76</v>
      </c>
      <c r="AJ171" s="4" t="s">
        <v>241</v>
      </c>
      <c r="AK171" s="50">
        <v>990</v>
      </c>
      <c r="AL171" s="43">
        <v>177210000</v>
      </c>
      <c r="AM171" s="43">
        <v>39</v>
      </c>
      <c r="AN171" s="43">
        <v>6853978</v>
      </c>
      <c r="AO171" s="43">
        <v>479</v>
      </c>
      <c r="AP171" s="43">
        <v>80945140</v>
      </c>
      <c r="AQ171" s="43">
        <v>685</v>
      </c>
      <c r="AR171" s="43">
        <v>116698257</v>
      </c>
      <c r="AS171" s="52">
        <f t="shared" si="31"/>
        <v>0.69191919191919193</v>
      </c>
    </row>
    <row r="172" spans="2:45" x14ac:dyDescent="0.3">
      <c r="B172" s="32" t="s">
        <v>251</v>
      </c>
      <c r="C172" s="10" t="str">
        <f t="shared" si="29"/>
        <v>DJGE0</v>
      </c>
      <c r="D172" s="10" t="s">
        <v>55</v>
      </c>
      <c r="E172" s="10" t="str">
        <f t="shared" si="27"/>
        <v>X</v>
      </c>
      <c r="F172" s="10" t="str">
        <f t="shared" si="28"/>
        <v>DJ</v>
      </c>
      <c r="G172" s="10" t="s">
        <v>56</v>
      </c>
      <c r="H172" s="4" t="s">
        <v>252</v>
      </c>
      <c r="I172" s="10" t="s">
        <v>79</v>
      </c>
      <c r="J172" s="4">
        <f t="shared" si="30"/>
        <v>1</v>
      </c>
      <c r="K172" s="4">
        <v>1</v>
      </c>
      <c r="L172" s="43">
        <v>299000</v>
      </c>
      <c r="M172" s="78" t="s">
        <v>202</v>
      </c>
      <c r="N172" s="98" t="s">
        <v>203</v>
      </c>
      <c r="O172" s="10" t="s">
        <v>61</v>
      </c>
      <c r="P172" s="63">
        <v>100</v>
      </c>
      <c r="Q172" s="94" t="s">
        <v>204</v>
      </c>
      <c r="R172" s="63" t="s">
        <v>205</v>
      </c>
      <c r="S172" s="96" t="s">
        <v>206</v>
      </c>
      <c r="T172" s="10" t="s">
        <v>122</v>
      </c>
      <c r="U172" s="10" t="s">
        <v>207</v>
      </c>
      <c r="V172" s="10" t="s">
        <v>66</v>
      </c>
      <c r="W172" s="10"/>
      <c r="X172" s="9" t="s">
        <v>67</v>
      </c>
      <c r="Y172" s="10" t="s">
        <v>68</v>
      </c>
      <c r="Z172" s="94" t="s">
        <v>125</v>
      </c>
      <c r="AA172" s="94" t="s">
        <v>90</v>
      </c>
      <c r="AB172" s="9" t="s">
        <v>71</v>
      </c>
      <c r="AC172" s="10" t="s">
        <v>85</v>
      </c>
      <c r="AD172" s="10" t="s">
        <v>208</v>
      </c>
      <c r="AE172" s="65" t="s">
        <v>137</v>
      </c>
      <c r="AF172" s="39" t="s">
        <v>93</v>
      </c>
      <c r="AG172" s="10" t="s">
        <v>75</v>
      </c>
      <c r="AH172" s="4">
        <v>650</v>
      </c>
      <c r="AI172" s="11" t="s">
        <v>76</v>
      </c>
      <c r="AJ172" s="4" t="s">
        <v>241</v>
      </c>
      <c r="AK172" s="50">
        <v>2200</v>
      </c>
      <c r="AL172" s="43">
        <v>657800000</v>
      </c>
      <c r="AM172" s="43">
        <v>94</v>
      </c>
      <c r="AN172" s="43">
        <v>19688200</v>
      </c>
      <c r="AO172" s="43">
        <v>920</v>
      </c>
      <c r="AP172" s="43">
        <v>210660709</v>
      </c>
      <c r="AQ172" s="43">
        <v>1439</v>
      </c>
      <c r="AR172" s="43">
        <v>318873329</v>
      </c>
      <c r="AS172" s="52">
        <f t="shared" si="31"/>
        <v>0.65409090909090906</v>
      </c>
    </row>
    <row r="173" spans="2:45" x14ac:dyDescent="0.3">
      <c r="B173" s="32" t="s">
        <v>251</v>
      </c>
      <c r="C173" s="10" t="str">
        <f t="shared" si="29"/>
        <v>DJGE0</v>
      </c>
      <c r="D173" s="10" t="s">
        <v>55</v>
      </c>
      <c r="E173" s="10" t="str">
        <f t="shared" si="27"/>
        <v>X</v>
      </c>
      <c r="F173" s="10" t="str">
        <f t="shared" si="28"/>
        <v>DJ</v>
      </c>
      <c r="G173" s="10" t="s">
        <v>56</v>
      </c>
      <c r="H173" s="4" t="s">
        <v>252</v>
      </c>
      <c r="I173" s="10" t="s">
        <v>78</v>
      </c>
      <c r="J173" s="4" t="str">
        <f t="shared" si="30"/>
        <v/>
      </c>
      <c r="K173" s="4">
        <v>1</v>
      </c>
      <c r="L173" s="43">
        <v>299000</v>
      </c>
      <c r="M173" s="78" t="s">
        <v>202</v>
      </c>
      <c r="N173" s="98" t="s">
        <v>253</v>
      </c>
      <c r="O173" s="10" t="s">
        <v>254</v>
      </c>
      <c r="P173" s="63" t="s">
        <v>255</v>
      </c>
      <c r="Q173" s="94" t="s">
        <v>144</v>
      </c>
      <c r="R173" s="63" t="s">
        <v>256</v>
      </c>
      <c r="S173" s="96" t="s">
        <v>257</v>
      </c>
      <c r="T173" s="10" t="s">
        <v>122</v>
      </c>
      <c r="U173" s="10" t="s">
        <v>207</v>
      </c>
      <c r="V173" s="10" t="s">
        <v>66</v>
      </c>
      <c r="W173" s="10"/>
      <c r="X173" s="9" t="s">
        <v>67</v>
      </c>
      <c r="Y173" s="10" t="s">
        <v>68</v>
      </c>
      <c r="Z173" s="94" t="s">
        <v>125</v>
      </c>
      <c r="AA173" s="94" t="s">
        <v>90</v>
      </c>
      <c r="AB173" s="9" t="s">
        <v>71</v>
      </c>
      <c r="AC173" s="10" t="s">
        <v>85</v>
      </c>
      <c r="AD173" s="10" t="s">
        <v>208</v>
      </c>
      <c r="AE173" s="65" t="s">
        <v>137</v>
      </c>
      <c r="AF173" s="39" t="s">
        <v>93</v>
      </c>
      <c r="AG173" s="10" t="s">
        <v>75</v>
      </c>
      <c r="AH173" s="4">
        <v>650</v>
      </c>
      <c r="AI173" s="11" t="s">
        <v>76</v>
      </c>
      <c r="AJ173" s="4" t="s">
        <v>241</v>
      </c>
      <c r="AK173" s="50">
        <v>1800</v>
      </c>
      <c r="AL173" s="43">
        <v>538200000</v>
      </c>
      <c r="AM173" s="43">
        <v>94</v>
      </c>
      <c r="AN173" s="43">
        <v>19594170</v>
      </c>
      <c r="AO173" s="43">
        <v>1026</v>
      </c>
      <c r="AP173" s="43">
        <v>231967125</v>
      </c>
      <c r="AQ173" s="43">
        <v>1504</v>
      </c>
      <c r="AR173" s="43">
        <v>331412405</v>
      </c>
      <c r="AS173" s="52">
        <f t="shared" si="31"/>
        <v>0.83555555555555561</v>
      </c>
    </row>
    <row r="174" spans="2:45" x14ac:dyDescent="0.3">
      <c r="B174" s="32" t="s">
        <v>258</v>
      </c>
      <c r="C174" s="10" t="str">
        <f t="shared" si="29"/>
        <v>DJ610</v>
      </c>
      <c r="D174" s="10" t="s">
        <v>55</v>
      </c>
      <c r="E174" s="10" t="str">
        <f t="shared" si="27"/>
        <v>M</v>
      </c>
      <c r="F174" s="10" t="str">
        <f t="shared" si="28"/>
        <v>DJ</v>
      </c>
      <c r="G174" s="10" t="s">
        <v>56</v>
      </c>
      <c r="H174" s="4" t="s">
        <v>259</v>
      </c>
      <c r="I174" s="10" t="s">
        <v>260</v>
      </c>
      <c r="J174" s="4">
        <f t="shared" si="30"/>
        <v>1</v>
      </c>
      <c r="K174" s="4">
        <v>1</v>
      </c>
      <c r="L174" s="43">
        <v>359000</v>
      </c>
      <c r="M174" s="78" t="s">
        <v>194</v>
      </c>
      <c r="N174" s="98" t="s">
        <v>261</v>
      </c>
      <c r="O174" s="10" t="s">
        <v>61</v>
      </c>
      <c r="P174" s="63">
        <v>100</v>
      </c>
      <c r="Q174" s="94" t="s">
        <v>119</v>
      </c>
      <c r="R174" s="63" t="s">
        <v>262</v>
      </c>
      <c r="S174" s="96" t="s">
        <v>263</v>
      </c>
      <c r="T174" s="10" t="s">
        <v>122</v>
      </c>
      <c r="U174" s="10" t="s">
        <v>207</v>
      </c>
      <c r="V174" s="10" t="s">
        <v>66</v>
      </c>
      <c r="W174" s="10"/>
      <c r="X174" s="9" t="s">
        <v>67</v>
      </c>
      <c r="Y174" s="10" t="s">
        <v>68</v>
      </c>
      <c r="Z174" s="94" t="s">
        <v>125</v>
      </c>
      <c r="AA174" s="94" t="s">
        <v>90</v>
      </c>
      <c r="AB174" s="9" t="s">
        <v>71</v>
      </c>
      <c r="AC174" s="10" t="s">
        <v>85</v>
      </c>
      <c r="AD174" s="10" t="s">
        <v>208</v>
      </c>
      <c r="AE174" s="65" t="s">
        <v>73</v>
      </c>
      <c r="AF174" s="39" t="s">
        <v>214</v>
      </c>
      <c r="AG174" s="10" t="s">
        <v>127</v>
      </c>
      <c r="AH174" s="4">
        <v>650</v>
      </c>
      <c r="AI174" s="11" t="s">
        <v>264</v>
      </c>
      <c r="AJ174" s="4" t="s">
        <v>241</v>
      </c>
      <c r="AK174" s="50">
        <v>1506</v>
      </c>
      <c r="AL174" s="43">
        <v>540654000</v>
      </c>
      <c r="AM174" s="43">
        <v>62</v>
      </c>
      <c r="AN174" s="43">
        <v>20307290</v>
      </c>
      <c r="AO174" s="43">
        <v>297</v>
      </c>
      <c r="AP174" s="43">
        <v>98508259</v>
      </c>
      <c r="AQ174" s="43">
        <v>752</v>
      </c>
      <c r="AR174" s="43">
        <v>255786928</v>
      </c>
      <c r="AS174" s="52">
        <f t="shared" si="31"/>
        <v>0.49933598937583001</v>
      </c>
    </row>
    <row r="175" spans="2:45" x14ac:dyDescent="0.3">
      <c r="B175" s="32" t="s">
        <v>258</v>
      </c>
      <c r="C175" s="10" t="str">
        <f t="shared" si="29"/>
        <v>DJ610</v>
      </c>
      <c r="D175" s="10" t="s">
        <v>55</v>
      </c>
      <c r="E175" s="10" t="str">
        <f t="shared" si="27"/>
        <v>M</v>
      </c>
      <c r="F175" s="10" t="str">
        <f t="shared" si="28"/>
        <v>DJ</v>
      </c>
      <c r="G175" s="10" t="s">
        <v>56</v>
      </c>
      <c r="H175" s="4" t="s">
        <v>259</v>
      </c>
      <c r="I175" s="10" t="s">
        <v>113</v>
      </c>
      <c r="J175" s="4" t="str">
        <f t="shared" si="30"/>
        <v/>
      </c>
      <c r="K175" s="4">
        <v>1</v>
      </c>
      <c r="L175" s="43">
        <v>359000</v>
      </c>
      <c r="M175" s="78" t="s">
        <v>194</v>
      </c>
      <c r="N175" s="98" t="s">
        <v>261</v>
      </c>
      <c r="O175" s="10" t="s">
        <v>61</v>
      </c>
      <c r="P175" s="63">
        <v>100</v>
      </c>
      <c r="Q175" s="94" t="s">
        <v>119</v>
      </c>
      <c r="R175" s="63" t="s">
        <v>262</v>
      </c>
      <c r="S175" s="96" t="s">
        <v>263</v>
      </c>
      <c r="T175" s="10" t="s">
        <v>122</v>
      </c>
      <c r="U175" s="10" t="s">
        <v>207</v>
      </c>
      <c r="V175" s="10" t="s">
        <v>66</v>
      </c>
      <c r="W175" s="10"/>
      <c r="X175" s="9" t="s">
        <v>67</v>
      </c>
      <c r="Y175" s="10" t="s">
        <v>68</v>
      </c>
      <c r="Z175" s="94" t="s">
        <v>125</v>
      </c>
      <c r="AA175" s="94" t="s">
        <v>90</v>
      </c>
      <c r="AB175" s="9" t="s">
        <v>71</v>
      </c>
      <c r="AC175" s="10" t="s">
        <v>85</v>
      </c>
      <c r="AD175" s="10" t="s">
        <v>208</v>
      </c>
      <c r="AE175" s="65" t="s">
        <v>73</v>
      </c>
      <c r="AF175" s="39" t="s">
        <v>214</v>
      </c>
      <c r="AG175" s="10" t="s">
        <v>127</v>
      </c>
      <c r="AH175" s="4">
        <v>650</v>
      </c>
      <c r="AI175" s="11" t="s">
        <v>264</v>
      </c>
      <c r="AJ175" s="4" t="s">
        <v>241</v>
      </c>
      <c r="AK175" s="50">
        <v>2011</v>
      </c>
      <c r="AL175" s="43">
        <v>721949000</v>
      </c>
      <c r="AM175" s="43">
        <v>119</v>
      </c>
      <c r="AN175" s="43">
        <v>41739616</v>
      </c>
      <c r="AO175" s="43">
        <v>656</v>
      </c>
      <c r="AP175" s="43">
        <v>223609123</v>
      </c>
      <c r="AQ175" s="43">
        <v>1449</v>
      </c>
      <c r="AR175" s="43">
        <v>482729545</v>
      </c>
      <c r="AS175" s="52">
        <f t="shared" si="31"/>
        <v>0.72053704624564896</v>
      </c>
    </row>
    <row r="176" spans="2:45" x14ac:dyDescent="0.3">
      <c r="B176" s="32" t="s">
        <v>258</v>
      </c>
      <c r="C176" s="10" t="str">
        <f t="shared" si="29"/>
        <v>DJ610</v>
      </c>
      <c r="D176" s="10" t="s">
        <v>55</v>
      </c>
      <c r="E176" s="10" t="str">
        <f t="shared" si="27"/>
        <v>M</v>
      </c>
      <c r="F176" s="10" t="str">
        <f t="shared" si="28"/>
        <v>DJ</v>
      </c>
      <c r="G176" s="10" t="s">
        <v>56</v>
      </c>
      <c r="H176" s="4" t="s">
        <v>259</v>
      </c>
      <c r="I176" s="10" t="s">
        <v>78</v>
      </c>
      <c r="J176" s="4" t="str">
        <f t="shared" si="30"/>
        <v/>
      </c>
      <c r="K176" s="4">
        <v>1</v>
      </c>
      <c r="L176" s="43">
        <v>359000</v>
      </c>
      <c r="M176" s="78" t="s">
        <v>194</v>
      </c>
      <c r="N176" s="98" t="s">
        <v>261</v>
      </c>
      <c r="O176" s="10" t="s">
        <v>61</v>
      </c>
      <c r="P176" s="63">
        <v>100</v>
      </c>
      <c r="Q176" s="94" t="s">
        <v>119</v>
      </c>
      <c r="R176" s="63" t="s">
        <v>262</v>
      </c>
      <c r="S176" s="96" t="s">
        <v>263</v>
      </c>
      <c r="T176" s="10" t="s">
        <v>122</v>
      </c>
      <c r="U176" s="10" t="s">
        <v>207</v>
      </c>
      <c r="V176" s="10" t="s">
        <v>66</v>
      </c>
      <c r="W176" s="10"/>
      <c r="X176" s="9" t="s">
        <v>67</v>
      </c>
      <c r="Y176" s="10" t="s">
        <v>68</v>
      </c>
      <c r="Z176" s="94" t="s">
        <v>125</v>
      </c>
      <c r="AA176" s="94" t="s">
        <v>90</v>
      </c>
      <c r="AB176" s="9" t="s">
        <v>71</v>
      </c>
      <c r="AC176" s="10" t="s">
        <v>85</v>
      </c>
      <c r="AD176" s="10" t="s">
        <v>208</v>
      </c>
      <c r="AE176" s="65" t="s">
        <v>73</v>
      </c>
      <c r="AF176" s="39" t="s">
        <v>214</v>
      </c>
      <c r="AG176" s="10" t="s">
        <v>127</v>
      </c>
      <c r="AH176" s="4">
        <v>650</v>
      </c>
      <c r="AI176" s="11" t="s">
        <v>264</v>
      </c>
      <c r="AJ176" s="4" t="s">
        <v>241</v>
      </c>
      <c r="AK176" s="50">
        <v>15813</v>
      </c>
      <c r="AL176" s="43">
        <v>5676867000</v>
      </c>
      <c r="AM176" s="43">
        <v>1030</v>
      </c>
      <c r="AN176" s="43">
        <v>348782150</v>
      </c>
      <c r="AO176" s="43">
        <v>4914</v>
      </c>
      <c r="AP176" s="43">
        <v>1685687109</v>
      </c>
      <c r="AQ176" s="43">
        <v>13008</v>
      </c>
      <c r="AR176" s="43">
        <v>4435633808</v>
      </c>
      <c r="AS176" s="52">
        <f t="shared" si="31"/>
        <v>0.82261430468601782</v>
      </c>
    </row>
    <row r="177" spans="2:45" x14ac:dyDescent="0.3">
      <c r="B177" s="32" t="s">
        <v>258</v>
      </c>
      <c r="C177" s="10" t="str">
        <f t="shared" si="29"/>
        <v>DJ610</v>
      </c>
      <c r="D177" s="10" t="s">
        <v>55</v>
      </c>
      <c r="E177" s="10" t="str">
        <f t="shared" si="27"/>
        <v>M</v>
      </c>
      <c r="F177" s="10" t="str">
        <f t="shared" si="28"/>
        <v>DJ</v>
      </c>
      <c r="G177" s="10" t="s">
        <v>56</v>
      </c>
      <c r="H177" s="4" t="s">
        <v>259</v>
      </c>
      <c r="I177" s="10" t="s">
        <v>79</v>
      </c>
      <c r="J177" s="4" t="str">
        <f t="shared" si="30"/>
        <v/>
      </c>
      <c r="K177" s="4">
        <v>1</v>
      </c>
      <c r="L177" s="43">
        <v>359000</v>
      </c>
      <c r="M177" s="78" t="s">
        <v>194</v>
      </c>
      <c r="N177" s="98" t="s">
        <v>261</v>
      </c>
      <c r="O177" s="10" t="s">
        <v>61</v>
      </c>
      <c r="P177" s="63">
        <v>100</v>
      </c>
      <c r="Q177" s="94" t="s">
        <v>119</v>
      </c>
      <c r="R177" s="63" t="s">
        <v>262</v>
      </c>
      <c r="S177" s="96" t="s">
        <v>263</v>
      </c>
      <c r="T177" s="10" t="s">
        <v>122</v>
      </c>
      <c r="U177" s="10" t="s">
        <v>207</v>
      </c>
      <c r="V177" s="10" t="s">
        <v>66</v>
      </c>
      <c r="W177" s="10"/>
      <c r="X177" s="9" t="s">
        <v>67</v>
      </c>
      <c r="Y177" s="10" t="s">
        <v>68</v>
      </c>
      <c r="Z177" s="94" t="s">
        <v>125</v>
      </c>
      <c r="AA177" s="94" t="s">
        <v>90</v>
      </c>
      <c r="AB177" s="9" t="s">
        <v>71</v>
      </c>
      <c r="AC177" s="10" t="s">
        <v>85</v>
      </c>
      <c r="AD177" s="10" t="s">
        <v>208</v>
      </c>
      <c r="AE177" s="65" t="s">
        <v>73</v>
      </c>
      <c r="AF177" s="39" t="s">
        <v>214</v>
      </c>
      <c r="AG177" s="10" t="s">
        <v>127</v>
      </c>
      <c r="AH177" s="4">
        <v>650</v>
      </c>
      <c r="AI177" s="11" t="s">
        <v>264</v>
      </c>
      <c r="AJ177" s="4" t="s">
        <v>241</v>
      </c>
      <c r="AK177" s="50">
        <v>1005</v>
      </c>
      <c r="AL177" s="43">
        <v>360795000</v>
      </c>
      <c r="AM177" s="43">
        <v>64</v>
      </c>
      <c r="AN177" s="43">
        <v>22860789</v>
      </c>
      <c r="AO177" s="43">
        <v>272</v>
      </c>
      <c r="AP177" s="43">
        <v>94154449</v>
      </c>
      <c r="AQ177" s="43">
        <v>564</v>
      </c>
      <c r="AR177" s="43">
        <v>194477164</v>
      </c>
      <c r="AS177" s="52">
        <f t="shared" si="31"/>
        <v>0.56119402985074629</v>
      </c>
    </row>
    <row r="178" spans="2:45" x14ac:dyDescent="0.3">
      <c r="B178" s="32" t="s">
        <v>258</v>
      </c>
      <c r="C178" s="10" t="str">
        <f t="shared" si="29"/>
        <v>DJ610</v>
      </c>
      <c r="D178" s="10" t="s">
        <v>55</v>
      </c>
      <c r="E178" s="10" t="str">
        <f t="shared" si="27"/>
        <v>M</v>
      </c>
      <c r="F178" s="10" t="str">
        <f t="shared" si="28"/>
        <v>DJ</v>
      </c>
      <c r="G178" s="10" t="s">
        <v>56</v>
      </c>
      <c r="H178" s="4" t="s">
        <v>259</v>
      </c>
      <c r="I178" s="10" t="s">
        <v>265</v>
      </c>
      <c r="J178" s="4" t="str">
        <f t="shared" si="30"/>
        <v/>
      </c>
      <c r="K178" s="4">
        <v>1</v>
      </c>
      <c r="L178" s="43">
        <v>359000</v>
      </c>
      <c r="M178" s="78" t="s">
        <v>194</v>
      </c>
      <c r="N178" s="98" t="s">
        <v>261</v>
      </c>
      <c r="O178" s="10" t="s">
        <v>61</v>
      </c>
      <c r="P178" s="63">
        <v>100</v>
      </c>
      <c r="Q178" s="94" t="s">
        <v>119</v>
      </c>
      <c r="R178" s="63" t="s">
        <v>262</v>
      </c>
      <c r="S178" s="96" t="s">
        <v>263</v>
      </c>
      <c r="T178" s="10" t="s">
        <v>122</v>
      </c>
      <c r="U178" s="10" t="s">
        <v>207</v>
      </c>
      <c r="V178" s="10" t="s">
        <v>66</v>
      </c>
      <c r="W178" s="10"/>
      <c r="X178" s="9" t="s">
        <v>67</v>
      </c>
      <c r="Y178" s="10" t="s">
        <v>68</v>
      </c>
      <c r="Z178" s="94" t="s">
        <v>125</v>
      </c>
      <c r="AA178" s="94" t="s">
        <v>90</v>
      </c>
      <c r="AB178" s="9" t="s">
        <v>71</v>
      </c>
      <c r="AC178" s="10" t="s">
        <v>85</v>
      </c>
      <c r="AD178" s="10" t="s">
        <v>208</v>
      </c>
      <c r="AE178" s="65" t="s">
        <v>73</v>
      </c>
      <c r="AF178" s="39" t="s">
        <v>214</v>
      </c>
      <c r="AG178" s="10" t="s">
        <v>127</v>
      </c>
      <c r="AH178" s="4">
        <v>650</v>
      </c>
      <c r="AI178" s="11" t="s">
        <v>264</v>
      </c>
      <c r="AJ178" s="4" t="s">
        <v>241</v>
      </c>
      <c r="AK178" s="50">
        <v>1006</v>
      </c>
      <c r="AL178" s="43">
        <v>361154000</v>
      </c>
      <c r="AM178" s="43">
        <v>13</v>
      </c>
      <c r="AN178" s="43">
        <v>4513400</v>
      </c>
      <c r="AO178" s="43">
        <v>72</v>
      </c>
      <c r="AP178" s="43">
        <v>25242368</v>
      </c>
      <c r="AQ178" s="43">
        <v>178</v>
      </c>
      <c r="AR178" s="43">
        <v>61323414</v>
      </c>
      <c r="AS178" s="52">
        <f t="shared" si="31"/>
        <v>0.17693836978131214</v>
      </c>
    </row>
    <row r="179" spans="2:45" x14ac:dyDescent="0.3">
      <c r="B179" s="32" t="s">
        <v>258</v>
      </c>
      <c r="C179" s="10" t="str">
        <f t="shared" si="29"/>
        <v>DJ610</v>
      </c>
      <c r="D179" s="10" t="s">
        <v>148</v>
      </c>
      <c r="E179" s="10" t="str">
        <f t="shared" si="27"/>
        <v>M</v>
      </c>
      <c r="F179" s="10" t="str">
        <f t="shared" si="28"/>
        <v>DJ</v>
      </c>
      <c r="G179" s="10" t="s">
        <v>56</v>
      </c>
      <c r="H179" s="4" t="s">
        <v>259</v>
      </c>
      <c r="I179" s="10" t="s">
        <v>159</v>
      </c>
      <c r="J179" s="4" t="str">
        <f t="shared" si="30"/>
        <v/>
      </c>
      <c r="K179" s="4">
        <v>1</v>
      </c>
      <c r="L179" s="43">
        <v>359000</v>
      </c>
      <c r="M179" s="78" t="s">
        <v>194</v>
      </c>
      <c r="N179" s="98" t="s">
        <v>261</v>
      </c>
      <c r="O179" s="10" t="s">
        <v>61</v>
      </c>
      <c r="P179" s="63">
        <v>100</v>
      </c>
      <c r="Q179" s="94" t="s">
        <v>119</v>
      </c>
      <c r="R179" s="63" t="s">
        <v>262</v>
      </c>
      <c r="S179" s="96" t="s">
        <v>263</v>
      </c>
      <c r="T179" s="10" t="s">
        <v>122</v>
      </c>
      <c r="U179" s="10" t="s">
        <v>207</v>
      </c>
      <c r="V179" s="10" t="s">
        <v>66</v>
      </c>
      <c r="W179" s="10"/>
      <c r="X179" s="9" t="s">
        <v>67</v>
      </c>
      <c r="Y179" s="10" t="s">
        <v>68</v>
      </c>
      <c r="Z179" s="94" t="s">
        <v>125</v>
      </c>
      <c r="AA179" s="94" t="s">
        <v>90</v>
      </c>
      <c r="AB179" s="9" t="s">
        <v>71</v>
      </c>
      <c r="AC179" s="10" t="s">
        <v>85</v>
      </c>
      <c r="AD179" s="10" t="s">
        <v>208</v>
      </c>
      <c r="AE179" s="65" t="s">
        <v>73</v>
      </c>
      <c r="AF179" s="39" t="s">
        <v>214</v>
      </c>
      <c r="AG179" s="10" t="s">
        <v>127</v>
      </c>
      <c r="AH179" s="4">
        <v>650</v>
      </c>
      <c r="AI179" s="11" t="s">
        <v>264</v>
      </c>
      <c r="AJ179" s="4" t="s">
        <v>241</v>
      </c>
      <c r="AK179" s="50">
        <v>1500</v>
      </c>
      <c r="AL179" s="43">
        <v>538500000</v>
      </c>
      <c r="AM179" s="43">
        <v>62</v>
      </c>
      <c r="AN179" s="43">
        <v>22149000</v>
      </c>
      <c r="AO179" s="43">
        <v>124</v>
      </c>
      <c r="AP179" s="43">
        <v>43965182</v>
      </c>
      <c r="AQ179" s="43">
        <v>671</v>
      </c>
      <c r="AR179" s="43">
        <v>228756387</v>
      </c>
      <c r="AS179" s="52">
        <f t="shared" si="31"/>
        <v>0.44733333333333336</v>
      </c>
    </row>
    <row r="180" spans="2:45" x14ac:dyDescent="0.3">
      <c r="B180" s="32" t="s">
        <v>266</v>
      </c>
      <c r="C180" s="10" t="str">
        <f t="shared" si="29"/>
        <v>DJ620</v>
      </c>
      <c r="D180" s="10" t="s">
        <v>55</v>
      </c>
      <c r="E180" s="10" t="str">
        <f t="shared" si="27"/>
        <v>W</v>
      </c>
      <c r="F180" s="10" t="str">
        <f t="shared" si="28"/>
        <v>DJ</v>
      </c>
      <c r="G180" s="10" t="s">
        <v>56</v>
      </c>
      <c r="H180" s="4" t="s">
        <v>267</v>
      </c>
      <c r="I180" s="10" t="s">
        <v>113</v>
      </c>
      <c r="J180" s="4">
        <f t="shared" si="30"/>
        <v>1</v>
      </c>
      <c r="K180" s="4">
        <v>1</v>
      </c>
      <c r="L180" s="43">
        <v>359000</v>
      </c>
      <c r="M180" s="78" t="s">
        <v>194</v>
      </c>
      <c r="N180" s="98" t="s">
        <v>261</v>
      </c>
      <c r="O180" s="10" t="s">
        <v>61</v>
      </c>
      <c r="P180" s="63">
        <v>100</v>
      </c>
      <c r="Q180" s="94" t="s">
        <v>119</v>
      </c>
      <c r="R180" s="63" t="s">
        <v>262</v>
      </c>
      <c r="S180" s="96" t="s">
        <v>263</v>
      </c>
      <c r="T180" s="10" t="s">
        <v>122</v>
      </c>
      <c r="U180" s="10" t="s">
        <v>207</v>
      </c>
      <c r="V180" s="10" t="s">
        <v>66</v>
      </c>
      <c r="W180" s="10"/>
      <c r="X180" s="9" t="s">
        <v>67</v>
      </c>
      <c r="Y180" s="10" t="s">
        <v>68</v>
      </c>
      <c r="Z180" s="94" t="s">
        <v>125</v>
      </c>
      <c r="AA180" s="94" t="s">
        <v>90</v>
      </c>
      <c r="AB180" s="9" t="s">
        <v>71</v>
      </c>
      <c r="AC180" s="10" t="s">
        <v>85</v>
      </c>
      <c r="AD180" s="10" t="s">
        <v>208</v>
      </c>
      <c r="AE180" s="65" t="s">
        <v>73</v>
      </c>
      <c r="AF180" s="39" t="s">
        <v>268</v>
      </c>
      <c r="AG180" s="10" t="s">
        <v>127</v>
      </c>
      <c r="AH180" s="4">
        <v>650</v>
      </c>
      <c r="AI180" s="11" t="s">
        <v>264</v>
      </c>
      <c r="AJ180" s="4" t="s">
        <v>241</v>
      </c>
      <c r="AK180" s="50">
        <v>1507</v>
      </c>
      <c r="AL180" s="43">
        <v>541013000</v>
      </c>
      <c r="AM180" s="43">
        <v>88</v>
      </c>
      <c r="AN180" s="43">
        <v>30745191</v>
      </c>
      <c r="AO180" s="43">
        <v>525</v>
      </c>
      <c r="AP180" s="43">
        <v>184057710</v>
      </c>
      <c r="AQ180" s="43">
        <v>1112</v>
      </c>
      <c r="AR180" s="43">
        <v>385805661</v>
      </c>
      <c r="AS180" s="52">
        <f t="shared" si="31"/>
        <v>0.73788984737889851</v>
      </c>
    </row>
    <row r="181" spans="2:45" x14ac:dyDescent="0.3">
      <c r="B181" s="32" t="s">
        <v>269</v>
      </c>
      <c r="C181" s="10" t="str">
        <f t="shared" si="29"/>
        <v>DJ620</v>
      </c>
      <c r="D181" s="10" t="s">
        <v>55</v>
      </c>
      <c r="E181" s="10" t="str">
        <f t="shared" si="27"/>
        <v>W</v>
      </c>
      <c r="F181" s="10" t="str">
        <f t="shared" si="28"/>
        <v>DJ</v>
      </c>
      <c r="G181" s="10" t="s">
        <v>56</v>
      </c>
      <c r="H181" s="4" t="s">
        <v>267</v>
      </c>
      <c r="I181" s="10" t="s">
        <v>78</v>
      </c>
      <c r="J181" s="4" t="str">
        <f t="shared" si="30"/>
        <v/>
      </c>
      <c r="K181" s="4">
        <v>1</v>
      </c>
      <c r="L181" s="43">
        <v>359000</v>
      </c>
      <c r="M181" s="78" t="s">
        <v>194</v>
      </c>
      <c r="N181" s="98" t="s">
        <v>261</v>
      </c>
      <c r="O181" s="10" t="s">
        <v>61</v>
      </c>
      <c r="P181" s="63">
        <v>100</v>
      </c>
      <c r="Q181" s="94" t="s">
        <v>119</v>
      </c>
      <c r="R181" s="63" t="s">
        <v>262</v>
      </c>
      <c r="S181" s="96" t="s">
        <v>263</v>
      </c>
      <c r="T181" s="10" t="s">
        <v>122</v>
      </c>
      <c r="U181" s="10" t="s">
        <v>207</v>
      </c>
      <c r="V181" s="10" t="s">
        <v>66</v>
      </c>
      <c r="W181" s="10"/>
      <c r="X181" s="9" t="s">
        <v>67</v>
      </c>
      <c r="Y181" s="10" t="s">
        <v>68</v>
      </c>
      <c r="Z181" s="94" t="s">
        <v>125</v>
      </c>
      <c r="AA181" s="94" t="s">
        <v>90</v>
      </c>
      <c r="AB181" s="9" t="s">
        <v>71</v>
      </c>
      <c r="AC181" s="10" t="s">
        <v>85</v>
      </c>
      <c r="AD181" s="10" t="s">
        <v>208</v>
      </c>
      <c r="AE181" s="65" t="s">
        <v>73</v>
      </c>
      <c r="AF181" s="39" t="s">
        <v>268</v>
      </c>
      <c r="AG181" s="10" t="s">
        <v>127</v>
      </c>
      <c r="AH181" s="4">
        <v>650</v>
      </c>
      <c r="AI181" s="11" t="s">
        <v>264</v>
      </c>
      <c r="AJ181" s="4" t="s">
        <v>241</v>
      </c>
      <c r="AK181" s="50">
        <v>11048</v>
      </c>
      <c r="AL181" s="43">
        <v>3966232000</v>
      </c>
      <c r="AM181" s="43">
        <v>756</v>
      </c>
      <c r="AN181" s="43">
        <v>258298273</v>
      </c>
      <c r="AO181" s="43">
        <v>3295</v>
      </c>
      <c r="AP181" s="43">
        <v>1147465870</v>
      </c>
      <c r="AQ181" s="43">
        <v>7955</v>
      </c>
      <c r="AR181" s="43">
        <v>2742808305</v>
      </c>
      <c r="AS181" s="52">
        <f t="shared" si="31"/>
        <v>0.7200398262128892</v>
      </c>
    </row>
    <row r="182" spans="2:45" x14ac:dyDescent="0.3">
      <c r="B182" s="32" t="s">
        <v>269</v>
      </c>
      <c r="C182" s="10" t="str">
        <f t="shared" si="29"/>
        <v>DJ620</v>
      </c>
      <c r="D182" s="10" t="s">
        <v>55</v>
      </c>
      <c r="E182" s="10" t="str">
        <f t="shared" si="27"/>
        <v>W</v>
      </c>
      <c r="F182" s="10" t="str">
        <f t="shared" si="28"/>
        <v>DJ</v>
      </c>
      <c r="G182" s="10" t="s">
        <v>56</v>
      </c>
      <c r="H182" s="4" t="s">
        <v>267</v>
      </c>
      <c r="I182" s="10" t="s">
        <v>79</v>
      </c>
      <c r="J182" s="4" t="str">
        <f t="shared" si="30"/>
        <v/>
      </c>
      <c r="K182" s="4">
        <v>1</v>
      </c>
      <c r="L182" s="43">
        <v>359000</v>
      </c>
      <c r="M182" s="78" t="s">
        <v>194</v>
      </c>
      <c r="N182" s="98" t="s">
        <v>261</v>
      </c>
      <c r="O182" s="10" t="s">
        <v>61</v>
      </c>
      <c r="P182" s="63">
        <v>100</v>
      </c>
      <c r="Q182" s="94" t="s">
        <v>119</v>
      </c>
      <c r="R182" s="63" t="s">
        <v>262</v>
      </c>
      <c r="S182" s="96" t="s">
        <v>263</v>
      </c>
      <c r="T182" s="10" t="s">
        <v>122</v>
      </c>
      <c r="U182" s="10" t="s">
        <v>207</v>
      </c>
      <c r="V182" s="10" t="s">
        <v>66</v>
      </c>
      <c r="W182" s="10"/>
      <c r="X182" s="9" t="s">
        <v>67</v>
      </c>
      <c r="Y182" s="10" t="s">
        <v>68</v>
      </c>
      <c r="Z182" s="94" t="s">
        <v>125</v>
      </c>
      <c r="AA182" s="94" t="s">
        <v>90</v>
      </c>
      <c r="AB182" s="9" t="s">
        <v>71</v>
      </c>
      <c r="AC182" s="10" t="s">
        <v>85</v>
      </c>
      <c r="AD182" s="10" t="s">
        <v>208</v>
      </c>
      <c r="AE182" s="65" t="s">
        <v>73</v>
      </c>
      <c r="AF182" s="39" t="s">
        <v>268</v>
      </c>
      <c r="AG182" s="10" t="s">
        <v>127</v>
      </c>
      <c r="AH182" s="4">
        <v>650</v>
      </c>
      <c r="AI182" s="11" t="s">
        <v>264</v>
      </c>
      <c r="AJ182" s="4" t="s">
        <v>241</v>
      </c>
      <c r="AK182" s="50">
        <v>3019</v>
      </c>
      <c r="AL182" s="43">
        <v>1083821000</v>
      </c>
      <c r="AM182" s="43">
        <v>147</v>
      </c>
      <c r="AN182" s="43">
        <v>51865755</v>
      </c>
      <c r="AO182" s="43">
        <v>730</v>
      </c>
      <c r="AP182" s="43">
        <v>253678288</v>
      </c>
      <c r="AQ182" s="43">
        <v>1608</v>
      </c>
      <c r="AR182" s="43">
        <v>542438837</v>
      </c>
      <c r="AS182" s="52">
        <f t="shared" si="31"/>
        <v>0.53262669758198078</v>
      </c>
    </row>
    <row r="183" spans="2:45" x14ac:dyDescent="0.3">
      <c r="B183" s="32" t="s">
        <v>269</v>
      </c>
      <c r="C183" s="10" t="str">
        <f t="shared" si="29"/>
        <v>DJ620</v>
      </c>
      <c r="D183" s="10" t="s">
        <v>55</v>
      </c>
      <c r="E183" s="10" t="str">
        <f t="shared" si="27"/>
        <v>W</v>
      </c>
      <c r="F183" s="10" t="str">
        <f t="shared" si="28"/>
        <v>DJ</v>
      </c>
      <c r="G183" s="10" t="s">
        <v>56</v>
      </c>
      <c r="H183" s="4" t="s">
        <v>267</v>
      </c>
      <c r="I183" s="10" t="s">
        <v>260</v>
      </c>
      <c r="J183" s="4" t="str">
        <f t="shared" si="30"/>
        <v/>
      </c>
      <c r="K183" s="4">
        <v>1</v>
      </c>
      <c r="L183" s="43">
        <v>359000</v>
      </c>
      <c r="M183" s="78" t="s">
        <v>194</v>
      </c>
      <c r="N183" s="98" t="s">
        <v>261</v>
      </c>
      <c r="O183" s="10" t="s">
        <v>61</v>
      </c>
      <c r="P183" s="63">
        <v>100</v>
      </c>
      <c r="Q183" s="94" t="s">
        <v>119</v>
      </c>
      <c r="R183" s="63" t="s">
        <v>262</v>
      </c>
      <c r="S183" s="96" t="s">
        <v>263</v>
      </c>
      <c r="T183" s="10" t="s">
        <v>122</v>
      </c>
      <c r="U183" s="10" t="s">
        <v>207</v>
      </c>
      <c r="V183" s="10" t="s">
        <v>66</v>
      </c>
      <c r="W183" s="10"/>
      <c r="X183" s="9" t="s">
        <v>67</v>
      </c>
      <c r="Y183" s="10" t="s">
        <v>68</v>
      </c>
      <c r="Z183" s="94" t="s">
        <v>125</v>
      </c>
      <c r="AA183" s="94" t="s">
        <v>90</v>
      </c>
      <c r="AB183" s="9" t="s">
        <v>71</v>
      </c>
      <c r="AC183" s="10" t="s">
        <v>85</v>
      </c>
      <c r="AD183" s="10" t="s">
        <v>208</v>
      </c>
      <c r="AE183" s="65" t="s">
        <v>73</v>
      </c>
      <c r="AF183" s="39" t="s">
        <v>268</v>
      </c>
      <c r="AG183" s="10" t="s">
        <v>127</v>
      </c>
      <c r="AH183" s="4">
        <v>650</v>
      </c>
      <c r="AI183" s="11" t="s">
        <v>264</v>
      </c>
      <c r="AJ183" s="4" t="s">
        <v>241</v>
      </c>
      <c r="AK183" s="50">
        <v>1504</v>
      </c>
      <c r="AL183" s="43">
        <v>539936000</v>
      </c>
      <c r="AM183" s="43">
        <v>35</v>
      </c>
      <c r="AN183" s="43">
        <v>12482594</v>
      </c>
      <c r="AO183" s="43">
        <v>175</v>
      </c>
      <c r="AP183" s="43">
        <v>61919437</v>
      </c>
      <c r="AQ183" s="43">
        <v>494</v>
      </c>
      <c r="AR183" s="43">
        <v>171664769</v>
      </c>
      <c r="AS183" s="52">
        <f t="shared" si="31"/>
        <v>0.32845744680851063</v>
      </c>
    </row>
    <row r="184" spans="2:45" x14ac:dyDescent="0.3">
      <c r="B184" s="32" t="s">
        <v>269</v>
      </c>
      <c r="C184" s="10" t="str">
        <f t="shared" si="29"/>
        <v>DJ620</v>
      </c>
      <c r="D184" s="10" t="s">
        <v>55</v>
      </c>
      <c r="E184" s="10" t="str">
        <f t="shared" ref="E184:E247" si="32">MID($B184,2,1)</f>
        <v>W</v>
      </c>
      <c r="F184" s="10" t="str">
        <f t="shared" ref="F184:F247" si="33">MID($B184,3,2)</f>
        <v>DJ</v>
      </c>
      <c r="G184" s="10" t="s">
        <v>56</v>
      </c>
      <c r="H184" s="4" t="s">
        <v>267</v>
      </c>
      <c r="I184" s="10" t="s">
        <v>138</v>
      </c>
      <c r="J184" s="4" t="str">
        <f t="shared" si="30"/>
        <v/>
      </c>
      <c r="K184" s="4">
        <v>1</v>
      </c>
      <c r="L184" s="43">
        <v>359000</v>
      </c>
      <c r="M184" s="78" t="s">
        <v>194</v>
      </c>
      <c r="N184" s="98" t="s">
        <v>261</v>
      </c>
      <c r="O184" s="10" t="s">
        <v>61</v>
      </c>
      <c r="P184" s="63">
        <v>100</v>
      </c>
      <c r="Q184" s="94" t="s">
        <v>119</v>
      </c>
      <c r="R184" s="63" t="s">
        <v>262</v>
      </c>
      <c r="S184" s="96" t="s">
        <v>263</v>
      </c>
      <c r="T184" s="10" t="s">
        <v>122</v>
      </c>
      <c r="U184" s="10" t="s">
        <v>207</v>
      </c>
      <c r="V184" s="10" t="s">
        <v>66</v>
      </c>
      <c r="W184" s="10"/>
      <c r="X184" s="9" t="s">
        <v>67</v>
      </c>
      <c r="Y184" s="10" t="s">
        <v>68</v>
      </c>
      <c r="Z184" s="94" t="s">
        <v>125</v>
      </c>
      <c r="AA184" s="94" t="s">
        <v>90</v>
      </c>
      <c r="AB184" s="9" t="s">
        <v>71</v>
      </c>
      <c r="AC184" s="10" t="s">
        <v>85</v>
      </c>
      <c r="AD184" s="10" t="s">
        <v>208</v>
      </c>
      <c r="AE184" s="65" t="s">
        <v>73</v>
      </c>
      <c r="AF184" s="39" t="s">
        <v>268</v>
      </c>
      <c r="AG184" s="10" t="s">
        <v>127</v>
      </c>
      <c r="AH184" s="4">
        <v>650</v>
      </c>
      <c r="AI184" s="11" t="s">
        <v>264</v>
      </c>
      <c r="AJ184" s="4" t="s">
        <v>241</v>
      </c>
      <c r="AK184" s="50">
        <v>1005</v>
      </c>
      <c r="AL184" s="43">
        <v>360795000</v>
      </c>
      <c r="AM184" s="43">
        <v>56</v>
      </c>
      <c r="AN184" s="43">
        <v>19786600</v>
      </c>
      <c r="AO184" s="43">
        <v>330</v>
      </c>
      <c r="AP184" s="43">
        <v>116101679</v>
      </c>
      <c r="AQ184" s="43">
        <v>666</v>
      </c>
      <c r="AR184" s="43">
        <v>230482615</v>
      </c>
      <c r="AS184" s="52">
        <f t="shared" si="31"/>
        <v>0.66268656716417906</v>
      </c>
    </row>
    <row r="185" spans="2:45" x14ac:dyDescent="0.3">
      <c r="B185" s="32" t="s">
        <v>269</v>
      </c>
      <c r="C185" s="10" t="str">
        <f t="shared" si="29"/>
        <v>DJ620</v>
      </c>
      <c r="D185" s="10" t="s">
        <v>148</v>
      </c>
      <c r="E185" s="10" t="str">
        <f t="shared" si="32"/>
        <v>W</v>
      </c>
      <c r="F185" s="10" t="str">
        <f t="shared" si="33"/>
        <v>DJ</v>
      </c>
      <c r="G185" s="10" t="s">
        <v>56</v>
      </c>
      <c r="H185" s="4" t="s">
        <v>267</v>
      </c>
      <c r="I185" s="10" t="s">
        <v>159</v>
      </c>
      <c r="J185" s="4" t="str">
        <f t="shared" si="30"/>
        <v/>
      </c>
      <c r="K185" s="4">
        <v>1</v>
      </c>
      <c r="L185" s="43">
        <v>359000</v>
      </c>
      <c r="M185" s="78" t="s">
        <v>194</v>
      </c>
      <c r="N185" s="98" t="s">
        <v>261</v>
      </c>
      <c r="O185" s="10" t="s">
        <v>61</v>
      </c>
      <c r="P185" s="63">
        <v>100</v>
      </c>
      <c r="Q185" s="94" t="s">
        <v>119</v>
      </c>
      <c r="R185" s="63" t="s">
        <v>262</v>
      </c>
      <c r="S185" s="96" t="s">
        <v>263</v>
      </c>
      <c r="T185" s="10" t="s">
        <v>122</v>
      </c>
      <c r="U185" s="10" t="s">
        <v>207</v>
      </c>
      <c r="V185" s="10" t="s">
        <v>66</v>
      </c>
      <c r="W185" s="10"/>
      <c r="X185" s="9" t="s">
        <v>67</v>
      </c>
      <c r="Y185" s="10" t="s">
        <v>68</v>
      </c>
      <c r="Z185" s="94" t="s">
        <v>125</v>
      </c>
      <c r="AA185" s="94" t="s">
        <v>90</v>
      </c>
      <c r="AB185" s="9" t="s">
        <v>71</v>
      </c>
      <c r="AC185" s="10" t="s">
        <v>85</v>
      </c>
      <c r="AD185" s="10" t="s">
        <v>208</v>
      </c>
      <c r="AE185" s="65" t="s">
        <v>73</v>
      </c>
      <c r="AF185" s="39" t="s">
        <v>268</v>
      </c>
      <c r="AG185" s="10" t="s">
        <v>127</v>
      </c>
      <c r="AH185" s="4">
        <v>650</v>
      </c>
      <c r="AI185" s="11" t="s">
        <v>264</v>
      </c>
      <c r="AJ185" s="4" t="s">
        <v>241</v>
      </c>
      <c r="AK185" s="50">
        <v>1000</v>
      </c>
      <c r="AL185" s="43">
        <v>359000000</v>
      </c>
      <c r="AM185" s="43">
        <v>43</v>
      </c>
      <c r="AN185" s="43">
        <v>15192200</v>
      </c>
      <c r="AO185" s="43">
        <v>95</v>
      </c>
      <c r="AP185" s="43">
        <v>33573556</v>
      </c>
      <c r="AQ185" s="43">
        <v>414</v>
      </c>
      <c r="AR185" s="43">
        <v>144377892</v>
      </c>
      <c r="AS185" s="52">
        <f t="shared" si="31"/>
        <v>0.41399999999999998</v>
      </c>
    </row>
    <row r="186" spans="2:45" x14ac:dyDescent="0.3">
      <c r="B186" s="32" t="s">
        <v>270</v>
      </c>
      <c r="C186" s="10" t="str">
        <f t="shared" si="29"/>
        <v>DJ630</v>
      </c>
      <c r="D186" s="10" t="s">
        <v>55</v>
      </c>
      <c r="E186" s="10" t="str">
        <f t="shared" si="32"/>
        <v>M</v>
      </c>
      <c r="F186" s="10" t="str">
        <f t="shared" si="33"/>
        <v>DJ</v>
      </c>
      <c r="G186" s="10" t="s">
        <v>56</v>
      </c>
      <c r="H186" s="4" t="s">
        <v>271</v>
      </c>
      <c r="I186" s="10" t="s">
        <v>209</v>
      </c>
      <c r="J186" s="4">
        <f t="shared" si="30"/>
        <v>1</v>
      </c>
      <c r="K186" s="4">
        <v>1</v>
      </c>
      <c r="L186" s="43">
        <v>349000</v>
      </c>
      <c r="M186" s="78" t="s">
        <v>194</v>
      </c>
      <c r="N186" s="98" t="s">
        <v>272</v>
      </c>
      <c r="O186" s="10" t="s">
        <v>61</v>
      </c>
      <c r="P186" s="63">
        <v>100</v>
      </c>
      <c r="Q186" s="94" t="s">
        <v>119</v>
      </c>
      <c r="R186" s="63" t="s">
        <v>205</v>
      </c>
      <c r="S186" s="96" t="s">
        <v>263</v>
      </c>
      <c r="T186" s="10" t="s">
        <v>122</v>
      </c>
      <c r="U186" s="10" t="s">
        <v>207</v>
      </c>
      <c r="V186" s="10" t="s">
        <v>66</v>
      </c>
      <c r="W186" s="10"/>
      <c r="X186" s="9" t="s">
        <v>67</v>
      </c>
      <c r="Y186" s="10" t="s">
        <v>68</v>
      </c>
      <c r="Z186" s="94" t="s">
        <v>125</v>
      </c>
      <c r="AA186" s="94" t="s">
        <v>90</v>
      </c>
      <c r="AB186" s="9" t="s">
        <v>71</v>
      </c>
      <c r="AC186" s="10" t="s">
        <v>85</v>
      </c>
      <c r="AD186" s="10" t="s">
        <v>208</v>
      </c>
      <c r="AE186" s="65" t="s">
        <v>73</v>
      </c>
      <c r="AF186" s="39" t="s">
        <v>273</v>
      </c>
      <c r="AG186" s="10" t="s">
        <v>127</v>
      </c>
      <c r="AH186" s="4">
        <v>650</v>
      </c>
      <c r="AI186" s="11" t="s">
        <v>264</v>
      </c>
      <c r="AJ186" s="4" t="s">
        <v>241</v>
      </c>
      <c r="AK186" s="50">
        <v>1005</v>
      </c>
      <c r="AL186" s="43">
        <v>350745000</v>
      </c>
      <c r="AM186" s="43">
        <v>35</v>
      </c>
      <c r="AN186" s="43">
        <v>12073805</v>
      </c>
      <c r="AO186" s="43">
        <v>188</v>
      </c>
      <c r="AP186" s="43">
        <v>64401555</v>
      </c>
      <c r="AQ186" s="43">
        <v>403</v>
      </c>
      <c r="AR186" s="43">
        <v>135571792</v>
      </c>
      <c r="AS186" s="52">
        <f t="shared" si="31"/>
        <v>0.40099502487562189</v>
      </c>
    </row>
    <row r="187" spans="2:45" x14ac:dyDescent="0.3">
      <c r="B187" s="32" t="s">
        <v>270</v>
      </c>
      <c r="C187" s="10" t="str">
        <f t="shared" si="29"/>
        <v>DJ630</v>
      </c>
      <c r="D187" s="10" t="s">
        <v>55</v>
      </c>
      <c r="E187" s="10" t="str">
        <f t="shared" si="32"/>
        <v>M</v>
      </c>
      <c r="F187" s="10" t="str">
        <f t="shared" si="33"/>
        <v>DJ</v>
      </c>
      <c r="G187" s="10" t="s">
        <v>56</v>
      </c>
      <c r="H187" s="4" t="s">
        <v>271</v>
      </c>
      <c r="I187" s="10" t="s">
        <v>113</v>
      </c>
      <c r="J187" s="4" t="str">
        <f t="shared" si="30"/>
        <v/>
      </c>
      <c r="K187" s="4">
        <v>1</v>
      </c>
      <c r="L187" s="43">
        <v>349000</v>
      </c>
      <c r="M187" s="78" t="s">
        <v>194</v>
      </c>
      <c r="N187" s="98" t="s">
        <v>272</v>
      </c>
      <c r="O187" s="10" t="s">
        <v>61</v>
      </c>
      <c r="P187" s="63">
        <v>100</v>
      </c>
      <c r="Q187" s="94" t="s">
        <v>119</v>
      </c>
      <c r="R187" s="63" t="s">
        <v>205</v>
      </c>
      <c r="S187" s="96" t="s">
        <v>263</v>
      </c>
      <c r="T187" s="10" t="s">
        <v>122</v>
      </c>
      <c r="U187" s="10" t="s">
        <v>207</v>
      </c>
      <c r="V187" s="10" t="s">
        <v>66</v>
      </c>
      <c r="W187" s="10"/>
      <c r="X187" s="9" t="s">
        <v>67</v>
      </c>
      <c r="Y187" s="10" t="s">
        <v>68</v>
      </c>
      <c r="Z187" s="94" t="s">
        <v>125</v>
      </c>
      <c r="AA187" s="94" t="s">
        <v>90</v>
      </c>
      <c r="AB187" s="9" t="s">
        <v>71</v>
      </c>
      <c r="AC187" s="10" t="s">
        <v>85</v>
      </c>
      <c r="AD187" s="10" t="s">
        <v>208</v>
      </c>
      <c r="AE187" s="65" t="s">
        <v>73</v>
      </c>
      <c r="AF187" s="39" t="s">
        <v>273</v>
      </c>
      <c r="AG187" s="10" t="s">
        <v>127</v>
      </c>
      <c r="AH187" s="4">
        <v>650</v>
      </c>
      <c r="AI187" s="11" t="s">
        <v>264</v>
      </c>
      <c r="AJ187" s="4" t="s">
        <v>241</v>
      </c>
      <c r="AK187" s="50">
        <v>3020</v>
      </c>
      <c r="AL187" s="43">
        <v>1053980000</v>
      </c>
      <c r="AM187" s="43">
        <v>125</v>
      </c>
      <c r="AN187" s="43">
        <v>43370128</v>
      </c>
      <c r="AO187" s="43">
        <v>541</v>
      </c>
      <c r="AP187" s="43">
        <v>185095596</v>
      </c>
      <c r="AQ187" s="43">
        <v>1374</v>
      </c>
      <c r="AR187" s="43">
        <v>462501424</v>
      </c>
      <c r="AS187" s="52">
        <f t="shared" si="31"/>
        <v>0.45496688741721852</v>
      </c>
    </row>
    <row r="188" spans="2:45" x14ac:dyDescent="0.3">
      <c r="B188" s="32" t="s">
        <v>270</v>
      </c>
      <c r="C188" s="10" t="str">
        <f t="shared" si="29"/>
        <v>DJ630</v>
      </c>
      <c r="D188" s="10" t="s">
        <v>55</v>
      </c>
      <c r="E188" s="10" t="str">
        <f t="shared" si="32"/>
        <v>M</v>
      </c>
      <c r="F188" s="10" t="str">
        <f t="shared" si="33"/>
        <v>DJ</v>
      </c>
      <c r="G188" s="10" t="s">
        <v>56</v>
      </c>
      <c r="H188" s="4" t="s">
        <v>271</v>
      </c>
      <c r="I188" s="10" t="s">
        <v>105</v>
      </c>
      <c r="J188" s="4" t="str">
        <f t="shared" si="30"/>
        <v/>
      </c>
      <c r="K188" s="4">
        <v>1</v>
      </c>
      <c r="L188" s="43">
        <v>349000</v>
      </c>
      <c r="M188" s="78" t="s">
        <v>194</v>
      </c>
      <c r="N188" s="98" t="s">
        <v>272</v>
      </c>
      <c r="O188" s="10" t="s">
        <v>61</v>
      </c>
      <c r="P188" s="63">
        <v>100</v>
      </c>
      <c r="Q188" s="94" t="s">
        <v>119</v>
      </c>
      <c r="R188" s="63" t="s">
        <v>205</v>
      </c>
      <c r="S188" s="96" t="s">
        <v>263</v>
      </c>
      <c r="T188" s="10" t="s">
        <v>122</v>
      </c>
      <c r="U188" s="10" t="s">
        <v>207</v>
      </c>
      <c r="V188" s="10" t="s">
        <v>66</v>
      </c>
      <c r="W188" s="10"/>
      <c r="X188" s="9" t="s">
        <v>67</v>
      </c>
      <c r="Y188" s="10" t="s">
        <v>68</v>
      </c>
      <c r="Z188" s="94" t="s">
        <v>125</v>
      </c>
      <c r="AA188" s="94" t="s">
        <v>90</v>
      </c>
      <c r="AB188" s="9" t="s">
        <v>71</v>
      </c>
      <c r="AC188" s="10" t="s">
        <v>85</v>
      </c>
      <c r="AD188" s="10" t="s">
        <v>208</v>
      </c>
      <c r="AE188" s="65" t="s">
        <v>73</v>
      </c>
      <c r="AF188" s="39" t="s">
        <v>273</v>
      </c>
      <c r="AG188" s="10" t="s">
        <v>127</v>
      </c>
      <c r="AH188" s="4">
        <v>650</v>
      </c>
      <c r="AI188" s="11" t="s">
        <v>264</v>
      </c>
      <c r="AJ188" s="4" t="s">
        <v>241</v>
      </c>
      <c r="AK188" s="50">
        <v>3018</v>
      </c>
      <c r="AL188" s="43">
        <v>1053282000</v>
      </c>
      <c r="AM188" s="43">
        <v>76</v>
      </c>
      <c r="AN188" s="43">
        <v>26434070</v>
      </c>
      <c r="AO188" s="43">
        <v>282</v>
      </c>
      <c r="AP188" s="43">
        <v>97204164</v>
      </c>
      <c r="AQ188" s="43">
        <v>788</v>
      </c>
      <c r="AR188" s="43">
        <v>266818448</v>
      </c>
      <c r="AS188" s="52">
        <f t="shared" si="31"/>
        <v>0.26110006626905236</v>
      </c>
    </row>
    <row r="189" spans="2:45" x14ac:dyDescent="0.3">
      <c r="B189" s="32" t="s">
        <v>270</v>
      </c>
      <c r="C189" s="10" t="str">
        <f t="shared" si="29"/>
        <v>DJ630</v>
      </c>
      <c r="D189" s="10" t="s">
        <v>55</v>
      </c>
      <c r="E189" s="10" t="str">
        <f t="shared" si="32"/>
        <v>M</v>
      </c>
      <c r="F189" s="10" t="str">
        <f t="shared" si="33"/>
        <v>DJ</v>
      </c>
      <c r="G189" s="10" t="s">
        <v>56</v>
      </c>
      <c r="H189" s="4" t="s">
        <v>271</v>
      </c>
      <c r="I189" s="10" t="s">
        <v>82</v>
      </c>
      <c r="J189" s="4" t="str">
        <f t="shared" si="30"/>
        <v/>
      </c>
      <c r="K189" s="4">
        <v>1</v>
      </c>
      <c r="L189" s="43">
        <v>349000</v>
      </c>
      <c r="M189" s="78" t="s">
        <v>194</v>
      </c>
      <c r="N189" s="98" t="s">
        <v>272</v>
      </c>
      <c r="O189" s="10" t="s">
        <v>61</v>
      </c>
      <c r="P189" s="63">
        <v>100</v>
      </c>
      <c r="Q189" s="94" t="s">
        <v>119</v>
      </c>
      <c r="R189" s="63" t="s">
        <v>205</v>
      </c>
      <c r="S189" s="96" t="s">
        <v>263</v>
      </c>
      <c r="T189" s="10" t="s">
        <v>122</v>
      </c>
      <c r="U189" s="10" t="s">
        <v>207</v>
      </c>
      <c r="V189" s="10" t="s">
        <v>66</v>
      </c>
      <c r="W189" s="10"/>
      <c r="X189" s="9" t="s">
        <v>67</v>
      </c>
      <c r="Y189" s="10" t="s">
        <v>68</v>
      </c>
      <c r="Z189" s="94" t="s">
        <v>125</v>
      </c>
      <c r="AA189" s="94" t="s">
        <v>90</v>
      </c>
      <c r="AB189" s="9" t="s">
        <v>71</v>
      </c>
      <c r="AC189" s="10" t="s">
        <v>85</v>
      </c>
      <c r="AD189" s="10" t="s">
        <v>208</v>
      </c>
      <c r="AE189" s="65" t="s">
        <v>73</v>
      </c>
      <c r="AF189" s="39" t="s">
        <v>273</v>
      </c>
      <c r="AG189" s="10" t="s">
        <v>127</v>
      </c>
      <c r="AH189" s="4">
        <v>650</v>
      </c>
      <c r="AI189" s="11" t="s">
        <v>264</v>
      </c>
      <c r="AJ189" s="4" t="s">
        <v>241</v>
      </c>
      <c r="AK189" s="50">
        <v>2012</v>
      </c>
      <c r="AL189" s="43">
        <v>702188000</v>
      </c>
      <c r="AM189" s="43">
        <v>59</v>
      </c>
      <c r="AN189" s="43">
        <v>20258015</v>
      </c>
      <c r="AO189" s="43">
        <v>266</v>
      </c>
      <c r="AP189" s="43">
        <v>86611848</v>
      </c>
      <c r="AQ189" s="43">
        <v>697</v>
      </c>
      <c r="AR189" s="43">
        <v>229900298</v>
      </c>
      <c r="AS189" s="52">
        <f t="shared" si="31"/>
        <v>0.34642147117296224</v>
      </c>
    </row>
    <row r="190" spans="2:45" x14ac:dyDescent="0.3">
      <c r="B190" s="32" t="s">
        <v>270</v>
      </c>
      <c r="C190" s="10" t="str">
        <f t="shared" si="29"/>
        <v>DJ630</v>
      </c>
      <c r="D190" s="10" t="s">
        <v>55</v>
      </c>
      <c r="E190" s="10" t="str">
        <f t="shared" si="32"/>
        <v>M</v>
      </c>
      <c r="F190" s="10" t="str">
        <f t="shared" si="33"/>
        <v>DJ</v>
      </c>
      <c r="G190" s="10" t="s">
        <v>56</v>
      </c>
      <c r="H190" s="4" t="s">
        <v>271</v>
      </c>
      <c r="I190" s="10" t="s">
        <v>78</v>
      </c>
      <c r="J190" s="4" t="str">
        <f t="shared" si="30"/>
        <v/>
      </c>
      <c r="K190" s="4">
        <v>1</v>
      </c>
      <c r="L190" s="43">
        <v>349000</v>
      </c>
      <c r="M190" s="78" t="s">
        <v>194</v>
      </c>
      <c r="N190" s="98" t="s">
        <v>272</v>
      </c>
      <c r="O190" s="10" t="s">
        <v>61</v>
      </c>
      <c r="P190" s="63">
        <v>100</v>
      </c>
      <c r="Q190" s="94" t="s">
        <v>119</v>
      </c>
      <c r="R190" s="63" t="s">
        <v>205</v>
      </c>
      <c r="S190" s="96" t="s">
        <v>263</v>
      </c>
      <c r="T190" s="10" t="s">
        <v>122</v>
      </c>
      <c r="U190" s="10" t="s">
        <v>207</v>
      </c>
      <c r="V190" s="10" t="s">
        <v>66</v>
      </c>
      <c r="W190" s="10"/>
      <c r="X190" s="9" t="s">
        <v>67</v>
      </c>
      <c r="Y190" s="10" t="s">
        <v>68</v>
      </c>
      <c r="Z190" s="94" t="s">
        <v>125</v>
      </c>
      <c r="AA190" s="94" t="s">
        <v>90</v>
      </c>
      <c r="AB190" s="9" t="s">
        <v>71</v>
      </c>
      <c r="AC190" s="10" t="s">
        <v>85</v>
      </c>
      <c r="AD190" s="10" t="s">
        <v>208</v>
      </c>
      <c r="AE190" s="65" t="s">
        <v>73</v>
      </c>
      <c r="AF190" s="39" t="s">
        <v>273</v>
      </c>
      <c r="AG190" s="10" t="s">
        <v>127</v>
      </c>
      <c r="AH190" s="4">
        <v>650</v>
      </c>
      <c r="AI190" s="11" t="s">
        <v>264</v>
      </c>
      <c r="AJ190" s="4" t="s">
        <v>241</v>
      </c>
      <c r="AK190" s="50">
        <v>11556</v>
      </c>
      <c r="AL190" s="43">
        <v>4033044000</v>
      </c>
      <c r="AM190" s="43">
        <v>920</v>
      </c>
      <c r="AN190" s="43">
        <v>312381064</v>
      </c>
      <c r="AO190" s="43">
        <v>3501</v>
      </c>
      <c r="AP190" s="43">
        <v>1185120051</v>
      </c>
      <c r="AQ190" s="43">
        <v>8930</v>
      </c>
      <c r="AR190" s="43">
        <v>2981769590</v>
      </c>
      <c r="AS190" s="52">
        <f t="shared" si="31"/>
        <v>0.77275874004845968</v>
      </c>
    </row>
    <row r="191" spans="2:45" x14ac:dyDescent="0.3">
      <c r="B191" s="32" t="s">
        <v>274</v>
      </c>
      <c r="C191" s="10" t="str">
        <f t="shared" si="29"/>
        <v>DJ640</v>
      </c>
      <c r="D191" s="10" t="s">
        <v>55</v>
      </c>
      <c r="E191" s="10" t="str">
        <f t="shared" si="32"/>
        <v>W</v>
      </c>
      <c r="F191" s="10" t="str">
        <f t="shared" si="33"/>
        <v>DJ</v>
      </c>
      <c r="G191" s="10" t="s">
        <v>56</v>
      </c>
      <c r="H191" s="4" t="s">
        <v>275</v>
      </c>
      <c r="I191" s="10" t="s">
        <v>139</v>
      </c>
      <c r="J191" s="4">
        <f t="shared" si="30"/>
        <v>1</v>
      </c>
      <c r="K191" s="4">
        <v>1</v>
      </c>
      <c r="L191" s="43">
        <v>349000</v>
      </c>
      <c r="M191" s="78" t="s">
        <v>194</v>
      </c>
      <c r="N191" s="98" t="s">
        <v>272</v>
      </c>
      <c r="O191" s="10" t="s">
        <v>61</v>
      </c>
      <c r="P191" s="63">
        <v>100</v>
      </c>
      <c r="Q191" s="94" t="s">
        <v>119</v>
      </c>
      <c r="R191" s="63" t="s">
        <v>205</v>
      </c>
      <c r="S191" s="96" t="s">
        <v>263</v>
      </c>
      <c r="T191" s="10" t="s">
        <v>122</v>
      </c>
      <c r="U191" s="10" t="s">
        <v>207</v>
      </c>
      <c r="V191" s="10" t="s">
        <v>66</v>
      </c>
      <c r="W191" s="10"/>
      <c r="X191" s="9" t="s">
        <v>67</v>
      </c>
      <c r="Y191" s="10" t="s">
        <v>68</v>
      </c>
      <c r="Z191" s="94" t="s">
        <v>125</v>
      </c>
      <c r="AA191" s="94" t="s">
        <v>90</v>
      </c>
      <c r="AB191" s="9" t="s">
        <v>71</v>
      </c>
      <c r="AC191" s="10" t="s">
        <v>85</v>
      </c>
      <c r="AD191" s="10" t="s">
        <v>208</v>
      </c>
      <c r="AE191" s="65" t="s">
        <v>73</v>
      </c>
      <c r="AF191" s="39" t="s">
        <v>276</v>
      </c>
      <c r="AG191" s="10" t="s">
        <v>127</v>
      </c>
      <c r="AH191" s="4">
        <v>650</v>
      </c>
      <c r="AI191" s="11" t="s">
        <v>264</v>
      </c>
      <c r="AJ191" s="4" t="s">
        <v>241</v>
      </c>
      <c r="AK191" s="50">
        <v>1005</v>
      </c>
      <c r="AL191" s="43">
        <v>350745000</v>
      </c>
      <c r="AM191" s="43">
        <v>12</v>
      </c>
      <c r="AN191" s="43">
        <v>4178000</v>
      </c>
      <c r="AO191" s="43">
        <v>46</v>
      </c>
      <c r="AP191" s="43">
        <v>16035200</v>
      </c>
      <c r="AQ191" s="43">
        <v>107</v>
      </c>
      <c r="AR191" s="43">
        <v>36885000</v>
      </c>
      <c r="AS191" s="52">
        <f t="shared" si="31"/>
        <v>0.10646766169154229</v>
      </c>
    </row>
    <row r="192" spans="2:45" x14ac:dyDescent="0.3">
      <c r="B192" s="32" t="s">
        <v>274</v>
      </c>
      <c r="C192" s="10" t="str">
        <f t="shared" si="29"/>
        <v>DJ640</v>
      </c>
      <c r="D192" s="10" t="s">
        <v>55</v>
      </c>
      <c r="E192" s="10" t="str">
        <f t="shared" si="32"/>
        <v>W</v>
      </c>
      <c r="F192" s="10" t="str">
        <f t="shared" si="33"/>
        <v>DJ</v>
      </c>
      <c r="G192" s="10" t="s">
        <v>56</v>
      </c>
      <c r="H192" s="4" t="s">
        <v>275</v>
      </c>
      <c r="I192" s="10" t="s">
        <v>82</v>
      </c>
      <c r="J192" s="4" t="str">
        <f t="shared" si="30"/>
        <v/>
      </c>
      <c r="K192" s="4">
        <v>1</v>
      </c>
      <c r="L192" s="43">
        <v>349000</v>
      </c>
      <c r="M192" s="78" t="s">
        <v>194</v>
      </c>
      <c r="N192" s="98" t="s">
        <v>272</v>
      </c>
      <c r="O192" s="10" t="s">
        <v>61</v>
      </c>
      <c r="P192" s="63">
        <v>100</v>
      </c>
      <c r="Q192" s="94" t="s">
        <v>119</v>
      </c>
      <c r="R192" s="63" t="s">
        <v>205</v>
      </c>
      <c r="S192" s="96" t="s">
        <v>263</v>
      </c>
      <c r="T192" s="10" t="s">
        <v>122</v>
      </c>
      <c r="U192" s="10" t="s">
        <v>207</v>
      </c>
      <c r="V192" s="10" t="s">
        <v>66</v>
      </c>
      <c r="W192" s="10"/>
      <c r="X192" s="9" t="s">
        <v>67</v>
      </c>
      <c r="Y192" s="10" t="s">
        <v>68</v>
      </c>
      <c r="Z192" s="94" t="s">
        <v>125</v>
      </c>
      <c r="AA192" s="94" t="s">
        <v>90</v>
      </c>
      <c r="AB192" s="9" t="s">
        <v>71</v>
      </c>
      <c r="AC192" s="10" t="s">
        <v>85</v>
      </c>
      <c r="AD192" s="10" t="s">
        <v>208</v>
      </c>
      <c r="AE192" s="65" t="s">
        <v>73</v>
      </c>
      <c r="AF192" s="39" t="s">
        <v>276</v>
      </c>
      <c r="AG192" s="10" t="s">
        <v>127</v>
      </c>
      <c r="AH192" s="4">
        <v>650</v>
      </c>
      <c r="AI192" s="11" t="s">
        <v>264</v>
      </c>
      <c r="AJ192" s="4" t="s">
        <v>241</v>
      </c>
      <c r="AK192" s="50">
        <v>1810</v>
      </c>
      <c r="AL192" s="43">
        <v>631690000</v>
      </c>
      <c r="AM192" s="43">
        <v>46</v>
      </c>
      <c r="AN192" s="43">
        <v>15935384</v>
      </c>
      <c r="AO192" s="43">
        <v>168</v>
      </c>
      <c r="AP192" s="43">
        <v>54969810</v>
      </c>
      <c r="AQ192" s="43">
        <v>387</v>
      </c>
      <c r="AR192" s="43">
        <v>128136496</v>
      </c>
      <c r="AS192" s="52">
        <f t="shared" si="31"/>
        <v>0.2138121546961326</v>
      </c>
    </row>
    <row r="193" spans="2:45" x14ac:dyDescent="0.3">
      <c r="B193" s="32" t="s">
        <v>274</v>
      </c>
      <c r="C193" s="10" t="str">
        <f t="shared" si="29"/>
        <v>DJ640</v>
      </c>
      <c r="D193" s="10" t="s">
        <v>55</v>
      </c>
      <c r="E193" s="10" t="str">
        <f t="shared" si="32"/>
        <v>W</v>
      </c>
      <c r="F193" s="10" t="str">
        <f t="shared" si="33"/>
        <v>DJ</v>
      </c>
      <c r="G193" s="10" t="s">
        <v>56</v>
      </c>
      <c r="H193" s="4" t="s">
        <v>275</v>
      </c>
      <c r="I193" s="10" t="s">
        <v>105</v>
      </c>
      <c r="J193" s="4" t="str">
        <f t="shared" si="30"/>
        <v/>
      </c>
      <c r="K193" s="4">
        <v>1</v>
      </c>
      <c r="L193" s="43">
        <v>349000</v>
      </c>
      <c r="M193" s="78" t="s">
        <v>194</v>
      </c>
      <c r="N193" s="98" t="s">
        <v>272</v>
      </c>
      <c r="O193" s="10" t="s">
        <v>61</v>
      </c>
      <c r="P193" s="63">
        <v>100</v>
      </c>
      <c r="Q193" s="94" t="s">
        <v>119</v>
      </c>
      <c r="R193" s="63" t="s">
        <v>205</v>
      </c>
      <c r="S193" s="96" t="s">
        <v>263</v>
      </c>
      <c r="T193" s="10" t="s">
        <v>122</v>
      </c>
      <c r="U193" s="10" t="s">
        <v>207</v>
      </c>
      <c r="V193" s="10" t="s">
        <v>66</v>
      </c>
      <c r="W193" s="10"/>
      <c r="X193" s="9" t="s">
        <v>67</v>
      </c>
      <c r="Y193" s="10" t="s">
        <v>68</v>
      </c>
      <c r="Z193" s="94" t="s">
        <v>125</v>
      </c>
      <c r="AA193" s="94" t="s">
        <v>90</v>
      </c>
      <c r="AB193" s="9" t="s">
        <v>71</v>
      </c>
      <c r="AC193" s="10" t="s">
        <v>85</v>
      </c>
      <c r="AD193" s="10" t="s">
        <v>208</v>
      </c>
      <c r="AE193" s="65" t="s">
        <v>73</v>
      </c>
      <c r="AF193" s="39" t="s">
        <v>276</v>
      </c>
      <c r="AG193" s="10" t="s">
        <v>127</v>
      </c>
      <c r="AH193" s="4">
        <v>650</v>
      </c>
      <c r="AI193" s="11" t="s">
        <v>264</v>
      </c>
      <c r="AJ193" s="4" t="s">
        <v>241</v>
      </c>
      <c r="AK193" s="50">
        <v>2214</v>
      </c>
      <c r="AL193" s="43">
        <v>772686000</v>
      </c>
      <c r="AM193" s="43">
        <v>85</v>
      </c>
      <c r="AN193" s="43">
        <v>29073300</v>
      </c>
      <c r="AO193" s="43">
        <v>330</v>
      </c>
      <c r="AP193" s="43">
        <v>112899592</v>
      </c>
      <c r="AQ193" s="43">
        <v>735</v>
      </c>
      <c r="AR193" s="43">
        <v>246888942</v>
      </c>
      <c r="AS193" s="52">
        <f t="shared" si="31"/>
        <v>0.33197831978319781</v>
      </c>
    </row>
    <row r="194" spans="2:45" x14ac:dyDescent="0.3">
      <c r="B194" s="32" t="s">
        <v>274</v>
      </c>
      <c r="C194" s="10" t="str">
        <f t="shared" si="29"/>
        <v>DJ640</v>
      </c>
      <c r="D194" s="10" t="s">
        <v>55</v>
      </c>
      <c r="E194" s="10" t="str">
        <f t="shared" si="32"/>
        <v>W</v>
      </c>
      <c r="F194" s="10" t="str">
        <f t="shared" si="33"/>
        <v>DJ</v>
      </c>
      <c r="G194" s="10" t="s">
        <v>56</v>
      </c>
      <c r="H194" s="4" t="s">
        <v>275</v>
      </c>
      <c r="I194" s="10" t="s">
        <v>78</v>
      </c>
      <c r="J194" s="4" t="str">
        <f t="shared" si="30"/>
        <v/>
      </c>
      <c r="K194" s="4">
        <v>1</v>
      </c>
      <c r="L194" s="43">
        <v>349000</v>
      </c>
      <c r="M194" s="78" t="s">
        <v>194</v>
      </c>
      <c r="N194" s="98" t="s">
        <v>272</v>
      </c>
      <c r="O194" s="10" t="s">
        <v>61</v>
      </c>
      <c r="P194" s="63">
        <v>100</v>
      </c>
      <c r="Q194" s="94" t="s">
        <v>119</v>
      </c>
      <c r="R194" s="63" t="s">
        <v>205</v>
      </c>
      <c r="S194" s="96" t="s">
        <v>263</v>
      </c>
      <c r="T194" s="10" t="s">
        <v>122</v>
      </c>
      <c r="U194" s="10" t="s">
        <v>207</v>
      </c>
      <c r="V194" s="10" t="s">
        <v>66</v>
      </c>
      <c r="W194" s="10"/>
      <c r="X194" s="9" t="s">
        <v>67</v>
      </c>
      <c r="Y194" s="10" t="s">
        <v>68</v>
      </c>
      <c r="Z194" s="94" t="s">
        <v>125</v>
      </c>
      <c r="AA194" s="94" t="s">
        <v>90</v>
      </c>
      <c r="AB194" s="9" t="s">
        <v>71</v>
      </c>
      <c r="AC194" s="10" t="s">
        <v>85</v>
      </c>
      <c r="AD194" s="10" t="s">
        <v>208</v>
      </c>
      <c r="AE194" s="65" t="s">
        <v>73</v>
      </c>
      <c r="AF194" s="39" t="s">
        <v>276</v>
      </c>
      <c r="AG194" s="10" t="s">
        <v>127</v>
      </c>
      <c r="AH194" s="4">
        <v>650</v>
      </c>
      <c r="AI194" s="11" t="s">
        <v>264</v>
      </c>
      <c r="AJ194" s="4" t="s">
        <v>241</v>
      </c>
      <c r="AK194" s="50">
        <v>7531</v>
      </c>
      <c r="AL194" s="43">
        <v>2628319000</v>
      </c>
      <c r="AM194" s="43">
        <v>409</v>
      </c>
      <c r="AN194" s="43">
        <v>140538035</v>
      </c>
      <c r="AO194" s="43">
        <v>2008</v>
      </c>
      <c r="AP194" s="43">
        <v>687064050</v>
      </c>
      <c r="AQ194" s="43">
        <v>4584</v>
      </c>
      <c r="AR194" s="43">
        <v>1546021400</v>
      </c>
      <c r="AS194" s="52">
        <f t="shared" si="31"/>
        <v>0.6086841056964547</v>
      </c>
    </row>
    <row r="195" spans="2:45" x14ac:dyDescent="0.3">
      <c r="B195" s="32" t="s">
        <v>277</v>
      </c>
      <c r="C195" s="10" t="str">
        <f t="shared" si="29"/>
        <v>DJ670</v>
      </c>
      <c r="D195" s="10" t="s">
        <v>55</v>
      </c>
      <c r="E195" s="10" t="str">
        <f t="shared" si="32"/>
        <v>M</v>
      </c>
      <c r="F195" s="10" t="str">
        <f t="shared" si="33"/>
        <v>DJ</v>
      </c>
      <c r="G195" s="10" t="s">
        <v>56</v>
      </c>
      <c r="H195" s="4" t="s">
        <v>278</v>
      </c>
      <c r="I195" s="10" t="s">
        <v>215</v>
      </c>
      <c r="J195" s="4">
        <f t="shared" si="30"/>
        <v>1</v>
      </c>
      <c r="K195" s="4">
        <v>1</v>
      </c>
      <c r="L195" s="43">
        <v>399000</v>
      </c>
      <c r="M195" s="78" t="s">
        <v>194</v>
      </c>
      <c r="N195" s="98" t="s">
        <v>261</v>
      </c>
      <c r="O195" s="10" t="s">
        <v>61</v>
      </c>
      <c r="P195" s="63">
        <v>100</v>
      </c>
      <c r="Q195" s="94" t="s">
        <v>119</v>
      </c>
      <c r="R195" s="63" t="s">
        <v>262</v>
      </c>
      <c r="S195" s="96" t="s">
        <v>263</v>
      </c>
      <c r="T195" s="10" t="s">
        <v>122</v>
      </c>
      <c r="U195" s="10" t="s">
        <v>207</v>
      </c>
      <c r="V195" s="10" t="s">
        <v>66</v>
      </c>
      <c r="W195" s="10"/>
      <c r="X195" s="9" t="s">
        <v>67</v>
      </c>
      <c r="Y195" s="10" t="s">
        <v>68</v>
      </c>
      <c r="Z195" s="94" t="s">
        <v>125</v>
      </c>
      <c r="AA195" s="94" t="s">
        <v>90</v>
      </c>
      <c r="AB195" s="9" t="s">
        <v>71</v>
      </c>
      <c r="AC195" s="10" t="s">
        <v>144</v>
      </c>
      <c r="AD195" s="10" t="s">
        <v>279</v>
      </c>
      <c r="AE195" s="65" t="s">
        <v>73</v>
      </c>
      <c r="AF195" s="39" t="s">
        <v>280</v>
      </c>
      <c r="AG195" s="10" t="s">
        <v>127</v>
      </c>
      <c r="AH195" s="4">
        <v>650</v>
      </c>
      <c r="AI195" s="11" t="s">
        <v>107</v>
      </c>
      <c r="AJ195" s="4" t="s">
        <v>108</v>
      </c>
      <c r="AK195" s="50">
        <v>1480</v>
      </c>
      <c r="AL195" s="43">
        <v>590520000</v>
      </c>
      <c r="AM195" s="43">
        <v>101</v>
      </c>
      <c r="AN195" s="43">
        <v>39622240</v>
      </c>
      <c r="AO195" s="43">
        <v>616</v>
      </c>
      <c r="AP195" s="43">
        <v>233771655</v>
      </c>
      <c r="AQ195" s="43">
        <v>1206</v>
      </c>
      <c r="AR195" s="43">
        <v>454481413</v>
      </c>
      <c r="AS195" s="52">
        <f t="shared" si="31"/>
        <v>0.81486486486486487</v>
      </c>
    </row>
    <row r="196" spans="2:45" x14ac:dyDescent="0.3">
      <c r="B196" s="32" t="s">
        <v>277</v>
      </c>
      <c r="C196" s="10" t="str">
        <f t="shared" si="29"/>
        <v>DJ670</v>
      </c>
      <c r="D196" s="10" t="s">
        <v>55</v>
      </c>
      <c r="E196" s="10" t="str">
        <f t="shared" si="32"/>
        <v>M</v>
      </c>
      <c r="F196" s="10" t="str">
        <f t="shared" si="33"/>
        <v>DJ</v>
      </c>
      <c r="G196" s="10" t="s">
        <v>56</v>
      </c>
      <c r="H196" s="4" t="s">
        <v>278</v>
      </c>
      <c r="I196" s="10" t="s">
        <v>78</v>
      </c>
      <c r="J196" s="4" t="str">
        <f t="shared" si="30"/>
        <v/>
      </c>
      <c r="K196" s="4">
        <v>1</v>
      </c>
      <c r="L196" s="43">
        <v>399000</v>
      </c>
      <c r="M196" s="78" t="s">
        <v>194</v>
      </c>
      <c r="N196" s="98" t="s">
        <v>261</v>
      </c>
      <c r="O196" s="10" t="s">
        <v>61</v>
      </c>
      <c r="P196" s="63">
        <v>100</v>
      </c>
      <c r="Q196" s="94" t="s">
        <v>119</v>
      </c>
      <c r="R196" s="63" t="s">
        <v>262</v>
      </c>
      <c r="S196" s="96" t="s">
        <v>263</v>
      </c>
      <c r="T196" s="10" t="s">
        <v>122</v>
      </c>
      <c r="U196" s="10" t="s">
        <v>207</v>
      </c>
      <c r="V196" s="10" t="s">
        <v>66</v>
      </c>
      <c r="W196" s="10"/>
      <c r="X196" s="9" t="s">
        <v>67</v>
      </c>
      <c r="Y196" s="10" t="s">
        <v>68</v>
      </c>
      <c r="Z196" s="94" t="s">
        <v>125</v>
      </c>
      <c r="AA196" s="94" t="s">
        <v>90</v>
      </c>
      <c r="AB196" s="9" t="s">
        <v>71</v>
      </c>
      <c r="AC196" s="10" t="s">
        <v>144</v>
      </c>
      <c r="AD196" s="10" t="s">
        <v>279</v>
      </c>
      <c r="AE196" s="65" t="s">
        <v>73</v>
      </c>
      <c r="AF196" s="39" t="s">
        <v>280</v>
      </c>
      <c r="AG196" s="10" t="s">
        <v>127</v>
      </c>
      <c r="AH196" s="4">
        <v>650</v>
      </c>
      <c r="AI196" s="11" t="s">
        <v>107</v>
      </c>
      <c r="AJ196" s="4" t="s">
        <v>108</v>
      </c>
      <c r="AK196" s="50">
        <v>27881</v>
      </c>
      <c r="AL196" s="43">
        <v>11124519000</v>
      </c>
      <c r="AM196" s="43">
        <v>907</v>
      </c>
      <c r="AN196" s="43">
        <v>342376557</v>
      </c>
      <c r="AO196" s="43">
        <v>4904</v>
      </c>
      <c r="AP196" s="43">
        <v>1797719237</v>
      </c>
      <c r="AQ196" s="43">
        <v>11550</v>
      </c>
      <c r="AR196" s="43">
        <v>4300622795</v>
      </c>
      <c r="AS196" s="52">
        <f t="shared" si="31"/>
        <v>0.41426060758222444</v>
      </c>
    </row>
    <row r="197" spans="2:45" x14ac:dyDescent="0.3">
      <c r="B197" s="32" t="s">
        <v>277</v>
      </c>
      <c r="C197" s="10" t="str">
        <f t="shared" si="29"/>
        <v>DJ670</v>
      </c>
      <c r="D197" s="10" t="s">
        <v>55</v>
      </c>
      <c r="E197" s="10" t="str">
        <f t="shared" si="32"/>
        <v>M</v>
      </c>
      <c r="F197" s="10" t="str">
        <f t="shared" si="33"/>
        <v>DJ</v>
      </c>
      <c r="G197" s="10" t="s">
        <v>56</v>
      </c>
      <c r="H197" s="4" t="s">
        <v>278</v>
      </c>
      <c r="I197" s="10" t="s">
        <v>101</v>
      </c>
      <c r="J197" s="4" t="str">
        <f t="shared" si="30"/>
        <v/>
      </c>
      <c r="K197" s="4">
        <v>1</v>
      </c>
      <c r="L197" s="43">
        <v>399000</v>
      </c>
      <c r="M197" s="78" t="s">
        <v>194</v>
      </c>
      <c r="N197" s="98" t="s">
        <v>261</v>
      </c>
      <c r="O197" s="10" t="s">
        <v>61</v>
      </c>
      <c r="P197" s="63">
        <v>100</v>
      </c>
      <c r="Q197" s="94" t="s">
        <v>119</v>
      </c>
      <c r="R197" s="63" t="s">
        <v>262</v>
      </c>
      <c r="S197" s="96" t="s">
        <v>263</v>
      </c>
      <c r="T197" s="10" t="s">
        <v>122</v>
      </c>
      <c r="U197" s="10" t="s">
        <v>207</v>
      </c>
      <c r="V197" s="10" t="s">
        <v>66</v>
      </c>
      <c r="W197" s="10"/>
      <c r="X197" s="9" t="s">
        <v>67</v>
      </c>
      <c r="Y197" s="10" t="s">
        <v>68</v>
      </c>
      <c r="Z197" s="94" t="s">
        <v>125</v>
      </c>
      <c r="AA197" s="94" t="s">
        <v>90</v>
      </c>
      <c r="AB197" s="9" t="s">
        <v>71</v>
      </c>
      <c r="AC197" s="10" t="s">
        <v>144</v>
      </c>
      <c r="AD197" s="10" t="s">
        <v>279</v>
      </c>
      <c r="AE197" s="65" t="s">
        <v>73</v>
      </c>
      <c r="AF197" s="39" t="s">
        <v>280</v>
      </c>
      <c r="AG197" s="10" t="s">
        <v>127</v>
      </c>
      <c r="AH197" s="4">
        <v>650</v>
      </c>
      <c r="AI197" s="11" t="s">
        <v>107</v>
      </c>
      <c r="AJ197" s="4" t="s">
        <v>108</v>
      </c>
      <c r="AK197" s="50">
        <v>1495</v>
      </c>
      <c r="AL197" s="43">
        <v>596505000</v>
      </c>
      <c r="AM197" s="43">
        <v>53</v>
      </c>
      <c r="AN197" s="43">
        <v>20970837</v>
      </c>
      <c r="AO197" s="43">
        <v>294</v>
      </c>
      <c r="AP197" s="43">
        <v>110741912</v>
      </c>
      <c r="AQ197" s="43">
        <v>577</v>
      </c>
      <c r="AR197" s="43">
        <v>218384343</v>
      </c>
      <c r="AS197" s="52">
        <f t="shared" si="31"/>
        <v>0.38595317725752509</v>
      </c>
    </row>
    <row r="198" spans="2:45" x14ac:dyDescent="0.3">
      <c r="B198" s="32" t="s">
        <v>277</v>
      </c>
      <c r="C198" s="10" t="str">
        <f t="shared" si="29"/>
        <v>DJ670</v>
      </c>
      <c r="D198" s="10" t="s">
        <v>55</v>
      </c>
      <c r="E198" s="10" t="str">
        <f t="shared" si="32"/>
        <v>M</v>
      </c>
      <c r="F198" s="10" t="str">
        <f t="shared" si="33"/>
        <v>DJ</v>
      </c>
      <c r="G198" s="10" t="s">
        <v>56</v>
      </c>
      <c r="H198" s="4" t="s">
        <v>278</v>
      </c>
      <c r="I198" s="10" t="s">
        <v>260</v>
      </c>
      <c r="J198" s="4" t="str">
        <f t="shared" si="30"/>
        <v/>
      </c>
      <c r="K198" s="4">
        <v>1</v>
      </c>
      <c r="L198" s="43">
        <v>399000</v>
      </c>
      <c r="M198" s="78" t="s">
        <v>194</v>
      </c>
      <c r="N198" s="98" t="s">
        <v>261</v>
      </c>
      <c r="O198" s="10" t="s">
        <v>61</v>
      </c>
      <c r="P198" s="63">
        <v>100</v>
      </c>
      <c r="Q198" s="94" t="s">
        <v>119</v>
      </c>
      <c r="R198" s="63" t="s">
        <v>262</v>
      </c>
      <c r="S198" s="96" t="s">
        <v>263</v>
      </c>
      <c r="T198" s="10" t="s">
        <v>122</v>
      </c>
      <c r="U198" s="10" t="s">
        <v>207</v>
      </c>
      <c r="V198" s="10" t="s">
        <v>66</v>
      </c>
      <c r="W198" s="10"/>
      <c r="X198" s="9" t="s">
        <v>67</v>
      </c>
      <c r="Y198" s="10" t="s">
        <v>68</v>
      </c>
      <c r="Z198" s="94" t="s">
        <v>125</v>
      </c>
      <c r="AA198" s="94" t="s">
        <v>90</v>
      </c>
      <c r="AB198" s="9" t="s">
        <v>71</v>
      </c>
      <c r="AC198" s="10" t="s">
        <v>144</v>
      </c>
      <c r="AD198" s="10" t="s">
        <v>279</v>
      </c>
      <c r="AE198" s="65" t="s">
        <v>73</v>
      </c>
      <c r="AF198" s="39" t="s">
        <v>280</v>
      </c>
      <c r="AG198" s="10" t="s">
        <v>127</v>
      </c>
      <c r="AH198" s="4">
        <v>650</v>
      </c>
      <c r="AI198" s="11" t="s">
        <v>107</v>
      </c>
      <c r="AJ198" s="4" t="s">
        <v>108</v>
      </c>
      <c r="AK198" s="50">
        <v>1000</v>
      </c>
      <c r="AL198" s="43">
        <v>399000000</v>
      </c>
      <c r="AM198" s="43">
        <v>22</v>
      </c>
      <c r="AN198" s="43">
        <v>8728000</v>
      </c>
      <c r="AO198" s="43">
        <v>168</v>
      </c>
      <c r="AP198" s="43">
        <v>64403780</v>
      </c>
      <c r="AQ198" s="43">
        <v>345</v>
      </c>
      <c r="AR198" s="43">
        <v>132933389</v>
      </c>
      <c r="AS198" s="52">
        <f t="shared" si="31"/>
        <v>0.34499999999999997</v>
      </c>
    </row>
    <row r="199" spans="2:45" x14ac:dyDescent="0.3">
      <c r="B199" s="32" t="s">
        <v>277</v>
      </c>
      <c r="C199" s="10" t="str">
        <f t="shared" si="29"/>
        <v>DJ670</v>
      </c>
      <c r="D199" s="10" t="s">
        <v>148</v>
      </c>
      <c r="E199" s="10" t="str">
        <f t="shared" si="32"/>
        <v>M</v>
      </c>
      <c r="F199" s="10" t="str">
        <f t="shared" si="33"/>
        <v>DJ</v>
      </c>
      <c r="G199" s="10" t="s">
        <v>56</v>
      </c>
      <c r="H199" s="4" t="s">
        <v>278</v>
      </c>
      <c r="I199" s="10" t="s">
        <v>281</v>
      </c>
      <c r="J199" s="4" t="str">
        <f t="shared" si="30"/>
        <v/>
      </c>
      <c r="K199" s="4">
        <v>1</v>
      </c>
      <c r="L199" s="43">
        <v>399000</v>
      </c>
      <c r="M199" s="78" t="s">
        <v>194</v>
      </c>
      <c r="N199" s="98" t="s">
        <v>261</v>
      </c>
      <c r="O199" s="10" t="s">
        <v>61</v>
      </c>
      <c r="P199" s="63">
        <v>100</v>
      </c>
      <c r="Q199" s="94" t="s">
        <v>119</v>
      </c>
      <c r="R199" s="63" t="s">
        <v>262</v>
      </c>
      <c r="S199" s="96" t="s">
        <v>263</v>
      </c>
      <c r="T199" s="10" t="s">
        <v>122</v>
      </c>
      <c r="U199" s="10" t="s">
        <v>207</v>
      </c>
      <c r="V199" s="10" t="s">
        <v>66</v>
      </c>
      <c r="W199" s="10"/>
      <c r="X199" s="9" t="s">
        <v>67</v>
      </c>
      <c r="Y199" s="10" t="s">
        <v>68</v>
      </c>
      <c r="Z199" s="94" t="s">
        <v>125</v>
      </c>
      <c r="AA199" s="94" t="s">
        <v>90</v>
      </c>
      <c r="AB199" s="9" t="s">
        <v>71</v>
      </c>
      <c r="AC199" s="10" t="s">
        <v>144</v>
      </c>
      <c r="AD199" s="10" t="s">
        <v>279</v>
      </c>
      <c r="AE199" s="65" t="s">
        <v>73</v>
      </c>
      <c r="AF199" s="39" t="s">
        <v>280</v>
      </c>
      <c r="AG199" s="10" t="s">
        <v>127</v>
      </c>
      <c r="AH199" s="4">
        <v>650</v>
      </c>
      <c r="AI199" s="11" t="s">
        <v>107</v>
      </c>
      <c r="AJ199" s="4" t="s">
        <v>108</v>
      </c>
      <c r="AK199" s="50">
        <v>949</v>
      </c>
      <c r="AL199" s="43">
        <v>378651000</v>
      </c>
      <c r="AM199" s="43">
        <v>65</v>
      </c>
      <c r="AN199" s="43">
        <v>25600650</v>
      </c>
      <c r="AO199" s="43">
        <v>418</v>
      </c>
      <c r="AP199" s="43">
        <v>158997747</v>
      </c>
      <c r="AQ199" s="43">
        <v>718</v>
      </c>
      <c r="AR199" s="43">
        <v>274156492</v>
      </c>
      <c r="AS199" s="52">
        <f t="shared" si="31"/>
        <v>0.75658587987355108</v>
      </c>
    </row>
    <row r="200" spans="2:45" x14ac:dyDescent="0.3">
      <c r="B200" s="32" t="s">
        <v>282</v>
      </c>
      <c r="C200" s="10" t="str">
        <f t="shared" si="29"/>
        <v>DJ680</v>
      </c>
      <c r="D200" s="10" t="s">
        <v>55</v>
      </c>
      <c r="E200" s="10" t="str">
        <f t="shared" si="32"/>
        <v>W</v>
      </c>
      <c r="F200" s="10" t="str">
        <f t="shared" si="33"/>
        <v>DJ</v>
      </c>
      <c r="G200" s="10" t="s">
        <v>56</v>
      </c>
      <c r="H200" s="4" t="s">
        <v>283</v>
      </c>
      <c r="I200" s="10" t="s">
        <v>113</v>
      </c>
      <c r="J200" s="4">
        <f t="shared" si="30"/>
        <v>1</v>
      </c>
      <c r="K200" s="4">
        <v>1</v>
      </c>
      <c r="L200" s="43">
        <v>399000</v>
      </c>
      <c r="M200" s="78" t="s">
        <v>194</v>
      </c>
      <c r="N200" s="98" t="s">
        <v>261</v>
      </c>
      <c r="O200" s="10" t="s">
        <v>61</v>
      </c>
      <c r="P200" s="63">
        <v>100</v>
      </c>
      <c r="Q200" s="94" t="s">
        <v>119</v>
      </c>
      <c r="R200" s="63" t="s">
        <v>262</v>
      </c>
      <c r="S200" s="96" t="s">
        <v>263</v>
      </c>
      <c r="T200" s="10" t="s">
        <v>122</v>
      </c>
      <c r="U200" s="10" t="s">
        <v>207</v>
      </c>
      <c r="V200" s="10" t="s">
        <v>66</v>
      </c>
      <c r="W200" s="10"/>
      <c r="X200" s="9" t="s">
        <v>67</v>
      </c>
      <c r="Y200" s="10" t="s">
        <v>68</v>
      </c>
      <c r="Z200" s="94" t="s">
        <v>125</v>
      </c>
      <c r="AA200" s="94" t="s">
        <v>90</v>
      </c>
      <c r="AB200" s="9" t="s">
        <v>71</v>
      </c>
      <c r="AC200" s="10" t="s">
        <v>144</v>
      </c>
      <c r="AD200" s="10" t="s">
        <v>279</v>
      </c>
      <c r="AE200" s="65" t="s">
        <v>73</v>
      </c>
      <c r="AF200" s="39" t="s">
        <v>284</v>
      </c>
      <c r="AG200" s="10" t="s">
        <v>127</v>
      </c>
      <c r="AH200" s="4">
        <v>650</v>
      </c>
      <c r="AI200" s="11" t="s">
        <v>107</v>
      </c>
      <c r="AJ200" s="4" t="s">
        <v>108</v>
      </c>
      <c r="AK200" s="50">
        <v>2554</v>
      </c>
      <c r="AL200" s="43">
        <v>1019046000</v>
      </c>
      <c r="AM200" s="43">
        <v>125</v>
      </c>
      <c r="AN200" s="43">
        <v>49368337</v>
      </c>
      <c r="AO200" s="43">
        <v>761</v>
      </c>
      <c r="AP200" s="43">
        <v>286623810</v>
      </c>
      <c r="AQ200" s="43">
        <v>1768</v>
      </c>
      <c r="AR200" s="43">
        <v>672001849</v>
      </c>
      <c r="AS200" s="52">
        <f t="shared" si="31"/>
        <v>0.69224745497259199</v>
      </c>
    </row>
    <row r="201" spans="2:45" x14ac:dyDescent="0.3">
      <c r="B201" s="32" t="s">
        <v>282</v>
      </c>
      <c r="C201" s="10" t="str">
        <f t="shared" si="29"/>
        <v>DJ680</v>
      </c>
      <c r="D201" s="10" t="s">
        <v>55</v>
      </c>
      <c r="E201" s="10" t="str">
        <f t="shared" si="32"/>
        <v>W</v>
      </c>
      <c r="F201" s="10" t="str">
        <f t="shared" si="33"/>
        <v>DJ</v>
      </c>
      <c r="G201" s="10" t="s">
        <v>56</v>
      </c>
      <c r="H201" s="4" t="s">
        <v>283</v>
      </c>
      <c r="I201" s="10" t="s">
        <v>215</v>
      </c>
      <c r="J201" s="4" t="str">
        <f t="shared" si="30"/>
        <v/>
      </c>
      <c r="K201" s="4">
        <v>1</v>
      </c>
      <c r="L201" s="43">
        <v>399000</v>
      </c>
      <c r="M201" s="78" t="s">
        <v>194</v>
      </c>
      <c r="N201" s="98" t="s">
        <v>261</v>
      </c>
      <c r="O201" s="10" t="s">
        <v>61</v>
      </c>
      <c r="P201" s="63">
        <v>100</v>
      </c>
      <c r="Q201" s="94" t="s">
        <v>119</v>
      </c>
      <c r="R201" s="63" t="s">
        <v>262</v>
      </c>
      <c r="S201" s="96" t="s">
        <v>263</v>
      </c>
      <c r="T201" s="10" t="s">
        <v>122</v>
      </c>
      <c r="U201" s="10" t="s">
        <v>207</v>
      </c>
      <c r="V201" s="10" t="s">
        <v>66</v>
      </c>
      <c r="W201" s="10"/>
      <c r="X201" s="9" t="s">
        <v>67</v>
      </c>
      <c r="Y201" s="10" t="s">
        <v>68</v>
      </c>
      <c r="Z201" s="94" t="s">
        <v>125</v>
      </c>
      <c r="AA201" s="94" t="s">
        <v>90</v>
      </c>
      <c r="AB201" s="9" t="s">
        <v>71</v>
      </c>
      <c r="AC201" s="10" t="s">
        <v>144</v>
      </c>
      <c r="AD201" s="10" t="s">
        <v>279</v>
      </c>
      <c r="AE201" s="65" t="s">
        <v>73</v>
      </c>
      <c r="AF201" s="39" t="s">
        <v>284</v>
      </c>
      <c r="AG201" s="10" t="s">
        <v>127</v>
      </c>
      <c r="AH201" s="4">
        <v>650</v>
      </c>
      <c r="AI201" s="11" t="s">
        <v>107</v>
      </c>
      <c r="AJ201" s="4" t="s">
        <v>108</v>
      </c>
      <c r="AK201" s="50">
        <v>3479</v>
      </c>
      <c r="AL201" s="43">
        <v>1388121000</v>
      </c>
      <c r="AM201" s="43">
        <v>106</v>
      </c>
      <c r="AN201" s="43">
        <v>41925366</v>
      </c>
      <c r="AO201" s="43">
        <v>997</v>
      </c>
      <c r="AP201" s="43">
        <v>373431932</v>
      </c>
      <c r="AQ201" s="43">
        <v>2274</v>
      </c>
      <c r="AR201" s="43">
        <v>849533777</v>
      </c>
      <c r="AS201" s="52">
        <f t="shared" si="31"/>
        <v>0.6536361023282552</v>
      </c>
    </row>
    <row r="202" spans="2:45" x14ac:dyDescent="0.3">
      <c r="B202" s="32" t="s">
        <v>282</v>
      </c>
      <c r="C202" s="10" t="str">
        <f t="shared" si="29"/>
        <v>DJ680</v>
      </c>
      <c r="D202" s="10" t="s">
        <v>55</v>
      </c>
      <c r="E202" s="10" t="str">
        <f t="shared" si="32"/>
        <v>W</v>
      </c>
      <c r="F202" s="10" t="str">
        <f t="shared" si="33"/>
        <v>DJ</v>
      </c>
      <c r="G202" s="10" t="s">
        <v>56</v>
      </c>
      <c r="H202" s="4" t="s">
        <v>283</v>
      </c>
      <c r="I202" s="10" t="s">
        <v>78</v>
      </c>
      <c r="J202" s="4" t="str">
        <f t="shared" si="30"/>
        <v/>
      </c>
      <c r="K202" s="4">
        <v>1</v>
      </c>
      <c r="L202" s="43">
        <v>399000</v>
      </c>
      <c r="M202" s="78" t="s">
        <v>194</v>
      </c>
      <c r="N202" s="98" t="s">
        <v>261</v>
      </c>
      <c r="O202" s="10" t="s">
        <v>61</v>
      </c>
      <c r="P202" s="63">
        <v>100</v>
      </c>
      <c r="Q202" s="94" t="s">
        <v>119</v>
      </c>
      <c r="R202" s="63" t="s">
        <v>262</v>
      </c>
      <c r="S202" s="96" t="s">
        <v>263</v>
      </c>
      <c r="T202" s="10" t="s">
        <v>122</v>
      </c>
      <c r="U202" s="10" t="s">
        <v>207</v>
      </c>
      <c r="V202" s="10" t="s">
        <v>66</v>
      </c>
      <c r="W202" s="10"/>
      <c r="X202" s="9" t="s">
        <v>67</v>
      </c>
      <c r="Y202" s="10" t="s">
        <v>68</v>
      </c>
      <c r="Z202" s="94" t="s">
        <v>125</v>
      </c>
      <c r="AA202" s="94" t="s">
        <v>90</v>
      </c>
      <c r="AB202" s="9" t="s">
        <v>71</v>
      </c>
      <c r="AC202" s="10" t="s">
        <v>144</v>
      </c>
      <c r="AD202" s="10" t="s">
        <v>279</v>
      </c>
      <c r="AE202" s="65" t="s">
        <v>73</v>
      </c>
      <c r="AF202" s="39" t="s">
        <v>284</v>
      </c>
      <c r="AG202" s="10" t="s">
        <v>127</v>
      </c>
      <c r="AH202" s="4">
        <v>650</v>
      </c>
      <c r="AI202" s="11" t="s">
        <v>107</v>
      </c>
      <c r="AJ202" s="4" t="s">
        <v>108</v>
      </c>
      <c r="AK202" s="50">
        <v>35368</v>
      </c>
      <c r="AL202" s="43">
        <v>14111832000</v>
      </c>
      <c r="AM202" s="43">
        <v>1837</v>
      </c>
      <c r="AN202" s="43">
        <v>696560630</v>
      </c>
      <c r="AO202" s="43">
        <v>9147</v>
      </c>
      <c r="AP202" s="43">
        <v>3438597382</v>
      </c>
      <c r="AQ202" s="43">
        <v>19911</v>
      </c>
      <c r="AR202" s="43">
        <v>7508533190</v>
      </c>
      <c r="AS202" s="52">
        <f t="shared" si="31"/>
        <v>0.56296652341099296</v>
      </c>
    </row>
    <row r="203" spans="2:45" x14ac:dyDescent="0.3">
      <c r="B203" s="32" t="s">
        <v>282</v>
      </c>
      <c r="C203" s="10" t="str">
        <f t="shared" si="29"/>
        <v>DJ680</v>
      </c>
      <c r="D203" s="10" t="s">
        <v>55</v>
      </c>
      <c r="E203" s="10" t="str">
        <f t="shared" si="32"/>
        <v>W</v>
      </c>
      <c r="F203" s="10" t="str">
        <f t="shared" si="33"/>
        <v>DJ</v>
      </c>
      <c r="G203" s="10" t="s">
        <v>56</v>
      </c>
      <c r="H203" s="4" t="s">
        <v>283</v>
      </c>
      <c r="I203" s="10" t="s">
        <v>101</v>
      </c>
      <c r="J203" s="4" t="str">
        <f t="shared" si="30"/>
        <v/>
      </c>
      <c r="K203" s="4">
        <v>1</v>
      </c>
      <c r="L203" s="43">
        <v>399000</v>
      </c>
      <c r="M203" s="78" t="s">
        <v>194</v>
      </c>
      <c r="N203" s="98" t="s">
        <v>261</v>
      </c>
      <c r="O203" s="10" t="s">
        <v>61</v>
      </c>
      <c r="P203" s="63">
        <v>100</v>
      </c>
      <c r="Q203" s="94" t="s">
        <v>119</v>
      </c>
      <c r="R203" s="63" t="s">
        <v>262</v>
      </c>
      <c r="S203" s="96" t="s">
        <v>263</v>
      </c>
      <c r="T203" s="10" t="s">
        <v>122</v>
      </c>
      <c r="U203" s="10" t="s">
        <v>207</v>
      </c>
      <c r="V203" s="10" t="s">
        <v>66</v>
      </c>
      <c r="W203" s="10"/>
      <c r="X203" s="9" t="s">
        <v>67</v>
      </c>
      <c r="Y203" s="10" t="s">
        <v>68</v>
      </c>
      <c r="Z203" s="94" t="s">
        <v>125</v>
      </c>
      <c r="AA203" s="94" t="s">
        <v>90</v>
      </c>
      <c r="AB203" s="9" t="s">
        <v>71</v>
      </c>
      <c r="AC203" s="10" t="s">
        <v>144</v>
      </c>
      <c r="AD203" s="10" t="s">
        <v>279</v>
      </c>
      <c r="AE203" s="65" t="s">
        <v>73</v>
      </c>
      <c r="AF203" s="39" t="s">
        <v>284</v>
      </c>
      <c r="AG203" s="10" t="s">
        <v>127</v>
      </c>
      <c r="AH203" s="4">
        <v>650</v>
      </c>
      <c r="AI203" s="11" t="s">
        <v>107</v>
      </c>
      <c r="AJ203" s="4" t="s">
        <v>108</v>
      </c>
      <c r="AK203" s="50">
        <v>3991</v>
      </c>
      <c r="AL203" s="43">
        <v>1592409000</v>
      </c>
      <c r="AM203" s="43">
        <v>306</v>
      </c>
      <c r="AN203" s="43">
        <v>121004307</v>
      </c>
      <c r="AO203" s="43">
        <v>1481</v>
      </c>
      <c r="AP203" s="43">
        <v>573572699</v>
      </c>
      <c r="AQ203" s="43">
        <v>2890</v>
      </c>
      <c r="AR203" s="43">
        <v>1109451607</v>
      </c>
      <c r="AS203" s="52">
        <f t="shared" si="31"/>
        <v>0.72412929090453515</v>
      </c>
    </row>
    <row r="204" spans="2:45" x14ac:dyDescent="0.3">
      <c r="B204" s="32" t="s">
        <v>282</v>
      </c>
      <c r="C204" s="10" t="str">
        <f t="shared" si="29"/>
        <v>DJ680</v>
      </c>
      <c r="D204" s="10" t="s">
        <v>55</v>
      </c>
      <c r="E204" s="10" t="str">
        <f t="shared" si="32"/>
        <v>W</v>
      </c>
      <c r="F204" s="10" t="str">
        <f t="shared" si="33"/>
        <v>DJ</v>
      </c>
      <c r="G204" s="10" t="s">
        <v>56</v>
      </c>
      <c r="H204" s="4" t="s">
        <v>283</v>
      </c>
      <c r="I204" s="10" t="s">
        <v>105</v>
      </c>
      <c r="J204" s="4" t="str">
        <f t="shared" si="30"/>
        <v/>
      </c>
      <c r="K204" s="4">
        <v>1</v>
      </c>
      <c r="L204" s="30">
        <v>399000</v>
      </c>
      <c r="M204" s="78" t="s">
        <v>194</v>
      </c>
      <c r="N204" s="98" t="s">
        <v>261</v>
      </c>
      <c r="O204" s="10" t="s">
        <v>61</v>
      </c>
      <c r="P204" s="63">
        <v>100</v>
      </c>
      <c r="Q204" s="94" t="s">
        <v>119</v>
      </c>
      <c r="R204" s="63" t="s">
        <v>262</v>
      </c>
      <c r="S204" s="96" t="s">
        <v>263</v>
      </c>
      <c r="T204" s="10" t="s">
        <v>122</v>
      </c>
      <c r="U204" s="10" t="s">
        <v>207</v>
      </c>
      <c r="V204" s="10" t="s">
        <v>66</v>
      </c>
      <c r="W204" s="10"/>
      <c r="X204" s="9" t="s">
        <v>67</v>
      </c>
      <c r="Y204" s="10" t="s">
        <v>68</v>
      </c>
      <c r="Z204" s="94" t="s">
        <v>125</v>
      </c>
      <c r="AA204" s="94" t="s">
        <v>90</v>
      </c>
      <c r="AB204" s="9" t="s">
        <v>71</v>
      </c>
      <c r="AC204" s="10" t="s">
        <v>144</v>
      </c>
      <c r="AD204" s="10" t="s">
        <v>279</v>
      </c>
      <c r="AE204" s="65" t="s">
        <v>73</v>
      </c>
      <c r="AF204" s="39" t="s">
        <v>284</v>
      </c>
      <c r="AG204" s="10" t="s">
        <v>127</v>
      </c>
      <c r="AH204" s="4">
        <v>650</v>
      </c>
      <c r="AI204" s="11" t="s">
        <v>107</v>
      </c>
      <c r="AJ204" s="4" t="s">
        <v>108</v>
      </c>
      <c r="AK204" s="36">
        <v>3998</v>
      </c>
      <c r="AL204" s="30">
        <v>1595202000</v>
      </c>
      <c r="AM204" s="30">
        <v>112</v>
      </c>
      <c r="AN204" s="30">
        <v>43746043</v>
      </c>
      <c r="AO204" s="30">
        <v>881</v>
      </c>
      <c r="AP204" s="30">
        <v>326408142</v>
      </c>
      <c r="AQ204" s="30">
        <v>1884</v>
      </c>
      <c r="AR204" s="30">
        <v>701915905</v>
      </c>
      <c r="AS204" s="52">
        <f t="shared" si="31"/>
        <v>0.47123561780890444</v>
      </c>
    </row>
    <row r="205" spans="2:45" x14ac:dyDescent="0.3">
      <c r="B205" s="32" t="s">
        <v>285</v>
      </c>
      <c r="C205" s="10" t="str">
        <f t="shared" si="29"/>
        <v>DJ710</v>
      </c>
      <c r="D205" s="10" t="s">
        <v>55</v>
      </c>
      <c r="E205" s="10" t="str">
        <f t="shared" si="32"/>
        <v>M</v>
      </c>
      <c r="F205" s="10" t="str">
        <f t="shared" si="33"/>
        <v>DJ</v>
      </c>
      <c r="G205" s="10" t="s">
        <v>56</v>
      </c>
      <c r="H205" s="4" t="s">
        <v>286</v>
      </c>
      <c r="I205" s="10" t="s">
        <v>179</v>
      </c>
      <c r="J205" s="4">
        <f t="shared" si="30"/>
        <v>1</v>
      </c>
      <c r="K205" s="4">
        <v>1</v>
      </c>
      <c r="L205" s="30">
        <v>169000</v>
      </c>
      <c r="M205" s="78" t="s">
        <v>83</v>
      </c>
      <c r="N205" s="98" t="s">
        <v>287</v>
      </c>
      <c r="O205" s="10" t="s">
        <v>61</v>
      </c>
      <c r="P205" s="63">
        <v>100</v>
      </c>
      <c r="Q205" s="94" t="s">
        <v>85</v>
      </c>
      <c r="R205" s="63" t="s">
        <v>86</v>
      </c>
      <c r="S205" s="96" t="s">
        <v>87</v>
      </c>
      <c r="T205" s="10" t="s">
        <v>65</v>
      </c>
      <c r="U205" s="10"/>
      <c r="V205" s="10" t="s">
        <v>66</v>
      </c>
      <c r="W205" s="10"/>
      <c r="X205" s="9" t="s">
        <v>67</v>
      </c>
      <c r="Y205" s="10" t="s">
        <v>88</v>
      </c>
      <c r="Z205" s="94" t="s">
        <v>89</v>
      </c>
      <c r="AA205" s="94" t="s">
        <v>90</v>
      </c>
      <c r="AB205" s="9" t="s">
        <v>91</v>
      </c>
      <c r="AC205" s="68" t="s">
        <v>92</v>
      </c>
      <c r="AD205" s="69" t="str">
        <f t="shared" ref="AD205:AD233" si="34">AC205</f>
        <v>(다운백 없음)</v>
      </c>
      <c r="AE205" s="65" t="s">
        <v>73</v>
      </c>
      <c r="AF205" s="39" t="s">
        <v>288</v>
      </c>
      <c r="AG205" s="10" t="s">
        <v>240</v>
      </c>
      <c r="AH205" s="4">
        <v>650</v>
      </c>
      <c r="AI205" s="11" t="s">
        <v>289</v>
      </c>
      <c r="AJ205" s="4" t="s">
        <v>241</v>
      </c>
      <c r="AK205" s="36">
        <v>702</v>
      </c>
      <c r="AL205" s="30">
        <v>118638000</v>
      </c>
      <c r="AM205" s="30">
        <v>8</v>
      </c>
      <c r="AN205" s="30">
        <v>1342000</v>
      </c>
      <c r="AO205" s="30">
        <v>316</v>
      </c>
      <c r="AP205" s="30">
        <v>48571573</v>
      </c>
      <c r="AQ205" s="30">
        <v>407</v>
      </c>
      <c r="AR205" s="30">
        <v>63652193</v>
      </c>
      <c r="AS205" s="52">
        <f t="shared" si="31"/>
        <v>0.57977207977207978</v>
      </c>
    </row>
    <row r="206" spans="2:45" x14ac:dyDescent="0.3">
      <c r="B206" s="32" t="s">
        <v>285</v>
      </c>
      <c r="C206" s="10" t="str">
        <f t="shared" si="29"/>
        <v>DJ710</v>
      </c>
      <c r="D206" s="10" t="s">
        <v>55</v>
      </c>
      <c r="E206" s="10" t="str">
        <f t="shared" si="32"/>
        <v>M</v>
      </c>
      <c r="F206" s="10" t="str">
        <f t="shared" si="33"/>
        <v>DJ</v>
      </c>
      <c r="G206" s="10" t="s">
        <v>56</v>
      </c>
      <c r="H206" s="4" t="s">
        <v>286</v>
      </c>
      <c r="I206" s="10" t="s">
        <v>78</v>
      </c>
      <c r="J206" s="4" t="str">
        <f t="shared" si="30"/>
        <v/>
      </c>
      <c r="K206" s="4">
        <v>1</v>
      </c>
      <c r="L206" s="30">
        <v>169000</v>
      </c>
      <c r="M206" s="78" t="s">
        <v>83</v>
      </c>
      <c r="N206" s="98" t="s">
        <v>290</v>
      </c>
      <c r="O206" s="10" t="s">
        <v>61</v>
      </c>
      <c r="P206" s="63">
        <v>100</v>
      </c>
      <c r="Q206" s="94" t="s">
        <v>85</v>
      </c>
      <c r="R206" s="63" t="s">
        <v>86</v>
      </c>
      <c r="S206" s="96" t="s">
        <v>87</v>
      </c>
      <c r="T206" s="10" t="s">
        <v>65</v>
      </c>
      <c r="U206" s="10"/>
      <c r="V206" s="10" t="s">
        <v>66</v>
      </c>
      <c r="W206" s="10"/>
      <c r="X206" s="9" t="s">
        <v>67</v>
      </c>
      <c r="Y206" s="10" t="s">
        <v>88</v>
      </c>
      <c r="Z206" s="94" t="s">
        <v>89</v>
      </c>
      <c r="AA206" s="94" t="s">
        <v>90</v>
      </c>
      <c r="AB206" s="9" t="s">
        <v>91</v>
      </c>
      <c r="AC206" s="68" t="s">
        <v>92</v>
      </c>
      <c r="AD206" s="69" t="str">
        <f t="shared" si="34"/>
        <v>(다운백 없음)</v>
      </c>
      <c r="AE206" s="65" t="s">
        <v>73</v>
      </c>
      <c r="AF206" s="39" t="s">
        <v>288</v>
      </c>
      <c r="AG206" s="10" t="s">
        <v>240</v>
      </c>
      <c r="AH206" s="4">
        <v>650</v>
      </c>
      <c r="AI206" s="11" t="s">
        <v>289</v>
      </c>
      <c r="AJ206" s="4" t="s">
        <v>241</v>
      </c>
      <c r="AK206" s="36">
        <v>7495</v>
      </c>
      <c r="AL206" s="30">
        <v>1266655000</v>
      </c>
      <c r="AM206" s="30">
        <v>114</v>
      </c>
      <c r="AN206" s="30">
        <v>17818560</v>
      </c>
      <c r="AO206" s="30">
        <v>3053</v>
      </c>
      <c r="AP206" s="30">
        <v>434518939</v>
      </c>
      <c r="AQ206" s="30">
        <v>4488</v>
      </c>
      <c r="AR206" s="30">
        <v>645126547</v>
      </c>
      <c r="AS206" s="52">
        <f t="shared" si="31"/>
        <v>0.59879919946631088</v>
      </c>
    </row>
    <row r="207" spans="2:45" x14ac:dyDescent="0.3">
      <c r="B207" s="32" t="s">
        <v>285</v>
      </c>
      <c r="C207" s="10" t="str">
        <f t="shared" si="29"/>
        <v>DJ710</v>
      </c>
      <c r="D207" s="10" t="s">
        <v>55</v>
      </c>
      <c r="E207" s="10" t="str">
        <f t="shared" si="32"/>
        <v>M</v>
      </c>
      <c r="F207" s="10" t="str">
        <f t="shared" si="33"/>
        <v>DJ</v>
      </c>
      <c r="G207" s="10" t="s">
        <v>56</v>
      </c>
      <c r="H207" s="4" t="s">
        <v>286</v>
      </c>
      <c r="I207" s="10" t="s">
        <v>105</v>
      </c>
      <c r="J207" s="4" t="str">
        <f t="shared" si="30"/>
        <v/>
      </c>
      <c r="K207" s="4">
        <v>1</v>
      </c>
      <c r="L207" s="30">
        <v>169000</v>
      </c>
      <c r="M207" s="78" t="s">
        <v>83</v>
      </c>
      <c r="N207" s="98" t="s">
        <v>290</v>
      </c>
      <c r="O207" s="10" t="s">
        <v>61</v>
      </c>
      <c r="P207" s="63">
        <v>100</v>
      </c>
      <c r="Q207" s="94" t="s">
        <v>85</v>
      </c>
      <c r="R207" s="63" t="s">
        <v>86</v>
      </c>
      <c r="S207" s="96" t="s">
        <v>87</v>
      </c>
      <c r="T207" s="10" t="s">
        <v>65</v>
      </c>
      <c r="U207" s="10"/>
      <c r="V207" s="10" t="s">
        <v>66</v>
      </c>
      <c r="W207" s="10"/>
      <c r="X207" s="9" t="s">
        <v>67</v>
      </c>
      <c r="Y207" s="10" t="s">
        <v>88</v>
      </c>
      <c r="Z207" s="94" t="s">
        <v>89</v>
      </c>
      <c r="AA207" s="94" t="s">
        <v>90</v>
      </c>
      <c r="AB207" s="9" t="s">
        <v>91</v>
      </c>
      <c r="AC207" s="68" t="s">
        <v>92</v>
      </c>
      <c r="AD207" s="69" t="str">
        <f t="shared" si="34"/>
        <v>(다운백 없음)</v>
      </c>
      <c r="AE207" s="65" t="s">
        <v>73</v>
      </c>
      <c r="AF207" s="39" t="s">
        <v>288</v>
      </c>
      <c r="AG207" s="10" t="s">
        <v>240</v>
      </c>
      <c r="AH207" s="4">
        <v>650</v>
      </c>
      <c r="AI207" s="11" t="s">
        <v>289</v>
      </c>
      <c r="AJ207" s="4" t="s">
        <v>241</v>
      </c>
      <c r="AK207" s="36">
        <v>1803</v>
      </c>
      <c r="AL207" s="30">
        <v>304707000</v>
      </c>
      <c r="AM207" s="30">
        <v>25</v>
      </c>
      <c r="AN207" s="30">
        <v>3806360</v>
      </c>
      <c r="AO207" s="30">
        <v>703</v>
      </c>
      <c r="AP207" s="30">
        <v>91369489</v>
      </c>
      <c r="AQ207" s="30">
        <v>828</v>
      </c>
      <c r="AR207" s="30">
        <v>111474008</v>
      </c>
      <c r="AS207" s="52">
        <f t="shared" si="31"/>
        <v>0.45923460898502494</v>
      </c>
    </row>
    <row r="208" spans="2:45" x14ac:dyDescent="0.3">
      <c r="B208" s="32" t="s">
        <v>291</v>
      </c>
      <c r="C208" s="10" t="str">
        <f t="shared" si="29"/>
        <v>DJ720</v>
      </c>
      <c r="D208" s="10" t="s">
        <v>55</v>
      </c>
      <c r="E208" s="10" t="str">
        <f t="shared" si="32"/>
        <v>W</v>
      </c>
      <c r="F208" s="10" t="str">
        <f t="shared" si="33"/>
        <v>DJ</v>
      </c>
      <c r="G208" s="10" t="s">
        <v>56</v>
      </c>
      <c r="H208" s="4" t="s">
        <v>292</v>
      </c>
      <c r="I208" s="10" t="s">
        <v>78</v>
      </c>
      <c r="J208" s="4">
        <f t="shared" si="30"/>
        <v>1</v>
      </c>
      <c r="K208" s="4">
        <v>1</v>
      </c>
      <c r="L208" s="30">
        <v>169000</v>
      </c>
      <c r="M208" s="78" t="s">
        <v>83</v>
      </c>
      <c r="N208" s="98" t="s">
        <v>290</v>
      </c>
      <c r="O208" s="10" t="s">
        <v>61</v>
      </c>
      <c r="P208" s="63">
        <v>100</v>
      </c>
      <c r="Q208" s="94" t="s">
        <v>85</v>
      </c>
      <c r="R208" s="63" t="s">
        <v>86</v>
      </c>
      <c r="S208" s="96" t="s">
        <v>87</v>
      </c>
      <c r="T208" s="10" t="s">
        <v>65</v>
      </c>
      <c r="U208" s="10"/>
      <c r="V208" s="10" t="s">
        <v>66</v>
      </c>
      <c r="W208" s="10"/>
      <c r="X208" s="9" t="s">
        <v>67</v>
      </c>
      <c r="Y208" s="10" t="s">
        <v>88</v>
      </c>
      <c r="Z208" s="94" t="s">
        <v>89</v>
      </c>
      <c r="AA208" s="94" t="s">
        <v>90</v>
      </c>
      <c r="AB208" s="9" t="s">
        <v>91</v>
      </c>
      <c r="AC208" s="68" t="s">
        <v>92</v>
      </c>
      <c r="AD208" s="69" t="str">
        <f t="shared" si="34"/>
        <v>(다운백 없음)</v>
      </c>
      <c r="AE208" s="65" t="s">
        <v>73</v>
      </c>
      <c r="AF208" s="39" t="s">
        <v>293</v>
      </c>
      <c r="AG208" s="10" t="s">
        <v>240</v>
      </c>
      <c r="AH208" s="4">
        <v>650</v>
      </c>
      <c r="AI208" s="11" t="s">
        <v>289</v>
      </c>
      <c r="AJ208" s="4" t="s">
        <v>241</v>
      </c>
      <c r="AK208" s="36">
        <v>3000</v>
      </c>
      <c r="AL208" s="30">
        <v>507000000</v>
      </c>
      <c r="AM208" s="30">
        <v>34</v>
      </c>
      <c r="AN208" s="30">
        <v>5267665</v>
      </c>
      <c r="AO208" s="30">
        <v>897</v>
      </c>
      <c r="AP208" s="30">
        <v>132490154</v>
      </c>
      <c r="AQ208" s="30">
        <v>1277</v>
      </c>
      <c r="AR208" s="30">
        <v>189980419</v>
      </c>
      <c r="AS208" s="52">
        <f t="shared" si="31"/>
        <v>0.42566666666666669</v>
      </c>
    </row>
    <row r="209" spans="2:45" x14ac:dyDescent="0.3">
      <c r="B209" s="32" t="s">
        <v>291</v>
      </c>
      <c r="C209" s="10" t="str">
        <f t="shared" si="29"/>
        <v>DJ720</v>
      </c>
      <c r="D209" s="10" t="s">
        <v>55</v>
      </c>
      <c r="E209" s="10" t="str">
        <f t="shared" si="32"/>
        <v>W</v>
      </c>
      <c r="F209" s="10" t="str">
        <f t="shared" si="33"/>
        <v>DJ</v>
      </c>
      <c r="G209" s="10" t="s">
        <v>56</v>
      </c>
      <c r="H209" s="4" t="s">
        <v>292</v>
      </c>
      <c r="I209" s="10" t="s">
        <v>105</v>
      </c>
      <c r="J209" s="4" t="str">
        <f t="shared" si="30"/>
        <v/>
      </c>
      <c r="K209" s="4">
        <v>1</v>
      </c>
      <c r="L209" s="30">
        <v>169000</v>
      </c>
      <c r="M209" s="78" t="s">
        <v>83</v>
      </c>
      <c r="N209" s="98" t="s">
        <v>290</v>
      </c>
      <c r="O209" s="10" t="s">
        <v>61</v>
      </c>
      <c r="P209" s="63">
        <v>100</v>
      </c>
      <c r="Q209" s="94" t="s">
        <v>85</v>
      </c>
      <c r="R209" s="63" t="s">
        <v>86</v>
      </c>
      <c r="S209" s="96" t="s">
        <v>87</v>
      </c>
      <c r="T209" s="10" t="s">
        <v>65</v>
      </c>
      <c r="U209" s="10"/>
      <c r="V209" s="10" t="s">
        <v>66</v>
      </c>
      <c r="W209" s="10"/>
      <c r="X209" s="9" t="s">
        <v>67</v>
      </c>
      <c r="Y209" s="10" t="s">
        <v>88</v>
      </c>
      <c r="Z209" s="94" t="s">
        <v>89</v>
      </c>
      <c r="AA209" s="94" t="s">
        <v>90</v>
      </c>
      <c r="AB209" s="9" t="s">
        <v>91</v>
      </c>
      <c r="AC209" s="68" t="s">
        <v>92</v>
      </c>
      <c r="AD209" s="69" t="str">
        <f t="shared" si="34"/>
        <v>(다운백 없음)</v>
      </c>
      <c r="AE209" s="65" t="s">
        <v>73</v>
      </c>
      <c r="AF209" s="39" t="s">
        <v>293</v>
      </c>
      <c r="AG209" s="10" t="s">
        <v>240</v>
      </c>
      <c r="AH209" s="4">
        <v>650</v>
      </c>
      <c r="AI209" s="11" t="s">
        <v>289</v>
      </c>
      <c r="AJ209" s="4" t="s">
        <v>241</v>
      </c>
      <c r="AK209" s="36">
        <v>2000</v>
      </c>
      <c r="AL209" s="30">
        <v>338000000</v>
      </c>
      <c r="AM209" s="30">
        <v>31</v>
      </c>
      <c r="AN209" s="30">
        <v>4881000</v>
      </c>
      <c r="AO209" s="30">
        <v>751</v>
      </c>
      <c r="AP209" s="30">
        <v>107827545</v>
      </c>
      <c r="AQ209" s="30">
        <v>976</v>
      </c>
      <c r="AR209" s="30">
        <v>144859225</v>
      </c>
      <c r="AS209" s="52">
        <f t="shared" si="31"/>
        <v>0.48799999999999999</v>
      </c>
    </row>
    <row r="210" spans="2:45" x14ac:dyDescent="0.3">
      <c r="B210" s="32" t="s">
        <v>294</v>
      </c>
      <c r="C210" s="10" t="str">
        <f t="shared" si="29"/>
        <v>DJ730</v>
      </c>
      <c r="D210" s="10" t="s">
        <v>55</v>
      </c>
      <c r="E210" s="10" t="str">
        <f t="shared" si="32"/>
        <v>M</v>
      </c>
      <c r="F210" s="10" t="str">
        <f t="shared" si="33"/>
        <v>DJ</v>
      </c>
      <c r="G210" s="10" t="s">
        <v>56</v>
      </c>
      <c r="H210" s="4" t="s">
        <v>295</v>
      </c>
      <c r="I210" s="10" t="s">
        <v>163</v>
      </c>
      <c r="J210" s="4">
        <f t="shared" si="30"/>
        <v>1</v>
      </c>
      <c r="K210" s="4">
        <v>1</v>
      </c>
      <c r="L210" s="30">
        <v>159000</v>
      </c>
      <c r="M210" s="78" t="s">
        <v>83</v>
      </c>
      <c r="N210" s="98" t="s">
        <v>290</v>
      </c>
      <c r="O210" s="10" t="s">
        <v>61</v>
      </c>
      <c r="P210" s="63">
        <v>100</v>
      </c>
      <c r="Q210" s="94" t="s">
        <v>85</v>
      </c>
      <c r="R210" s="63" t="s">
        <v>86</v>
      </c>
      <c r="S210" s="96" t="s">
        <v>87</v>
      </c>
      <c r="T210" s="10" t="s">
        <v>65</v>
      </c>
      <c r="U210" s="10"/>
      <c r="V210" s="10" t="s">
        <v>66</v>
      </c>
      <c r="W210" s="10"/>
      <c r="X210" s="9" t="s">
        <v>67</v>
      </c>
      <c r="Y210" s="10" t="s">
        <v>88</v>
      </c>
      <c r="Z210" s="94" t="s">
        <v>89</v>
      </c>
      <c r="AA210" s="94" t="s">
        <v>90</v>
      </c>
      <c r="AB210" s="9" t="s">
        <v>91</v>
      </c>
      <c r="AC210" s="68" t="s">
        <v>92</v>
      </c>
      <c r="AD210" s="69" t="str">
        <f t="shared" si="34"/>
        <v>(다운백 없음)</v>
      </c>
      <c r="AE210" s="65" t="s">
        <v>73</v>
      </c>
      <c r="AF210" s="39" t="s">
        <v>288</v>
      </c>
      <c r="AG210" s="10" t="s">
        <v>240</v>
      </c>
      <c r="AH210" s="4">
        <v>650</v>
      </c>
      <c r="AI210" s="11" t="s">
        <v>289</v>
      </c>
      <c r="AJ210" s="4" t="s">
        <v>241</v>
      </c>
      <c r="AK210" s="36">
        <v>700</v>
      </c>
      <c r="AL210" s="30">
        <v>111300000</v>
      </c>
      <c r="AM210" s="30">
        <v>23</v>
      </c>
      <c r="AN210" s="30">
        <v>3637000</v>
      </c>
      <c r="AO210" s="30">
        <v>233</v>
      </c>
      <c r="AP210" s="30">
        <v>34628575</v>
      </c>
      <c r="AQ210" s="30">
        <v>338</v>
      </c>
      <c r="AR210" s="30">
        <v>50044013</v>
      </c>
      <c r="AS210" s="52">
        <f t="shared" si="31"/>
        <v>0.48285714285714287</v>
      </c>
    </row>
    <row r="211" spans="2:45" x14ac:dyDescent="0.3">
      <c r="B211" s="32" t="s">
        <v>294</v>
      </c>
      <c r="C211" s="10" t="str">
        <f t="shared" si="29"/>
        <v>DJ730</v>
      </c>
      <c r="D211" s="10" t="s">
        <v>55</v>
      </c>
      <c r="E211" s="10" t="str">
        <f t="shared" si="32"/>
        <v>M</v>
      </c>
      <c r="F211" s="10" t="str">
        <f t="shared" si="33"/>
        <v>DJ</v>
      </c>
      <c r="G211" s="10" t="s">
        <v>56</v>
      </c>
      <c r="H211" s="4" t="s">
        <v>295</v>
      </c>
      <c r="I211" s="10" t="s">
        <v>78</v>
      </c>
      <c r="J211" s="4" t="str">
        <f t="shared" si="30"/>
        <v/>
      </c>
      <c r="K211" s="4">
        <v>1</v>
      </c>
      <c r="L211" s="30">
        <v>159000</v>
      </c>
      <c r="M211" s="78" t="s">
        <v>83</v>
      </c>
      <c r="N211" s="98" t="s">
        <v>290</v>
      </c>
      <c r="O211" s="10" t="s">
        <v>61</v>
      </c>
      <c r="P211" s="63">
        <v>100</v>
      </c>
      <c r="Q211" s="94" t="s">
        <v>85</v>
      </c>
      <c r="R211" s="63" t="s">
        <v>86</v>
      </c>
      <c r="S211" s="96" t="s">
        <v>87</v>
      </c>
      <c r="T211" s="10" t="s">
        <v>65</v>
      </c>
      <c r="U211" s="10"/>
      <c r="V211" s="10" t="s">
        <v>66</v>
      </c>
      <c r="W211" s="10"/>
      <c r="X211" s="9" t="s">
        <v>67</v>
      </c>
      <c r="Y211" s="10" t="s">
        <v>88</v>
      </c>
      <c r="Z211" s="94" t="s">
        <v>89</v>
      </c>
      <c r="AA211" s="94" t="s">
        <v>90</v>
      </c>
      <c r="AB211" s="9" t="s">
        <v>91</v>
      </c>
      <c r="AC211" s="68" t="s">
        <v>92</v>
      </c>
      <c r="AD211" s="69" t="str">
        <f t="shared" si="34"/>
        <v>(다운백 없음)</v>
      </c>
      <c r="AE211" s="65" t="s">
        <v>73</v>
      </c>
      <c r="AF211" s="39" t="s">
        <v>288</v>
      </c>
      <c r="AG211" s="10" t="s">
        <v>240</v>
      </c>
      <c r="AH211" s="4">
        <v>650</v>
      </c>
      <c r="AI211" s="11" t="s">
        <v>289</v>
      </c>
      <c r="AJ211" s="4" t="s">
        <v>241</v>
      </c>
      <c r="AK211" s="36">
        <v>2500</v>
      </c>
      <c r="AL211" s="30">
        <v>397500000</v>
      </c>
      <c r="AM211" s="30">
        <v>65</v>
      </c>
      <c r="AN211" s="30">
        <v>10163010</v>
      </c>
      <c r="AO211" s="30">
        <v>895</v>
      </c>
      <c r="AP211" s="30">
        <v>129636726</v>
      </c>
      <c r="AQ211" s="30">
        <v>1394</v>
      </c>
      <c r="AR211" s="30">
        <v>203540981</v>
      </c>
      <c r="AS211" s="52">
        <f t="shared" si="31"/>
        <v>0.55759999999999998</v>
      </c>
    </row>
    <row r="212" spans="2:45" x14ac:dyDescent="0.3">
      <c r="B212" s="32" t="s">
        <v>296</v>
      </c>
      <c r="C212" s="10" t="str">
        <f t="shared" si="29"/>
        <v>DJ740</v>
      </c>
      <c r="D212" s="10" t="s">
        <v>55</v>
      </c>
      <c r="E212" s="10" t="str">
        <f t="shared" si="32"/>
        <v>W</v>
      </c>
      <c r="F212" s="10" t="str">
        <f t="shared" si="33"/>
        <v>DJ</v>
      </c>
      <c r="G212" s="10" t="s">
        <v>56</v>
      </c>
      <c r="H212" s="4" t="s">
        <v>297</v>
      </c>
      <c r="I212" s="10" t="s">
        <v>78</v>
      </c>
      <c r="J212" s="4">
        <f t="shared" si="30"/>
        <v>1</v>
      </c>
      <c r="K212" s="4">
        <v>1</v>
      </c>
      <c r="L212" s="30">
        <v>159000</v>
      </c>
      <c r="M212" s="78" t="s">
        <v>83</v>
      </c>
      <c r="N212" s="98" t="s">
        <v>290</v>
      </c>
      <c r="O212" s="10" t="s">
        <v>61</v>
      </c>
      <c r="P212" s="63">
        <v>100</v>
      </c>
      <c r="Q212" s="94" t="s">
        <v>85</v>
      </c>
      <c r="R212" s="63" t="s">
        <v>86</v>
      </c>
      <c r="S212" s="96" t="s">
        <v>87</v>
      </c>
      <c r="T212" s="10" t="s">
        <v>65</v>
      </c>
      <c r="U212" s="10"/>
      <c r="V212" s="10" t="s">
        <v>66</v>
      </c>
      <c r="W212" s="10"/>
      <c r="X212" s="9" t="s">
        <v>67</v>
      </c>
      <c r="Y212" s="10" t="s">
        <v>88</v>
      </c>
      <c r="Z212" s="94" t="s">
        <v>89</v>
      </c>
      <c r="AA212" s="94" t="s">
        <v>90</v>
      </c>
      <c r="AB212" s="9" t="s">
        <v>91</v>
      </c>
      <c r="AC212" s="68" t="s">
        <v>92</v>
      </c>
      <c r="AD212" s="69" t="str">
        <f t="shared" si="34"/>
        <v>(다운백 없음)</v>
      </c>
      <c r="AE212" s="65" t="s">
        <v>73</v>
      </c>
      <c r="AF212" s="39" t="s">
        <v>293</v>
      </c>
      <c r="AG212" s="10" t="s">
        <v>240</v>
      </c>
      <c r="AH212" s="4">
        <v>650</v>
      </c>
      <c r="AI212" s="11" t="s">
        <v>289</v>
      </c>
      <c r="AJ212" s="4" t="s">
        <v>241</v>
      </c>
      <c r="AK212" s="36">
        <v>2500</v>
      </c>
      <c r="AL212" s="30">
        <v>397500000</v>
      </c>
      <c r="AM212" s="30">
        <v>45</v>
      </c>
      <c r="AN212" s="30">
        <v>7073361</v>
      </c>
      <c r="AO212" s="30">
        <v>918</v>
      </c>
      <c r="AP212" s="30">
        <v>138897384</v>
      </c>
      <c r="AQ212" s="30">
        <v>1330</v>
      </c>
      <c r="AR212" s="30">
        <v>201755619</v>
      </c>
      <c r="AS212" s="52">
        <f t="shared" si="31"/>
        <v>0.53200000000000003</v>
      </c>
    </row>
    <row r="213" spans="2:45" x14ac:dyDescent="0.3">
      <c r="B213" s="32" t="s">
        <v>296</v>
      </c>
      <c r="C213" s="10" t="str">
        <f t="shared" si="29"/>
        <v>DJ740</v>
      </c>
      <c r="D213" s="10" t="s">
        <v>55</v>
      </c>
      <c r="E213" s="10" t="str">
        <f t="shared" si="32"/>
        <v>W</v>
      </c>
      <c r="F213" s="10" t="str">
        <f t="shared" si="33"/>
        <v>DJ</v>
      </c>
      <c r="G213" s="10" t="s">
        <v>56</v>
      </c>
      <c r="H213" s="4" t="s">
        <v>297</v>
      </c>
      <c r="I213" s="10" t="s">
        <v>79</v>
      </c>
      <c r="J213" s="4" t="str">
        <f t="shared" si="30"/>
        <v/>
      </c>
      <c r="K213" s="4">
        <v>1</v>
      </c>
      <c r="L213" s="30">
        <v>159000</v>
      </c>
      <c r="M213" s="78" t="s">
        <v>83</v>
      </c>
      <c r="N213" s="98" t="s">
        <v>290</v>
      </c>
      <c r="O213" s="10" t="s">
        <v>61</v>
      </c>
      <c r="P213" s="63">
        <v>100</v>
      </c>
      <c r="Q213" s="94" t="s">
        <v>85</v>
      </c>
      <c r="R213" s="63" t="s">
        <v>86</v>
      </c>
      <c r="S213" s="96" t="s">
        <v>87</v>
      </c>
      <c r="T213" s="10" t="s">
        <v>65</v>
      </c>
      <c r="U213" s="10"/>
      <c r="V213" s="10" t="s">
        <v>66</v>
      </c>
      <c r="W213" s="10"/>
      <c r="X213" s="9" t="s">
        <v>67</v>
      </c>
      <c r="Y213" s="10" t="s">
        <v>88</v>
      </c>
      <c r="Z213" s="94" t="s">
        <v>89</v>
      </c>
      <c r="AA213" s="94" t="s">
        <v>90</v>
      </c>
      <c r="AB213" s="9" t="s">
        <v>91</v>
      </c>
      <c r="AC213" s="68" t="s">
        <v>92</v>
      </c>
      <c r="AD213" s="69" t="str">
        <f t="shared" si="34"/>
        <v>(다운백 없음)</v>
      </c>
      <c r="AE213" s="65" t="s">
        <v>73</v>
      </c>
      <c r="AF213" s="39" t="s">
        <v>293</v>
      </c>
      <c r="AG213" s="10" t="s">
        <v>240</v>
      </c>
      <c r="AH213" s="4">
        <v>650</v>
      </c>
      <c r="AI213" s="11" t="s">
        <v>289</v>
      </c>
      <c r="AJ213" s="4" t="s">
        <v>241</v>
      </c>
      <c r="AK213" s="36">
        <v>1500</v>
      </c>
      <c r="AL213" s="30">
        <v>238500000</v>
      </c>
      <c r="AM213" s="30">
        <v>14</v>
      </c>
      <c r="AN213" s="30">
        <v>2186420</v>
      </c>
      <c r="AO213" s="30">
        <v>533</v>
      </c>
      <c r="AP213" s="30">
        <v>81175652</v>
      </c>
      <c r="AQ213" s="30">
        <v>802</v>
      </c>
      <c r="AR213" s="30">
        <v>122594711</v>
      </c>
      <c r="AS213" s="52">
        <f t="shared" si="31"/>
        <v>0.53466666666666662</v>
      </c>
    </row>
    <row r="214" spans="2:45" x14ac:dyDescent="0.3">
      <c r="B214" s="32" t="s">
        <v>296</v>
      </c>
      <c r="C214" s="10" t="str">
        <f t="shared" si="29"/>
        <v>DJ740</v>
      </c>
      <c r="D214" s="10" t="s">
        <v>55</v>
      </c>
      <c r="E214" s="10" t="str">
        <f t="shared" si="32"/>
        <v>W</v>
      </c>
      <c r="F214" s="10" t="str">
        <f t="shared" si="33"/>
        <v>DJ</v>
      </c>
      <c r="G214" s="10" t="s">
        <v>56</v>
      </c>
      <c r="H214" s="4" t="s">
        <v>297</v>
      </c>
      <c r="I214" s="10" t="s">
        <v>163</v>
      </c>
      <c r="J214" s="4" t="str">
        <f t="shared" si="30"/>
        <v/>
      </c>
      <c r="K214" s="4">
        <v>1</v>
      </c>
      <c r="L214" s="30">
        <v>159000</v>
      </c>
      <c r="M214" s="78" t="s">
        <v>83</v>
      </c>
      <c r="N214" s="98" t="s">
        <v>290</v>
      </c>
      <c r="O214" s="10" t="s">
        <v>61</v>
      </c>
      <c r="P214" s="63">
        <v>100</v>
      </c>
      <c r="Q214" s="94" t="s">
        <v>85</v>
      </c>
      <c r="R214" s="63" t="s">
        <v>86</v>
      </c>
      <c r="S214" s="96" t="s">
        <v>87</v>
      </c>
      <c r="T214" s="10" t="s">
        <v>65</v>
      </c>
      <c r="U214" s="10"/>
      <c r="V214" s="10" t="s">
        <v>66</v>
      </c>
      <c r="W214" s="10"/>
      <c r="X214" s="9" t="s">
        <v>67</v>
      </c>
      <c r="Y214" s="10" t="s">
        <v>88</v>
      </c>
      <c r="Z214" s="94" t="s">
        <v>89</v>
      </c>
      <c r="AA214" s="94" t="s">
        <v>90</v>
      </c>
      <c r="AB214" s="9" t="s">
        <v>91</v>
      </c>
      <c r="AC214" s="68" t="s">
        <v>92</v>
      </c>
      <c r="AD214" s="69" t="str">
        <f t="shared" si="34"/>
        <v>(다운백 없음)</v>
      </c>
      <c r="AE214" s="65" t="s">
        <v>73</v>
      </c>
      <c r="AF214" s="39" t="s">
        <v>293</v>
      </c>
      <c r="AG214" s="10" t="s">
        <v>240</v>
      </c>
      <c r="AH214" s="4">
        <v>650</v>
      </c>
      <c r="AI214" s="11" t="s">
        <v>289</v>
      </c>
      <c r="AJ214" s="4" t="s">
        <v>241</v>
      </c>
      <c r="AK214" s="36">
        <v>1500</v>
      </c>
      <c r="AL214" s="30">
        <v>238500000</v>
      </c>
      <c r="AM214" s="30">
        <v>20</v>
      </c>
      <c r="AN214" s="30">
        <v>3086400</v>
      </c>
      <c r="AO214" s="30">
        <v>550</v>
      </c>
      <c r="AP214" s="30">
        <v>82013776</v>
      </c>
      <c r="AQ214" s="30">
        <v>792</v>
      </c>
      <c r="AR214" s="30">
        <v>118712013</v>
      </c>
      <c r="AS214" s="52">
        <f t="shared" si="31"/>
        <v>0.52800000000000002</v>
      </c>
    </row>
    <row r="215" spans="2:45" x14ac:dyDescent="0.3">
      <c r="B215" s="32" t="s">
        <v>298</v>
      </c>
      <c r="C215" s="10" t="str">
        <f t="shared" si="29"/>
        <v>DJ770</v>
      </c>
      <c r="D215" s="10" t="s">
        <v>55</v>
      </c>
      <c r="E215" s="10" t="str">
        <f t="shared" si="32"/>
        <v>M</v>
      </c>
      <c r="F215" s="10" t="str">
        <f t="shared" si="33"/>
        <v>DJ</v>
      </c>
      <c r="G215" s="10" t="s">
        <v>56</v>
      </c>
      <c r="H215" s="4" t="s">
        <v>299</v>
      </c>
      <c r="I215" s="10" t="s">
        <v>163</v>
      </c>
      <c r="J215" s="4">
        <f t="shared" si="30"/>
        <v>1</v>
      </c>
      <c r="K215" s="4">
        <v>1</v>
      </c>
      <c r="L215" s="30">
        <v>199000</v>
      </c>
      <c r="M215" s="78" t="s">
        <v>83</v>
      </c>
      <c r="N215" s="98" t="s">
        <v>300</v>
      </c>
      <c r="O215" s="10" t="s">
        <v>61</v>
      </c>
      <c r="P215" s="63">
        <v>100</v>
      </c>
      <c r="Q215" s="94" t="s">
        <v>119</v>
      </c>
      <c r="R215" s="63" t="s">
        <v>301</v>
      </c>
      <c r="S215" s="96" t="s">
        <v>302</v>
      </c>
      <c r="T215" s="10" t="s">
        <v>65</v>
      </c>
      <c r="U215" s="10"/>
      <c r="V215" s="10" t="s">
        <v>66</v>
      </c>
      <c r="W215" s="10"/>
      <c r="X215" s="9" t="s">
        <v>67</v>
      </c>
      <c r="Y215" s="10" t="s">
        <v>88</v>
      </c>
      <c r="Z215" s="94" t="s">
        <v>89</v>
      </c>
      <c r="AA215" s="94" t="s">
        <v>90</v>
      </c>
      <c r="AB215" s="9" t="s">
        <v>91</v>
      </c>
      <c r="AC215" s="68" t="s">
        <v>92</v>
      </c>
      <c r="AD215" s="69" t="str">
        <f t="shared" si="34"/>
        <v>(다운백 없음)</v>
      </c>
      <c r="AE215" s="65" t="s">
        <v>73</v>
      </c>
      <c r="AF215" s="42" t="s">
        <v>303</v>
      </c>
      <c r="AG215" s="10" t="s">
        <v>75</v>
      </c>
      <c r="AH215" s="4">
        <v>650</v>
      </c>
      <c r="AI215" s="11" t="s">
        <v>76</v>
      </c>
      <c r="AJ215" s="4" t="s">
        <v>241</v>
      </c>
      <c r="AK215" s="36">
        <v>1208</v>
      </c>
      <c r="AL215" s="30">
        <v>240392000</v>
      </c>
      <c r="AM215" s="30">
        <v>131</v>
      </c>
      <c r="AN215" s="30">
        <v>25959200</v>
      </c>
      <c r="AO215" s="30">
        <v>612</v>
      </c>
      <c r="AP215" s="30">
        <v>111091056</v>
      </c>
      <c r="AQ215" s="30">
        <v>815</v>
      </c>
      <c r="AR215" s="30">
        <v>147492584</v>
      </c>
      <c r="AS215" s="52">
        <f t="shared" si="31"/>
        <v>0.67466887417218546</v>
      </c>
    </row>
    <row r="216" spans="2:45" x14ac:dyDescent="0.3">
      <c r="B216" s="32" t="s">
        <v>298</v>
      </c>
      <c r="C216" s="10" t="str">
        <f t="shared" si="29"/>
        <v>DJ770</v>
      </c>
      <c r="D216" s="10" t="s">
        <v>55</v>
      </c>
      <c r="E216" s="10" t="str">
        <f t="shared" si="32"/>
        <v>M</v>
      </c>
      <c r="F216" s="10" t="str">
        <f t="shared" si="33"/>
        <v>DJ</v>
      </c>
      <c r="G216" s="10" t="s">
        <v>56</v>
      </c>
      <c r="H216" s="4" t="s">
        <v>299</v>
      </c>
      <c r="I216" s="10" t="s">
        <v>233</v>
      </c>
      <c r="J216" s="4" t="str">
        <f t="shared" si="30"/>
        <v/>
      </c>
      <c r="K216" s="4">
        <v>1</v>
      </c>
      <c r="L216" s="30">
        <v>199000</v>
      </c>
      <c r="M216" s="78" t="s">
        <v>83</v>
      </c>
      <c r="N216" s="98" t="s">
        <v>304</v>
      </c>
      <c r="O216" s="10" t="s">
        <v>61</v>
      </c>
      <c r="P216" s="63">
        <v>100</v>
      </c>
      <c r="Q216" s="94" t="s">
        <v>119</v>
      </c>
      <c r="R216" s="63" t="s">
        <v>301</v>
      </c>
      <c r="S216" s="96" t="s">
        <v>302</v>
      </c>
      <c r="T216" s="10" t="s">
        <v>65</v>
      </c>
      <c r="U216" s="10"/>
      <c r="V216" s="10" t="s">
        <v>66</v>
      </c>
      <c r="W216" s="10"/>
      <c r="X216" s="9" t="s">
        <v>67</v>
      </c>
      <c r="Y216" s="10" t="s">
        <v>88</v>
      </c>
      <c r="Z216" s="94" t="s">
        <v>89</v>
      </c>
      <c r="AA216" s="94" t="s">
        <v>90</v>
      </c>
      <c r="AB216" s="9" t="s">
        <v>91</v>
      </c>
      <c r="AC216" s="68" t="s">
        <v>92</v>
      </c>
      <c r="AD216" s="69" t="str">
        <f t="shared" si="34"/>
        <v>(다운백 없음)</v>
      </c>
      <c r="AE216" s="65" t="s">
        <v>73</v>
      </c>
      <c r="AF216" s="42" t="s">
        <v>303</v>
      </c>
      <c r="AG216" s="10" t="s">
        <v>75</v>
      </c>
      <c r="AH216" s="4">
        <v>650</v>
      </c>
      <c r="AI216" s="11" t="s">
        <v>76</v>
      </c>
      <c r="AJ216" s="4" t="s">
        <v>241</v>
      </c>
      <c r="AK216" s="36">
        <v>1209</v>
      </c>
      <c r="AL216" s="30">
        <v>240591000</v>
      </c>
      <c r="AM216" s="30">
        <v>72</v>
      </c>
      <c r="AN216" s="30">
        <v>14227341</v>
      </c>
      <c r="AO216" s="30">
        <v>470</v>
      </c>
      <c r="AP216" s="30">
        <v>84980506</v>
      </c>
      <c r="AQ216" s="30">
        <v>708</v>
      </c>
      <c r="AR216" s="30">
        <v>126565098</v>
      </c>
      <c r="AS216" s="52">
        <f t="shared" si="31"/>
        <v>0.5856079404466501</v>
      </c>
    </row>
    <row r="217" spans="2:45" x14ac:dyDescent="0.3">
      <c r="B217" s="32" t="s">
        <v>298</v>
      </c>
      <c r="C217" s="10" t="str">
        <f t="shared" si="29"/>
        <v>DJ770</v>
      </c>
      <c r="D217" s="10" t="s">
        <v>55</v>
      </c>
      <c r="E217" s="10" t="str">
        <f t="shared" si="32"/>
        <v>M</v>
      </c>
      <c r="F217" s="10" t="str">
        <f t="shared" si="33"/>
        <v>DJ</v>
      </c>
      <c r="G217" s="10" t="s">
        <v>56</v>
      </c>
      <c r="H217" s="4" t="s">
        <v>299</v>
      </c>
      <c r="I217" s="10" t="s">
        <v>78</v>
      </c>
      <c r="J217" s="4" t="str">
        <f t="shared" si="30"/>
        <v/>
      </c>
      <c r="K217" s="4">
        <v>1</v>
      </c>
      <c r="L217" s="30">
        <v>199000</v>
      </c>
      <c r="M217" s="78" t="s">
        <v>83</v>
      </c>
      <c r="N217" s="98" t="s">
        <v>304</v>
      </c>
      <c r="O217" s="10" t="s">
        <v>61</v>
      </c>
      <c r="P217" s="63">
        <v>100</v>
      </c>
      <c r="Q217" s="94" t="s">
        <v>119</v>
      </c>
      <c r="R217" s="63" t="s">
        <v>301</v>
      </c>
      <c r="S217" s="96" t="s">
        <v>302</v>
      </c>
      <c r="T217" s="10" t="s">
        <v>65</v>
      </c>
      <c r="U217" s="10"/>
      <c r="V217" s="10" t="s">
        <v>66</v>
      </c>
      <c r="W217" s="10"/>
      <c r="X217" s="9" t="s">
        <v>67</v>
      </c>
      <c r="Y217" s="10" t="s">
        <v>88</v>
      </c>
      <c r="Z217" s="94" t="s">
        <v>89</v>
      </c>
      <c r="AA217" s="94" t="s">
        <v>90</v>
      </c>
      <c r="AB217" s="9" t="s">
        <v>91</v>
      </c>
      <c r="AC217" s="68" t="s">
        <v>92</v>
      </c>
      <c r="AD217" s="69" t="str">
        <f t="shared" si="34"/>
        <v>(다운백 없음)</v>
      </c>
      <c r="AE217" s="65" t="s">
        <v>73</v>
      </c>
      <c r="AF217" s="42" t="s">
        <v>303</v>
      </c>
      <c r="AG217" s="10" t="s">
        <v>75</v>
      </c>
      <c r="AH217" s="4">
        <v>650</v>
      </c>
      <c r="AI217" s="11" t="s">
        <v>76</v>
      </c>
      <c r="AJ217" s="4" t="s">
        <v>241</v>
      </c>
      <c r="AK217" s="36">
        <v>4114</v>
      </c>
      <c r="AL217" s="30">
        <v>818686000</v>
      </c>
      <c r="AM217" s="30">
        <v>365</v>
      </c>
      <c r="AN217" s="30">
        <v>72282952</v>
      </c>
      <c r="AO217" s="30">
        <v>2052</v>
      </c>
      <c r="AP217" s="30">
        <v>371809138</v>
      </c>
      <c r="AQ217" s="30">
        <v>3088</v>
      </c>
      <c r="AR217" s="30">
        <v>559382293</v>
      </c>
      <c r="AS217" s="52">
        <f t="shared" si="31"/>
        <v>0.75060768108896447</v>
      </c>
    </row>
    <row r="218" spans="2:45" x14ac:dyDescent="0.3">
      <c r="B218" s="32" t="s">
        <v>305</v>
      </c>
      <c r="C218" s="10" t="str">
        <f t="shared" si="29"/>
        <v>DJ780</v>
      </c>
      <c r="D218" s="10" t="s">
        <v>55</v>
      </c>
      <c r="E218" s="10" t="str">
        <f t="shared" si="32"/>
        <v>W</v>
      </c>
      <c r="F218" s="10" t="str">
        <f t="shared" si="33"/>
        <v>DJ</v>
      </c>
      <c r="G218" s="10" t="s">
        <v>56</v>
      </c>
      <c r="H218" s="4" t="s">
        <v>306</v>
      </c>
      <c r="I218" s="10" t="s">
        <v>163</v>
      </c>
      <c r="J218" s="4">
        <f t="shared" si="30"/>
        <v>1</v>
      </c>
      <c r="K218" s="4">
        <v>1</v>
      </c>
      <c r="L218" s="30">
        <v>199000</v>
      </c>
      <c r="M218" s="78" t="s">
        <v>83</v>
      </c>
      <c r="N218" s="98" t="s">
        <v>307</v>
      </c>
      <c r="O218" s="10" t="s">
        <v>61</v>
      </c>
      <c r="P218" s="63">
        <v>100</v>
      </c>
      <c r="Q218" s="94" t="s">
        <v>119</v>
      </c>
      <c r="R218" s="63" t="s">
        <v>301</v>
      </c>
      <c r="S218" s="96" t="s">
        <v>302</v>
      </c>
      <c r="T218" s="10" t="s">
        <v>65</v>
      </c>
      <c r="U218" s="10"/>
      <c r="V218" s="10" t="s">
        <v>66</v>
      </c>
      <c r="W218" s="10"/>
      <c r="X218" s="9" t="s">
        <v>67</v>
      </c>
      <c r="Y218" s="10" t="s">
        <v>88</v>
      </c>
      <c r="Z218" s="94" t="s">
        <v>89</v>
      </c>
      <c r="AA218" s="94" t="s">
        <v>90</v>
      </c>
      <c r="AB218" s="9" t="s">
        <v>91</v>
      </c>
      <c r="AC218" s="68" t="s">
        <v>92</v>
      </c>
      <c r="AD218" s="69" t="str">
        <f t="shared" si="34"/>
        <v>(다운백 없음)</v>
      </c>
      <c r="AE218" s="65" t="s">
        <v>73</v>
      </c>
      <c r="AF218" s="39" t="s">
        <v>308</v>
      </c>
      <c r="AG218" s="10" t="s">
        <v>75</v>
      </c>
      <c r="AH218" s="4">
        <v>650</v>
      </c>
      <c r="AI218" s="11" t="s">
        <v>76</v>
      </c>
      <c r="AJ218" s="4" t="s">
        <v>241</v>
      </c>
      <c r="AK218" s="36">
        <v>2213</v>
      </c>
      <c r="AL218" s="30">
        <v>440387000</v>
      </c>
      <c r="AM218" s="30">
        <v>184</v>
      </c>
      <c r="AN218" s="30">
        <v>36467901</v>
      </c>
      <c r="AO218" s="30">
        <v>1085</v>
      </c>
      <c r="AP218" s="30">
        <v>205138407</v>
      </c>
      <c r="AQ218" s="30">
        <v>1631</v>
      </c>
      <c r="AR218" s="30">
        <v>306391692</v>
      </c>
      <c r="AS218" s="52">
        <f t="shared" si="31"/>
        <v>0.73700858563036598</v>
      </c>
    </row>
    <row r="219" spans="2:45" x14ac:dyDescent="0.3">
      <c r="B219" s="32" t="s">
        <v>305</v>
      </c>
      <c r="C219" s="10" t="str">
        <f t="shared" si="29"/>
        <v>DJ780</v>
      </c>
      <c r="D219" s="10" t="s">
        <v>55</v>
      </c>
      <c r="E219" s="10" t="str">
        <f t="shared" si="32"/>
        <v>W</v>
      </c>
      <c r="F219" s="10" t="str">
        <f t="shared" si="33"/>
        <v>DJ</v>
      </c>
      <c r="G219" s="10" t="s">
        <v>56</v>
      </c>
      <c r="H219" s="4" t="s">
        <v>306</v>
      </c>
      <c r="I219" s="10" t="s">
        <v>79</v>
      </c>
      <c r="J219" s="4" t="str">
        <f t="shared" si="30"/>
        <v/>
      </c>
      <c r="K219" s="4">
        <v>1</v>
      </c>
      <c r="L219" s="30">
        <v>199000</v>
      </c>
      <c r="M219" s="78" t="s">
        <v>83</v>
      </c>
      <c r="N219" s="98" t="s">
        <v>307</v>
      </c>
      <c r="O219" s="10" t="s">
        <v>61</v>
      </c>
      <c r="P219" s="63">
        <v>100</v>
      </c>
      <c r="Q219" s="94" t="s">
        <v>119</v>
      </c>
      <c r="R219" s="63" t="s">
        <v>301</v>
      </c>
      <c r="S219" s="96" t="s">
        <v>302</v>
      </c>
      <c r="T219" s="10" t="s">
        <v>65</v>
      </c>
      <c r="U219" s="10"/>
      <c r="V219" s="10" t="s">
        <v>66</v>
      </c>
      <c r="W219" s="10"/>
      <c r="X219" s="9" t="s">
        <v>67</v>
      </c>
      <c r="Y219" s="10" t="s">
        <v>88</v>
      </c>
      <c r="Z219" s="94" t="s">
        <v>89</v>
      </c>
      <c r="AA219" s="94" t="s">
        <v>90</v>
      </c>
      <c r="AB219" s="9" t="s">
        <v>91</v>
      </c>
      <c r="AC219" s="68" t="s">
        <v>92</v>
      </c>
      <c r="AD219" s="69" t="str">
        <f t="shared" si="34"/>
        <v>(다운백 없음)</v>
      </c>
      <c r="AE219" s="65" t="s">
        <v>73</v>
      </c>
      <c r="AF219" s="39" t="s">
        <v>308</v>
      </c>
      <c r="AG219" s="10" t="s">
        <v>75</v>
      </c>
      <c r="AH219" s="4">
        <v>650</v>
      </c>
      <c r="AI219" s="11" t="s">
        <v>76</v>
      </c>
      <c r="AJ219" s="4" t="s">
        <v>241</v>
      </c>
      <c r="AK219" s="36">
        <v>2315</v>
      </c>
      <c r="AL219" s="30">
        <v>460685000</v>
      </c>
      <c r="AM219" s="30">
        <v>166</v>
      </c>
      <c r="AN219" s="30">
        <v>32940270</v>
      </c>
      <c r="AO219" s="30">
        <v>1108</v>
      </c>
      <c r="AP219" s="30">
        <v>212668553</v>
      </c>
      <c r="AQ219" s="30">
        <v>1572</v>
      </c>
      <c r="AR219" s="30">
        <v>300536536</v>
      </c>
      <c r="AS219" s="52">
        <f t="shared" si="31"/>
        <v>0.67904967602591793</v>
      </c>
    </row>
    <row r="220" spans="2:45" x14ac:dyDescent="0.3">
      <c r="B220" s="32" t="s">
        <v>305</v>
      </c>
      <c r="C220" s="10" t="str">
        <f t="shared" ref="C220:C283" si="35">MID(B220,3,5)</f>
        <v>DJ780</v>
      </c>
      <c r="D220" s="10" t="s">
        <v>55</v>
      </c>
      <c r="E220" s="10" t="str">
        <f t="shared" si="32"/>
        <v>W</v>
      </c>
      <c r="F220" s="10" t="str">
        <f t="shared" si="33"/>
        <v>DJ</v>
      </c>
      <c r="G220" s="10" t="s">
        <v>56</v>
      </c>
      <c r="H220" s="4" t="s">
        <v>306</v>
      </c>
      <c r="I220" s="10" t="s">
        <v>78</v>
      </c>
      <c r="J220" s="4" t="str">
        <f t="shared" ref="J220:J283" si="36">IF(B220=B219,"",1)</f>
        <v/>
      </c>
      <c r="K220" s="4">
        <v>1</v>
      </c>
      <c r="L220" s="30">
        <v>199000</v>
      </c>
      <c r="M220" s="78" t="s">
        <v>83</v>
      </c>
      <c r="N220" s="98" t="s">
        <v>307</v>
      </c>
      <c r="O220" s="10" t="s">
        <v>61</v>
      </c>
      <c r="P220" s="63">
        <v>100</v>
      </c>
      <c r="Q220" s="94" t="s">
        <v>119</v>
      </c>
      <c r="R220" s="63" t="s">
        <v>301</v>
      </c>
      <c r="S220" s="96" t="s">
        <v>302</v>
      </c>
      <c r="T220" s="10" t="s">
        <v>65</v>
      </c>
      <c r="U220" s="10"/>
      <c r="V220" s="10" t="s">
        <v>66</v>
      </c>
      <c r="W220" s="10"/>
      <c r="X220" s="9" t="s">
        <v>67</v>
      </c>
      <c r="Y220" s="10" t="s">
        <v>88</v>
      </c>
      <c r="Z220" s="94" t="s">
        <v>89</v>
      </c>
      <c r="AA220" s="94" t="s">
        <v>90</v>
      </c>
      <c r="AB220" s="9" t="s">
        <v>91</v>
      </c>
      <c r="AC220" s="68" t="s">
        <v>92</v>
      </c>
      <c r="AD220" s="69" t="str">
        <f t="shared" si="34"/>
        <v>(다운백 없음)</v>
      </c>
      <c r="AE220" s="65" t="s">
        <v>73</v>
      </c>
      <c r="AF220" s="39" t="s">
        <v>308</v>
      </c>
      <c r="AG220" s="10" t="s">
        <v>75</v>
      </c>
      <c r="AH220" s="4">
        <v>650</v>
      </c>
      <c r="AI220" s="11" t="s">
        <v>76</v>
      </c>
      <c r="AJ220" s="4" t="s">
        <v>241</v>
      </c>
      <c r="AK220" s="36">
        <v>3013</v>
      </c>
      <c r="AL220" s="30">
        <v>599587000</v>
      </c>
      <c r="AM220" s="30">
        <v>243</v>
      </c>
      <c r="AN220" s="30">
        <v>48232297</v>
      </c>
      <c r="AO220" s="30">
        <v>1563</v>
      </c>
      <c r="AP220" s="30">
        <v>295397586</v>
      </c>
      <c r="AQ220" s="30">
        <v>2292</v>
      </c>
      <c r="AR220" s="30">
        <v>428645736</v>
      </c>
      <c r="AS220" s="52">
        <f t="shared" ref="AS220:AS283" si="37">AQ220/AK220</f>
        <v>0.76070361765682049</v>
      </c>
    </row>
    <row r="221" spans="2:45" x14ac:dyDescent="0.3">
      <c r="B221" s="32" t="s">
        <v>309</v>
      </c>
      <c r="C221" s="10" t="str">
        <f t="shared" si="35"/>
        <v>DJ790</v>
      </c>
      <c r="D221" s="10" t="s">
        <v>55</v>
      </c>
      <c r="E221" s="10" t="str">
        <f t="shared" si="32"/>
        <v>M</v>
      </c>
      <c r="F221" s="10" t="str">
        <f t="shared" si="33"/>
        <v>DJ</v>
      </c>
      <c r="G221" s="10" t="s">
        <v>56</v>
      </c>
      <c r="H221" s="4" t="s">
        <v>310</v>
      </c>
      <c r="I221" s="10" t="s">
        <v>215</v>
      </c>
      <c r="J221" s="4">
        <f t="shared" si="36"/>
        <v>1</v>
      </c>
      <c r="K221" s="4">
        <v>1</v>
      </c>
      <c r="L221" s="30">
        <v>279000</v>
      </c>
      <c r="M221" s="78" t="s">
        <v>83</v>
      </c>
      <c r="N221" s="98" t="s">
        <v>304</v>
      </c>
      <c r="O221" s="10" t="s">
        <v>61</v>
      </c>
      <c r="P221" s="63">
        <v>100</v>
      </c>
      <c r="Q221" s="94" t="s">
        <v>119</v>
      </c>
      <c r="R221" s="63" t="s">
        <v>301</v>
      </c>
      <c r="S221" s="96" t="s">
        <v>302</v>
      </c>
      <c r="T221" s="10" t="s">
        <v>65</v>
      </c>
      <c r="U221" s="10"/>
      <c r="V221" s="10" t="s">
        <v>66</v>
      </c>
      <c r="W221" s="10"/>
      <c r="X221" s="9" t="s">
        <v>67</v>
      </c>
      <c r="Y221" s="10" t="s">
        <v>88</v>
      </c>
      <c r="Z221" s="94" t="s">
        <v>89</v>
      </c>
      <c r="AA221" s="94" t="s">
        <v>90</v>
      </c>
      <c r="AB221" s="9" t="s">
        <v>91</v>
      </c>
      <c r="AC221" s="68" t="s">
        <v>92</v>
      </c>
      <c r="AD221" s="69" t="str">
        <f t="shared" si="34"/>
        <v>(다운백 없음)</v>
      </c>
      <c r="AE221" s="65" t="s">
        <v>73</v>
      </c>
      <c r="AF221" s="39" t="s">
        <v>311</v>
      </c>
      <c r="AG221" s="10" t="s">
        <v>75</v>
      </c>
      <c r="AH221" s="4">
        <v>650</v>
      </c>
      <c r="AI221" s="11" t="s">
        <v>76</v>
      </c>
      <c r="AJ221" s="4" t="s">
        <v>241</v>
      </c>
      <c r="AK221" s="36">
        <v>4321</v>
      </c>
      <c r="AL221" s="30">
        <v>1205559000</v>
      </c>
      <c r="AM221" s="30">
        <v>200</v>
      </c>
      <c r="AN221" s="30">
        <v>38953530</v>
      </c>
      <c r="AO221" s="30">
        <v>2001</v>
      </c>
      <c r="AP221" s="30">
        <v>426187355</v>
      </c>
      <c r="AQ221" s="30">
        <v>3265</v>
      </c>
      <c r="AR221" s="30">
        <v>672079275</v>
      </c>
      <c r="AS221" s="52">
        <f t="shared" si="37"/>
        <v>0.75561212682249479</v>
      </c>
    </row>
    <row r="222" spans="2:45" x14ac:dyDescent="0.3">
      <c r="B222" s="32" t="s">
        <v>309</v>
      </c>
      <c r="C222" s="10" t="str">
        <f t="shared" si="35"/>
        <v>DJ790</v>
      </c>
      <c r="D222" s="10" t="s">
        <v>55</v>
      </c>
      <c r="E222" s="10" t="str">
        <f t="shared" si="32"/>
        <v>M</v>
      </c>
      <c r="F222" s="10" t="str">
        <f t="shared" si="33"/>
        <v>DJ</v>
      </c>
      <c r="G222" s="10" t="s">
        <v>56</v>
      </c>
      <c r="H222" s="4" t="s">
        <v>310</v>
      </c>
      <c r="I222" s="10" t="s">
        <v>281</v>
      </c>
      <c r="J222" s="4" t="str">
        <f t="shared" si="36"/>
        <v/>
      </c>
      <c r="K222" s="4">
        <v>1</v>
      </c>
      <c r="L222" s="30">
        <v>279000</v>
      </c>
      <c r="M222" s="78" t="s">
        <v>83</v>
      </c>
      <c r="N222" s="98" t="s">
        <v>304</v>
      </c>
      <c r="O222" s="10" t="s">
        <v>61</v>
      </c>
      <c r="P222" s="63">
        <v>100</v>
      </c>
      <c r="Q222" s="94" t="s">
        <v>119</v>
      </c>
      <c r="R222" s="63" t="s">
        <v>301</v>
      </c>
      <c r="S222" s="96" t="s">
        <v>302</v>
      </c>
      <c r="T222" s="10" t="s">
        <v>65</v>
      </c>
      <c r="U222" s="10"/>
      <c r="V222" s="10" t="s">
        <v>66</v>
      </c>
      <c r="W222" s="10"/>
      <c r="X222" s="9" t="s">
        <v>67</v>
      </c>
      <c r="Y222" s="10" t="s">
        <v>88</v>
      </c>
      <c r="Z222" s="94" t="s">
        <v>89</v>
      </c>
      <c r="AA222" s="94" t="s">
        <v>90</v>
      </c>
      <c r="AB222" s="9" t="s">
        <v>91</v>
      </c>
      <c r="AC222" s="68" t="s">
        <v>92</v>
      </c>
      <c r="AD222" s="69" t="str">
        <f t="shared" si="34"/>
        <v>(다운백 없음)</v>
      </c>
      <c r="AE222" s="65" t="s">
        <v>73</v>
      </c>
      <c r="AF222" s="39" t="s">
        <v>311</v>
      </c>
      <c r="AG222" s="10" t="s">
        <v>75</v>
      </c>
      <c r="AH222" s="4">
        <v>650</v>
      </c>
      <c r="AI222" s="11" t="s">
        <v>76</v>
      </c>
      <c r="AJ222" s="4" t="s">
        <v>241</v>
      </c>
      <c r="AK222" s="36">
        <v>1205</v>
      </c>
      <c r="AL222" s="30">
        <v>336195000</v>
      </c>
      <c r="AM222" s="30">
        <v>49</v>
      </c>
      <c r="AN222" s="30">
        <v>9486580</v>
      </c>
      <c r="AO222" s="30">
        <v>751</v>
      </c>
      <c r="AP222" s="30">
        <v>158949883</v>
      </c>
      <c r="AQ222" s="30">
        <v>1078</v>
      </c>
      <c r="AR222" s="30">
        <v>222339044</v>
      </c>
      <c r="AS222" s="52">
        <f t="shared" si="37"/>
        <v>0.89460580912863075</v>
      </c>
    </row>
    <row r="223" spans="2:45" x14ac:dyDescent="0.3">
      <c r="B223" s="32" t="s">
        <v>309</v>
      </c>
      <c r="C223" s="10" t="str">
        <f t="shared" si="35"/>
        <v>DJ790</v>
      </c>
      <c r="D223" s="10" t="s">
        <v>55</v>
      </c>
      <c r="E223" s="10" t="str">
        <f t="shared" si="32"/>
        <v>M</v>
      </c>
      <c r="F223" s="10" t="str">
        <f t="shared" si="33"/>
        <v>DJ</v>
      </c>
      <c r="G223" s="10" t="s">
        <v>56</v>
      </c>
      <c r="H223" s="4" t="s">
        <v>310</v>
      </c>
      <c r="I223" s="10" t="s">
        <v>78</v>
      </c>
      <c r="J223" s="4" t="str">
        <f t="shared" si="36"/>
        <v/>
      </c>
      <c r="K223" s="4">
        <v>1</v>
      </c>
      <c r="L223" s="30">
        <v>279000</v>
      </c>
      <c r="M223" s="78" t="s">
        <v>83</v>
      </c>
      <c r="N223" s="98" t="s">
        <v>304</v>
      </c>
      <c r="O223" s="10" t="s">
        <v>61</v>
      </c>
      <c r="P223" s="63">
        <v>100</v>
      </c>
      <c r="Q223" s="94" t="s">
        <v>119</v>
      </c>
      <c r="R223" s="63" t="s">
        <v>301</v>
      </c>
      <c r="S223" s="96" t="s">
        <v>302</v>
      </c>
      <c r="T223" s="10" t="s">
        <v>65</v>
      </c>
      <c r="U223" s="10"/>
      <c r="V223" s="10" t="s">
        <v>66</v>
      </c>
      <c r="W223" s="10"/>
      <c r="X223" s="9" t="s">
        <v>67</v>
      </c>
      <c r="Y223" s="10" t="s">
        <v>88</v>
      </c>
      <c r="Z223" s="94" t="s">
        <v>89</v>
      </c>
      <c r="AA223" s="94" t="s">
        <v>90</v>
      </c>
      <c r="AB223" s="9" t="s">
        <v>91</v>
      </c>
      <c r="AC223" s="68" t="s">
        <v>92</v>
      </c>
      <c r="AD223" s="69" t="str">
        <f t="shared" si="34"/>
        <v>(다운백 없음)</v>
      </c>
      <c r="AE223" s="65" t="s">
        <v>73</v>
      </c>
      <c r="AF223" s="39" t="s">
        <v>311</v>
      </c>
      <c r="AG223" s="10" t="s">
        <v>75</v>
      </c>
      <c r="AH223" s="4">
        <v>650</v>
      </c>
      <c r="AI223" s="11" t="s">
        <v>76</v>
      </c>
      <c r="AJ223" s="4" t="s">
        <v>241</v>
      </c>
      <c r="AK223" s="36">
        <v>12813</v>
      </c>
      <c r="AL223" s="30">
        <v>3574827000</v>
      </c>
      <c r="AM223" s="30">
        <v>754</v>
      </c>
      <c r="AN223" s="30">
        <v>146782250</v>
      </c>
      <c r="AO223" s="30">
        <v>5685</v>
      </c>
      <c r="AP223" s="30">
        <v>1175236703</v>
      </c>
      <c r="AQ223" s="30">
        <v>10329</v>
      </c>
      <c r="AR223" s="30">
        <v>2072729026</v>
      </c>
      <c r="AS223" s="52">
        <f t="shared" si="37"/>
        <v>0.80613439475532667</v>
      </c>
    </row>
    <row r="224" spans="2:45" x14ac:dyDescent="0.3">
      <c r="B224" s="32" t="s">
        <v>309</v>
      </c>
      <c r="C224" s="10" t="str">
        <f t="shared" si="35"/>
        <v>DJ790</v>
      </c>
      <c r="D224" s="10" t="s">
        <v>55</v>
      </c>
      <c r="E224" s="10" t="str">
        <f t="shared" si="32"/>
        <v>M</v>
      </c>
      <c r="F224" s="10" t="str">
        <f t="shared" si="33"/>
        <v>DJ</v>
      </c>
      <c r="G224" s="10" t="s">
        <v>56</v>
      </c>
      <c r="H224" s="4" t="s">
        <v>310</v>
      </c>
      <c r="I224" s="10" t="s">
        <v>82</v>
      </c>
      <c r="J224" s="4" t="str">
        <f t="shared" si="36"/>
        <v/>
      </c>
      <c r="K224" s="4">
        <v>1</v>
      </c>
      <c r="L224" s="30">
        <v>279000</v>
      </c>
      <c r="M224" s="78" t="s">
        <v>83</v>
      </c>
      <c r="N224" s="98" t="s">
        <v>304</v>
      </c>
      <c r="O224" s="10" t="s">
        <v>61</v>
      </c>
      <c r="P224" s="63">
        <v>100</v>
      </c>
      <c r="Q224" s="94" t="s">
        <v>119</v>
      </c>
      <c r="R224" s="63" t="s">
        <v>301</v>
      </c>
      <c r="S224" s="96" t="s">
        <v>302</v>
      </c>
      <c r="T224" s="10" t="s">
        <v>65</v>
      </c>
      <c r="U224" s="10"/>
      <c r="V224" s="10" t="s">
        <v>66</v>
      </c>
      <c r="W224" s="10"/>
      <c r="X224" s="9" t="s">
        <v>67</v>
      </c>
      <c r="Y224" s="10" t="s">
        <v>88</v>
      </c>
      <c r="Z224" s="94" t="s">
        <v>89</v>
      </c>
      <c r="AA224" s="94" t="s">
        <v>90</v>
      </c>
      <c r="AB224" s="9" t="s">
        <v>91</v>
      </c>
      <c r="AC224" s="68" t="s">
        <v>92</v>
      </c>
      <c r="AD224" s="69" t="str">
        <f t="shared" si="34"/>
        <v>(다운백 없음)</v>
      </c>
      <c r="AE224" s="65" t="s">
        <v>73</v>
      </c>
      <c r="AF224" s="39" t="s">
        <v>311</v>
      </c>
      <c r="AG224" s="10" t="s">
        <v>75</v>
      </c>
      <c r="AH224" s="4">
        <v>650</v>
      </c>
      <c r="AI224" s="11" t="s">
        <v>76</v>
      </c>
      <c r="AJ224" s="4" t="s">
        <v>241</v>
      </c>
      <c r="AK224" s="36">
        <v>3720</v>
      </c>
      <c r="AL224" s="30">
        <v>1037880000</v>
      </c>
      <c r="AM224" s="30">
        <v>154</v>
      </c>
      <c r="AN224" s="30">
        <v>29953270</v>
      </c>
      <c r="AO224" s="30">
        <v>1147</v>
      </c>
      <c r="AP224" s="30">
        <v>238186903</v>
      </c>
      <c r="AQ224" s="30">
        <v>1910</v>
      </c>
      <c r="AR224" s="30">
        <v>386117123</v>
      </c>
      <c r="AS224" s="52">
        <f t="shared" si="37"/>
        <v>0.51344086021505375</v>
      </c>
    </row>
    <row r="225" spans="2:45" x14ac:dyDescent="0.3">
      <c r="B225" s="32" t="s">
        <v>312</v>
      </c>
      <c r="C225" s="10" t="str">
        <f t="shared" si="35"/>
        <v>DJ800</v>
      </c>
      <c r="D225" s="10" t="s">
        <v>55</v>
      </c>
      <c r="E225" s="10" t="str">
        <f t="shared" si="32"/>
        <v>W</v>
      </c>
      <c r="F225" s="10" t="str">
        <f t="shared" si="33"/>
        <v>DJ</v>
      </c>
      <c r="G225" s="10" t="s">
        <v>56</v>
      </c>
      <c r="H225" s="4" t="s">
        <v>313</v>
      </c>
      <c r="I225" s="10" t="s">
        <v>82</v>
      </c>
      <c r="J225" s="4">
        <f t="shared" si="36"/>
        <v>1</v>
      </c>
      <c r="K225" s="4">
        <v>1</v>
      </c>
      <c r="L225" s="43">
        <v>279000</v>
      </c>
      <c r="M225" s="78" t="str">
        <f>M224</f>
        <v>영보</v>
      </c>
      <c r="N225" s="98" t="s">
        <v>307</v>
      </c>
      <c r="O225" s="10" t="str">
        <f>O224</f>
        <v xml:space="preserve">POLYESTER </v>
      </c>
      <c r="P225" s="63">
        <v>100</v>
      </c>
      <c r="Q225" s="94" t="str">
        <f>Q224</f>
        <v>50D</v>
      </c>
      <c r="R225" s="63" t="s">
        <v>301</v>
      </c>
      <c r="S225" s="96" t="s">
        <v>302</v>
      </c>
      <c r="T225" s="10" t="str">
        <f>T224</f>
        <v>Single L</v>
      </c>
      <c r="U225" s="10"/>
      <c r="V225" s="10" t="str">
        <f>V224</f>
        <v>WR</v>
      </c>
      <c r="W225" s="10"/>
      <c r="X225" s="9" t="s">
        <v>67</v>
      </c>
      <c r="Y225" s="10" t="s">
        <v>88</v>
      </c>
      <c r="Z225" s="94" t="s">
        <v>89</v>
      </c>
      <c r="AA225" s="94" t="str">
        <f>AA224</f>
        <v>GU_LV2</v>
      </c>
      <c r="AB225" s="9" t="s">
        <v>91</v>
      </c>
      <c r="AC225" s="68" t="s">
        <v>92</v>
      </c>
      <c r="AD225" s="69" t="str">
        <f t="shared" si="34"/>
        <v>(다운백 없음)</v>
      </c>
      <c r="AE225" s="65" t="s">
        <v>73</v>
      </c>
      <c r="AF225" s="39" t="s">
        <v>314</v>
      </c>
      <c r="AG225" s="10" t="s">
        <v>75</v>
      </c>
      <c r="AH225" s="4">
        <v>650</v>
      </c>
      <c r="AI225" s="11" t="s">
        <v>76</v>
      </c>
      <c r="AJ225" s="4" t="s">
        <v>241</v>
      </c>
      <c r="AK225" s="36">
        <v>2008</v>
      </c>
      <c r="AL225" s="30">
        <v>560232000</v>
      </c>
      <c r="AM225" s="30">
        <v>52</v>
      </c>
      <c r="AN225" s="30">
        <v>10160830</v>
      </c>
      <c r="AO225" s="30">
        <v>1123</v>
      </c>
      <c r="AP225" s="30">
        <v>240984855</v>
      </c>
      <c r="AQ225" s="30">
        <v>1630</v>
      </c>
      <c r="AR225" s="30">
        <v>339158945</v>
      </c>
      <c r="AS225" s="52">
        <f t="shared" si="37"/>
        <v>0.81175298804780871</v>
      </c>
    </row>
    <row r="226" spans="2:45" x14ac:dyDescent="0.3">
      <c r="B226" s="32" t="s">
        <v>312</v>
      </c>
      <c r="C226" s="10" t="str">
        <f t="shared" si="35"/>
        <v>DJ800</v>
      </c>
      <c r="D226" s="10" t="s">
        <v>55</v>
      </c>
      <c r="E226" s="10" t="str">
        <f t="shared" si="32"/>
        <v>W</v>
      </c>
      <c r="F226" s="10" t="str">
        <f t="shared" si="33"/>
        <v>DJ</v>
      </c>
      <c r="G226" s="10" t="s">
        <v>56</v>
      </c>
      <c r="H226" s="4" t="s">
        <v>313</v>
      </c>
      <c r="I226" s="10" t="s">
        <v>78</v>
      </c>
      <c r="J226" s="4" t="str">
        <f t="shared" si="36"/>
        <v/>
      </c>
      <c r="K226" s="4">
        <v>1</v>
      </c>
      <c r="L226" s="43">
        <v>279000</v>
      </c>
      <c r="M226" s="78" t="s">
        <v>83</v>
      </c>
      <c r="N226" s="98" t="s">
        <v>307</v>
      </c>
      <c r="O226" s="10" t="s">
        <v>61</v>
      </c>
      <c r="P226" s="63">
        <v>100</v>
      </c>
      <c r="Q226" s="94" t="s">
        <v>119</v>
      </c>
      <c r="R226" s="63" t="s">
        <v>301</v>
      </c>
      <c r="S226" s="96" t="s">
        <v>302</v>
      </c>
      <c r="T226" s="10" t="s">
        <v>182</v>
      </c>
      <c r="U226" s="10"/>
      <c r="V226" s="10" t="s">
        <v>66</v>
      </c>
      <c r="W226" s="10"/>
      <c r="X226" s="9" t="s">
        <v>67</v>
      </c>
      <c r="Y226" s="10" t="s">
        <v>88</v>
      </c>
      <c r="Z226" s="94" t="s">
        <v>89</v>
      </c>
      <c r="AA226" s="94" t="s">
        <v>90</v>
      </c>
      <c r="AB226" s="9" t="s">
        <v>91</v>
      </c>
      <c r="AC226" s="68" t="s">
        <v>92</v>
      </c>
      <c r="AD226" s="69" t="str">
        <f t="shared" si="34"/>
        <v>(다운백 없음)</v>
      </c>
      <c r="AE226" s="65" t="s">
        <v>73</v>
      </c>
      <c r="AF226" s="39" t="s">
        <v>314</v>
      </c>
      <c r="AG226" s="10" t="s">
        <v>75</v>
      </c>
      <c r="AH226" s="4">
        <v>650</v>
      </c>
      <c r="AI226" s="11" t="s">
        <v>76</v>
      </c>
      <c r="AJ226" s="4" t="s">
        <v>241</v>
      </c>
      <c r="AK226" s="36">
        <v>2512</v>
      </c>
      <c r="AL226" s="30">
        <v>700848000</v>
      </c>
      <c r="AM226" s="30">
        <v>100</v>
      </c>
      <c r="AN226" s="30">
        <v>19510360</v>
      </c>
      <c r="AO226" s="30">
        <v>1594</v>
      </c>
      <c r="AP226" s="30">
        <v>340225084</v>
      </c>
      <c r="AQ226" s="30">
        <v>2275</v>
      </c>
      <c r="AR226" s="30">
        <v>471060694</v>
      </c>
      <c r="AS226" s="52">
        <f t="shared" si="37"/>
        <v>0.90565286624203822</v>
      </c>
    </row>
    <row r="227" spans="2:45" x14ac:dyDescent="0.3">
      <c r="B227" s="32" t="s">
        <v>312</v>
      </c>
      <c r="C227" s="10" t="str">
        <f t="shared" si="35"/>
        <v>DJ800</v>
      </c>
      <c r="D227" s="10" t="s">
        <v>55</v>
      </c>
      <c r="E227" s="10" t="str">
        <f t="shared" si="32"/>
        <v>W</v>
      </c>
      <c r="F227" s="10" t="str">
        <f t="shared" si="33"/>
        <v>DJ</v>
      </c>
      <c r="G227" s="10" t="s">
        <v>56</v>
      </c>
      <c r="H227" s="4" t="s">
        <v>313</v>
      </c>
      <c r="I227" s="10" t="s">
        <v>79</v>
      </c>
      <c r="J227" s="4" t="str">
        <f t="shared" si="36"/>
        <v/>
      </c>
      <c r="K227" s="4">
        <v>1</v>
      </c>
      <c r="L227" s="43">
        <v>279000</v>
      </c>
      <c r="M227" s="78" t="s">
        <v>83</v>
      </c>
      <c r="N227" s="98" t="s">
        <v>307</v>
      </c>
      <c r="O227" s="10" t="s">
        <v>61</v>
      </c>
      <c r="P227" s="63">
        <v>100</v>
      </c>
      <c r="Q227" s="94" t="s">
        <v>119</v>
      </c>
      <c r="R227" s="63" t="s">
        <v>301</v>
      </c>
      <c r="S227" s="96" t="s">
        <v>302</v>
      </c>
      <c r="T227" s="10" t="s">
        <v>182</v>
      </c>
      <c r="U227" s="10"/>
      <c r="V227" s="10" t="s">
        <v>66</v>
      </c>
      <c r="W227" s="10"/>
      <c r="X227" s="9" t="s">
        <v>67</v>
      </c>
      <c r="Y227" s="10" t="s">
        <v>88</v>
      </c>
      <c r="Z227" s="94" t="s">
        <v>89</v>
      </c>
      <c r="AA227" s="94" t="s">
        <v>90</v>
      </c>
      <c r="AB227" s="9" t="s">
        <v>91</v>
      </c>
      <c r="AC227" s="68" t="s">
        <v>92</v>
      </c>
      <c r="AD227" s="69" t="str">
        <f t="shared" si="34"/>
        <v>(다운백 없음)</v>
      </c>
      <c r="AE227" s="65" t="s">
        <v>73</v>
      </c>
      <c r="AF227" s="39" t="s">
        <v>314</v>
      </c>
      <c r="AG227" s="10" t="s">
        <v>75</v>
      </c>
      <c r="AH227" s="4">
        <v>650</v>
      </c>
      <c r="AI227" s="11" t="s">
        <v>76</v>
      </c>
      <c r="AJ227" s="4" t="s">
        <v>241</v>
      </c>
      <c r="AK227" s="36">
        <v>2514</v>
      </c>
      <c r="AL227" s="30">
        <v>701406000</v>
      </c>
      <c r="AM227" s="30">
        <v>49</v>
      </c>
      <c r="AN227" s="30">
        <v>9491620</v>
      </c>
      <c r="AO227" s="30">
        <v>758</v>
      </c>
      <c r="AP227" s="30">
        <v>161726804</v>
      </c>
      <c r="AQ227" s="30">
        <v>1303</v>
      </c>
      <c r="AR227" s="30">
        <v>266993815</v>
      </c>
      <c r="AS227" s="52">
        <f t="shared" si="37"/>
        <v>0.51829753381066035</v>
      </c>
    </row>
    <row r="228" spans="2:45" x14ac:dyDescent="0.3">
      <c r="B228" s="32" t="s">
        <v>315</v>
      </c>
      <c r="C228" s="10" t="str">
        <f t="shared" si="35"/>
        <v>DJ810</v>
      </c>
      <c r="D228" s="10" t="s">
        <v>55</v>
      </c>
      <c r="E228" s="10" t="str">
        <f t="shared" si="32"/>
        <v>M</v>
      </c>
      <c r="F228" s="10" t="str">
        <f t="shared" si="33"/>
        <v>DJ</v>
      </c>
      <c r="G228" s="10" t="s">
        <v>56</v>
      </c>
      <c r="H228" s="4" t="s">
        <v>316</v>
      </c>
      <c r="I228" s="10" t="s">
        <v>78</v>
      </c>
      <c r="J228" s="4">
        <f t="shared" si="36"/>
        <v>1</v>
      </c>
      <c r="K228" s="4">
        <v>1</v>
      </c>
      <c r="L228" s="30">
        <v>299000</v>
      </c>
      <c r="M228" s="78" t="s">
        <v>83</v>
      </c>
      <c r="N228" s="98" t="s">
        <v>304</v>
      </c>
      <c r="O228" s="10" t="s">
        <v>61</v>
      </c>
      <c r="P228" s="63">
        <v>100</v>
      </c>
      <c r="Q228" s="94" t="s">
        <v>119</v>
      </c>
      <c r="R228" s="63" t="s">
        <v>301</v>
      </c>
      <c r="S228" s="96" t="s">
        <v>302</v>
      </c>
      <c r="T228" s="10" t="s">
        <v>65</v>
      </c>
      <c r="U228" s="10"/>
      <c r="V228" s="10" t="s">
        <v>66</v>
      </c>
      <c r="W228" s="10"/>
      <c r="X228" s="9" t="s">
        <v>67</v>
      </c>
      <c r="Y228" s="10" t="s">
        <v>88</v>
      </c>
      <c r="Z228" s="94" t="s">
        <v>89</v>
      </c>
      <c r="AA228" s="94" t="s">
        <v>90</v>
      </c>
      <c r="AB228" s="9" t="s">
        <v>91</v>
      </c>
      <c r="AC228" s="68" t="s">
        <v>92</v>
      </c>
      <c r="AD228" s="69" t="str">
        <f t="shared" si="34"/>
        <v>(다운백 없음)</v>
      </c>
      <c r="AE228" s="65" t="s">
        <v>73</v>
      </c>
      <c r="AF228" s="39" t="s">
        <v>317</v>
      </c>
      <c r="AG228" s="10" t="s">
        <v>75</v>
      </c>
      <c r="AH228" s="4">
        <v>650</v>
      </c>
      <c r="AI228" s="11" t="s">
        <v>76</v>
      </c>
      <c r="AJ228" s="4" t="s">
        <v>241</v>
      </c>
      <c r="AK228" s="36">
        <v>3996</v>
      </c>
      <c r="AL228" s="30">
        <v>1194804000</v>
      </c>
      <c r="AM228" s="30">
        <v>336</v>
      </c>
      <c r="AN228" s="30">
        <v>69851610</v>
      </c>
      <c r="AO228" s="30">
        <v>2259</v>
      </c>
      <c r="AP228" s="30">
        <v>501646894</v>
      </c>
      <c r="AQ228" s="30">
        <v>3668</v>
      </c>
      <c r="AR228" s="30">
        <v>795065064</v>
      </c>
      <c r="AS228" s="52">
        <f t="shared" si="37"/>
        <v>0.91791791791791788</v>
      </c>
    </row>
    <row r="229" spans="2:45" x14ac:dyDescent="0.3">
      <c r="B229" s="32" t="s">
        <v>315</v>
      </c>
      <c r="C229" s="10" t="str">
        <f t="shared" si="35"/>
        <v>DJ810</v>
      </c>
      <c r="D229" s="10" t="s">
        <v>55</v>
      </c>
      <c r="E229" s="10" t="str">
        <f t="shared" si="32"/>
        <v>M</v>
      </c>
      <c r="F229" s="10" t="str">
        <f t="shared" si="33"/>
        <v>DJ</v>
      </c>
      <c r="G229" s="10" t="s">
        <v>56</v>
      </c>
      <c r="H229" s="4" t="s">
        <v>316</v>
      </c>
      <c r="I229" s="10" t="s">
        <v>318</v>
      </c>
      <c r="J229" s="4" t="str">
        <f t="shared" si="36"/>
        <v/>
      </c>
      <c r="K229" s="4">
        <v>1</v>
      </c>
      <c r="L229" s="30">
        <v>299000</v>
      </c>
      <c r="M229" s="78" t="s">
        <v>83</v>
      </c>
      <c r="N229" s="98" t="s">
        <v>304</v>
      </c>
      <c r="O229" s="10" t="s">
        <v>61</v>
      </c>
      <c r="P229" s="63">
        <v>100</v>
      </c>
      <c r="Q229" s="94" t="s">
        <v>119</v>
      </c>
      <c r="R229" s="63" t="s">
        <v>301</v>
      </c>
      <c r="S229" s="96" t="s">
        <v>302</v>
      </c>
      <c r="T229" s="10" t="s">
        <v>65</v>
      </c>
      <c r="U229" s="10"/>
      <c r="V229" s="10" t="s">
        <v>66</v>
      </c>
      <c r="W229" s="10"/>
      <c r="X229" s="9" t="s">
        <v>67</v>
      </c>
      <c r="Y229" s="10" t="s">
        <v>88</v>
      </c>
      <c r="Z229" s="94" t="s">
        <v>89</v>
      </c>
      <c r="AA229" s="94" t="s">
        <v>90</v>
      </c>
      <c r="AB229" s="9" t="s">
        <v>91</v>
      </c>
      <c r="AC229" s="68" t="s">
        <v>92</v>
      </c>
      <c r="AD229" s="69" t="str">
        <f t="shared" si="34"/>
        <v>(다운백 없음)</v>
      </c>
      <c r="AE229" s="65" t="s">
        <v>73</v>
      </c>
      <c r="AF229" s="39" t="s">
        <v>317</v>
      </c>
      <c r="AG229" s="10" t="s">
        <v>75</v>
      </c>
      <c r="AH229" s="4">
        <v>650</v>
      </c>
      <c r="AI229" s="11" t="s">
        <v>76</v>
      </c>
      <c r="AJ229" s="4" t="s">
        <v>241</v>
      </c>
      <c r="AK229" s="36">
        <v>1309</v>
      </c>
      <c r="AL229" s="30">
        <v>391391000</v>
      </c>
      <c r="AM229" s="30">
        <v>75</v>
      </c>
      <c r="AN229" s="30">
        <v>15538600</v>
      </c>
      <c r="AO229" s="30">
        <v>630</v>
      </c>
      <c r="AP229" s="30">
        <v>141971625</v>
      </c>
      <c r="AQ229" s="30">
        <v>1071</v>
      </c>
      <c r="AR229" s="30">
        <v>233344319</v>
      </c>
      <c r="AS229" s="52">
        <f t="shared" si="37"/>
        <v>0.81818181818181823</v>
      </c>
    </row>
    <row r="230" spans="2:45" x14ac:dyDescent="0.3">
      <c r="B230" s="32" t="s">
        <v>315</v>
      </c>
      <c r="C230" s="10" t="str">
        <f t="shared" si="35"/>
        <v>DJ810</v>
      </c>
      <c r="D230" s="10" t="s">
        <v>55</v>
      </c>
      <c r="E230" s="10" t="str">
        <f t="shared" si="32"/>
        <v>M</v>
      </c>
      <c r="F230" s="10" t="str">
        <f t="shared" si="33"/>
        <v>DJ</v>
      </c>
      <c r="G230" s="10" t="s">
        <v>56</v>
      </c>
      <c r="H230" s="4" t="s">
        <v>316</v>
      </c>
      <c r="I230" s="10" t="s">
        <v>105</v>
      </c>
      <c r="J230" s="4" t="str">
        <f t="shared" si="36"/>
        <v/>
      </c>
      <c r="K230" s="4">
        <v>1</v>
      </c>
      <c r="L230" s="30">
        <v>299000</v>
      </c>
      <c r="M230" s="78" t="s">
        <v>83</v>
      </c>
      <c r="N230" s="98" t="s">
        <v>304</v>
      </c>
      <c r="O230" s="10" t="s">
        <v>61</v>
      </c>
      <c r="P230" s="63">
        <v>100</v>
      </c>
      <c r="Q230" s="94" t="s">
        <v>119</v>
      </c>
      <c r="R230" s="63" t="s">
        <v>301</v>
      </c>
      <c r="S230" s="96" t="s">
        <v>302</v>
      </c>
      <c r="T230" s="10" t="s">
        <v>65</v>
      </c>
      <c r="U230" s="10"/>
      <c r="V230" s="10" t="s">
        <v>66</v>
      </c>
      <c r="W230" s="10"/>
      <c r="X230" s="9" t="s">
        <v>67</v>
      </c>
      <c r="Y230" s="10" t="s">
        <v>88</v>
      </c>
      <c r="Z230" s="94" t="s">
        <v>89</v>
      </c>
      <c r="AA230" s="94" t="s">
        <v>90</v>
      </c>
      <c r="AB230" s="9" t="s">
        <v>91</v>
      </c>
      <c r="AC230" s="68" t="s">
        <v>92</v>
      </c>
      <c r="AD230" s="69" t="str">
        <f t="shared" si="34"/>
        <v>(다운백 없음)</v>
      </c>
      <c r="AE230" s="65" t="s">
        <v>73</v>
      </c>
      <c r="AF230" s="39" t="s">
        <v>317</v>
      </c>
      <c r="AG230" s="10" t="s">
        <v>75</v>
      </c>
      <c r="AH230" s="4">
        <v>650</v>
      </c>
      <c r="AI230" s="11" t="s">
        <v>76</v>
      </c>
      <c r="AJ230" s="4" t="s">
        <v>241</v>
      </c>
      <c r="AK230" s="36">
        <v>2008</v>
      </c>
      <c r="AL230" s="30">
        <v>600392000</v>
      </c>
      <c r="AM230" s="30">
        <v>77</v>
      </c>
      <c r="AN230" s="30">
        <v>16117590</v>
      </c>
      <c r="AO230" s="30">
        <v>644</v>
      </c>
      <c r="AP230" s="30">
        <v>146394516</v>
      </c>
      <c r="AQ230" s="30">
        <v>1129</v>
      </c>
      <c r="AR230" s="30">
        <v>247601827</v>
      </c>
      <c r="AS230" s="52">
        <f t="shared" si="37"/>
        <v>0.5622509960159362</v>
      </c>
    </row>
    <row r="231" spans="2:45" x14ac:dyDescent="0.3">
      <c r="B231" s="32" t="s">
        <v>319</v>
      </c>
      <c r="C231" s="10" t="str">
        <f t="shared" si="35"/>
        <v>DJ820</v>
      </c>
      <c r="D231" s="10" t="s">
        <v>55</v>
      </c>
      <c r="E231" s="10" t="str">
        <f t="shared" si="32"/>
        <v>W</v>
      </c>
      <c r="F231" s="10" t="str">
        <f t="shared" si="33"/>
        <v>DJ</v>
      </c>
      <c r="G231" s="10" t="s">
        <v>56</v>
      </c>
      <c r="H231" s="4" t="s">
        <v>320</v>
      </c>
      <c r="I231" s="10" t="s">
        <v>318</v>
      </c>
      <c r="J231" s="4">
        <f t="shared" si="36"/>
        <v>1</v>
      </c>
      <c r="K231" s="4">
        <v>1</v>
      </c>
      <c r="L231" s="30">
        <v>299000</v>
      </c>
      <c r="M231" s="78" t="s">
        <v>83</v>
      </c>
      <c r="N231" s="98" t="s">
        <v>307</v>
      </c>
      <c r="O231" s="10" t="s">
        <v>61</v>
      </c>
      <c r="P231" s="63">
        <v>100</v>
      </c>
      <c r="Q231" s="94" t="s">
        <v>119</v>
      </c>
      <c r="R231" s="63" t="s">
        <v>301</v>
      </c>
      <c r="S231" s="96" t="s">
        <v>302</v>
      </c>
      <c r="T231" s="10" t="s">
        <v>65</v>
      </c>
      <c r="U231" s="10"/>
      <c r="V231" s="10" t="s">
        <v>66</v>
      </c>
      <c r="W231" s="10"/>
      <c r="X231" s="9" t="s">
        <v>67</v>
      </c>
      <c r="Y231" s="10" t="s">
        <v>88</v>
      </c>
      <c r="Z231" s="94" t="s">
        <v>89</v>
      </c>
      <c r="AA231" s="94" t="s">
        <v>90</v>
      </c>
      <c r="AB231" s="9" t="s">
        <v>91</v>
      </c>
      <c r="AC231" s="68" t="s">
        <v>92</v>
      </c>
      <c r="AD231" s="69" t="str">
        <f t="shared" si="34"/>
        <v>(다운백 없음)</v>
      </c>
      <c r="AE231" s="65" t="s">
        <v>73</v>
      </c>
      <c r="AF231" s="39" t="s">
        <v>321</v>
      </c>
      <c r="AG231" s="10" t="s">
        <v>75</v>
      </c>
      <c r="AH231" s="4">
        <v>650</v>
      </c>
      <c r="AI231" s="11" t="s">
        <v>76</v>
      </c>
      <c r="AJ231" s="4" t="s">
        <v>241</v>
      </c>
      <c r="AK231" s="36">
        <v>1207</v>
      </c>
      <c r="AL231" s="30">
        <v>360893000</v>
      </c>
      <c r="AM231" s="30">
        <v>83</v>
      </c>
      <c r="AN231" s="30">
        <v>17361900</v>
      </c>
      <c r="AO231" s="30">
        <v>681</v>
      </c>
      <c r="AP231" s="30">
        <v>157191022</v>
      </c>
      <c r="AQ231" s="30">
        <v>1040</v>
      </c>
      <c r="AR231" s="30">
        <v>232129522</v>
      </c>
      <c r="AS231" s="52">
        <f t="shared" si="37"/>
        <v>0.86164043082021546</v>
      </c>
    </row>
    <row r="232" spans="2:45" x14ac:dyDescent="0.3">
      <c r="B232" s="32" t="s">
        <v>319</v>
      </c>
      <c r="C232" s="10" t="str">
        <f t="shared" si="35"/>
        <v>DJ820</v>
      </c>
      <c r="D232" s="10" t="s">
        <v>55</v>
      </c>
      <c r="E232" s="10" t="str">
        <f t="shared" si="32"/>
        <v>W</v>
      </c>
      <c r="F232" s="10" t="str">
        <f t="shared" si="33"/>
        <v>DJ</v>
      </c>
      <c r="G232" s="10" t="s">
        <v>56</v>
      </c>
      <c r="H232" s="4" t="s">
        <v>320</v>
      </c>
      <c r="I232" s="10" t="s">
        <v>105</v>
      </c>
      <c r="J232" s="4" t="str">
        <f t="shared" si="36"/>
        <v/>
      </c>
      <c r="K232" s="4">
        <v>1</v>
      </c>
      <c r="L232" s="30">
        <v>299000</v>
      </c>
      <c r="M232" s="78" t="s">
        <v>83</v>
      </c>
      <c r="N232" s="98" t="s">
        <v>307</v>
      </c>
      <c r="O232" s="10" t="s">
        <v>61</v>
      </c>
      <c r="P232" s="63">
        <v>100</v>
      </c>
      <c r="Q232" s="94" t="s">
        <v>119</v>
      </c>
      <c r="R232" s="63" t="s">
        <v>301</v>
      </c>
      <c r="S232" s="96" t="s">
        <v>302</v>
      </c>
      <c r="T232" s="10" t="s">
        <v>65</v>
      </c>
      <c r="U232" s="10"/>
      <c r="V232" s="10" t="s">
        <v>66</v>
      </c>
      <c r="W232" s="10"/>
      <c r="X232" s="9" t="s">
        <v>67</v>
      </c>
      <c r="Y232" s="10" t="s">
        <v>88</v>
      </c>
      <c r="Z232" s="94" t="s">
        <v>89</v>
      </c>
      <c r="AA232" s="94" t="s">
        <v>90</v>
      </c>
      <c r="AB232" s="9" t="s">
        <v>91</v>
      </c>
      <c r="AC232" s="68" t="s">
        <v>92</v>
      </c>
      <c r="AD232" s="69" t="str">
        <f t="shared" si="34"/>
        <v>(다운백 없음)</v>
      </c>
      <c r="AE232" s="65" t="s">
        <v>73</v>
      </c>
      <c r="AF232" s="39" t="s">
        <v>321</v>
      </c>
      <c r="AG232" s="10" t="s">
        <v>75</v>
      </c>
      <c r="AH232" s="4">
        <v>650</v>
      </c>
      <c r="AI232" s="11" t="s">
        <v>76</v>
      </c>
      <c r="AJ232" s="4" t="s">
        <v>241</v>
      </c>
      <c r="AK232" s="36">
        <v>2008</v>
      </c>
      <c r="AL232" s="30">
        <v>600392000</v>
      </c>
      <c r="AM232" s="30">
        <v>121</v>
      </c>
      <c r="AN232" s="30">
        <v>25216149</v>
      </c>
      <c r="AO232" s="30">
        <v>1220</v>
      </c>
      <c r="AP232" s="30">
        <v>282604706</v>
      </c>
      <c r="AQ232" s="30">
        <v>1772</v>
      </c>
      <c r="AR232" s="30">
        <v>397689236</v>
      </c>
      <c r="AS232" s="52">
        <f t="shared" si="37"/>
        <v>0.88247011952191234</v>
      </c>
    </row>
    <row r="233" spans="2:45" x14ac:dyDescent="0.3">
      <c r="B233" s="32" t="s">
        <v>319</v>
      </c>
      <c r="C233" s="10" t="str">
        <f t="shared" si="35"/>
        <v>DJ820</v>
      </c>
      <c r="D233" s="10" t="s">
        <v>55</v>
      </c>
      <c r="E233" s="10" t="str">
        <f t="shared" si="32"/>
        <v>W</v>
      </c>
      <c r="F233" s="10" t="str">
        <f t="shared" si="33"/>
        <v>DJ</v>
      </c>
      <c r="G233" s="10" t="s">
        <v>56</v>
      </c>
      <c r="H233" s="4" t="s">
        <v>320</v>
      </c>
      <c r="I233" s="10" t="s">
        <v>78</v>
      </c>
      <c r="J233" s="4" t="str">
        <f t="shared" si="36"/>
        <v/>
      </c>
      <c r="K233" s="4">
        <v>1</v>
      </c>
      <c r="L233" s="30">
        <v>299000</v>
      </c>
      <c r="M233" s="78" t="s">
        <v>83</v>
      </c>
      <c r="N233" s="98" t="s">
        <v>307</v>
      </c>
      <c r="O233" s="10" t="s">
        <v>61</v>
      </c>
      <c r="P233" s="63">
        <v>100</v>
      </c>
      <c r="Q233" s="94" t="s">
        <v>119</v>
      </c>
      <c r="R233" s="63" t="s">
        <v>301</v>
      </c>
      <c r="S233" s="96" t="s">
        <v>302</v>
      </c>
      <c r="T233" s="10" t="s">
        <v>65</v>
      </c>
      <c r="U233" s="10"/>
      <c r="V233" s="10" t="s">
        <v>66</v>
      </c>
      <c r="W233" s="10"/>
      <c r="X233" s="9" t="s">
        <v>67</v>
      </c>
      <c r="Y233" s="10" t="s">
        <v>88</v>
      </c>
      <c r="Z233" s="94" t="s">
        <v>89</v>
      </c>
      <c r="AA233" s="94" t="s">
        <v>90</v>
      </c>
      <c r="AB233" s="9" t="s">
        <v>91</v>
      </c>
      <c r="AC233" s="68" t="s">
        <v>92</v>
      </c>
      <c r="AD233" s="69" t="str">
        <f t="shared" si="34"/>
        <v>(다운백 없음)</v>
      </c>
      <c r="AE233" s="65" t="s">
        <v>73</v>
      </c>
      <c r="AF233" s="39" t="s">
        <v>321</v>
      </c>
      <c r="AG233" s="10" t="s">
        <v>75</v>
      </c>
      <c r="AH233" s="4">
        <v>650</v>
      </c>
      <c r="AI233" s="11" t="s">
        <v>76</v>
      </c>
      <c r="AJ233" s="4" t="s">
        <v>241</v>
      </c>
      <c r="AK233" s="36">
        <v>2800</v>
      </c>
      <c r="AL233" s="30">
        <v>837200000</v>
      </c>
      <c r="AM233" s="30">
        <v>203</v>
      </c>
      <c r="AN233" s="30">
        <v>42404900</v>
      </c>
      <c r="AO233" s="30">
        <v>1434</v>
      </c>
      <c r="AP233" s="30">
        <v>320969240</v>
      </c>
      <c r="AQ233" s="30">
        <v>2462</v>
      </c>
      <c r="AR233" s="30">
        <v>535396220</v>
      </c>
      <c r="AS233" s="52">
        <f t="shared" si="37"/>
        <v>0.87928571428571434</v>
      </c>
    </row>
    <row r="234" spans="2:45" x14ac:dyDescent="0.3">
      <c r="B234" s="32" t="s">
        <v>322</v>
      </c>
      <c r="C234" s="39" t="str">
        <f t="shared" si="35"/>
        <v>DJ830</v>
      </c>
      <c r="D234" s="39" t="s">
        <v>55</v>
      </c>
      <c r="E234" s="39" t="str">
        <f t="shared" si="32"/>
        <v>M</v>
      </c>
      <c r="F234" s="39" t="str">
        <f t="shared" si="33"/>
        <v>DJ</v>
      </c>
      <c r="G234" s="39" t="s">
        <v>56</v>
      </c>
      <c r="H234" s="54" t="s">
        <v>323</v>
      </c>
      <c r="I234" s="39" t="s">
        <v>78</v>
      </c>
      <c r="J234" s="54">
        <f t="shared" si="36"/>
        <v>1</v>
      </c>
      <c r="K234" s="54">
        <v>1</v>
      </c>
      <c r="L234" s="107">
        <v>249000</v>
      </c>
      <c r="M234" s="78" t="s">
        <v>217</v>
      </c>
      <c r="N234" s="98" t="s">
        <v>249</v>
      </c>
      <c r="O234" s="39" t="s">
        <v>61</v>
      </c>
      <c r="P234" s="123">
        <v>100</v>
      </c>
      <c r="Q234" s="94" t="s">
        <v>119</v>
      </c>
      <c r="R234" s="123" t="s">
        <v>246</v>
      </c>
      <c r="S234" s="96" t="s">
        <v>121</v>
      </c>
      <c r="T234" s="39" t="s">
        <v>122</v>
      </c>
      <c r="U234" s="39" t="s">
        <v>250</v>
      </c>
      <c r="V234" s="39" t="s">
        <v>66</v>
      </c>
      <c r="W234" s="39"/>
      <c r="X234" s="65" t="s">
        <v>67</v>
      </c>
      <c r="Y234" s="39" t="s">
        <v>68</v>
      </c>
      <c r="Z234" s="94" t="s">
        <v>125</v>
      </c>
      <c r="AA234" s="94" t="s">
        <v>90</v>
      </c>
      <c r="AB234" s="65" t="s">
        <v>71</v>
      </c>
      <c r="AC234" s="39" t="s">
        <v>62</v>
      </c>
      <c r="AD234" s="39" t="s">
        <v>72</v>
      </c>
      <c r="AE234" s="65" t="s">
        <v>73</v>
      </c>
      <c r="AF234" s="39" t="s">
        <v>86</v>
      </c>
      <c r="AG234" s="39" t="s">
        <v>75</v>
      </c>
      <c r="AH234" s="54">
        <v>650</v>
      </c>
      <c r="AI234" s="66" t="s">
        <v>76</v>
      </c>
      <c r="AJ234" s="54" t="s">
        <v>241</v>
      </c>
      <c r="AK234" s="108">
        <v>2807</v>
      </c>
      <c r="AL234" s="107">
        <v>698943000</v>
      </c>
      <c r="AM234" s="107">
        <v>137</v>
      </c>
      <c r="AN234" s="107">
        <v>33630319</v>
      </c>
      <c r="AO234" s="107">
        <v>1456</v>
      </c>
      <c r="AP234" s="107">
        <v>346862235</v>
      </c>
      <c r="AQ234" s="107">
        <v>2307</v>
      </c>
      <c r="AR234" s="107">
        <v>546157017</v>
      </c>
      <c r="AS234" s="106">
        <f t="shared" si="37"/>
        <v>0.82187388671179196</v>
      </c>
    </row>
    <row r="235" spans="2:45" x14ac:dyDescent="0.3">
      <c r="B235" s="32" t="s">
        <v>322</v>
      </c>
      <c r="C235" s="39" t="str">
        <f t="shared" si="35"/>
        <v>DJ830</v>
      </c>
      <c r="D235" s="39" t="s">
        <v>55</v>
      </c>
      <c r="E235" s="39" t="str">
        <f t="shared" si="32"/>
        <v>M</v>
      </c>
      <c r="F235" s="39" t="str">
        <f t="shared" si="33"/>
        <v>DJ</v>
      </c>
      <c r="G235" s="39" t="s">
        <v>56</v>
      </c>
      <c r="H235" s="54" t="s">
        <v>323</v>
      </c>
      <c r="I235" s="39" t="s">
        <v>163</v>
      </c>
      <c r="J235" s="54" t="str">
        <f t="shared" si="36"/>
        <v/>
      </c>
      <c r="K235" s="54">
        <v>1</v>
      </c>
      <c r="L235" s="107">
        <v>249000</v>
      </c>
      <c r="M235" s="78" t="s">
        <v>217</v>
      </c>
      <c r="N235" s="98" t="s">
        <v>249</v>
      </c>
      <c r="O235" s="39" t="s">
        <v>61</v>
      </c>
      <c r="P235" s="123">
        <v>100</v>
      </c>
      <c r="Q235" s="94" t="s">
        <v>119</v>
      </c>
      <c r="R235" s="123" t="s">
        <v>246</v>
      </c>
      <c r="S235" s="96" t="s">
        <v>121</v>
      </c>
      <c r="T235" s="39" t="s">
        <v>122</v>
      </c>
      <c r="U235" s="39" t="s">
        <v>250</v>
      </c>
      <c r="V235" s="39" t="s">
        <v>66</v>
      </c>
      <c r="W235" s="39"/>
      <c r="X235" s="65" t="s">
        <v>67</v>
      </c>
      <c r="Y235" s="39" t="s">
        <v>68</v>
      </c>
      <c r="Z235" s="94" t="s">
        <v>125</v>
      </c>
      <c r="AA235" s="94" t="s">
        <v>90</v>
      </c>
      <c r="AB235" s="65" t="s">
        <v>71</v>
      </c>
      <c r="AC235" s="39" t="s">
        <v>62</v>
      </c>
      <c r="AD235" s="39" t="s">
        <v>72</v>
      </c>
      <c r="AE235" s="65" t="s">
        <v>73</v>
      </c>
      <c r="AF235" s="39" t="s">
        <v>86</v>
      </c>
      <c r="AG235" s="39" t="s">
        <v>75</v>
      </c>
      <c r="AH235" s="54">
        <v>650</v>
      </c>
      <c r="AI235" s="66" t="s">
        <v>76</v>
      </c>
      <c r="AJ235" s="54" t="s">
        <v>241</v>
      </c>
      <c r="AK235" s="108">
        <v>1210</v>
      </c>
      <c r="AL235" s="107">
        <v>301290000</v>
      </c>
      <c r="AM235" s="107">
        <v>42</v>
      </c>
      <c r="AN235" s="107">
        <v>10189380</v>
      </c>
      <c r="AO235" s="107">
        <v>338</v>
      </c>
      <c r="AP235" s="107">
        <v>80855982</v>
      </c>
      <c r="AQ235" s="107">
        <v>548</v>
      </c>
      <c r="AR235" s="107">
        <v>130970509</v>
      </c>
      <c r="AS235" s="106">
        <f t="shared" si="37"/>
        <v>0.45289256198347105</v>
      </c>
    </row>
    <row r="236" spans="2:45" x14ac:dyDescent="0.3">
      <c r="B236" s="32" t="s">
        <v>322</v>
      </c>
      <c r="C236" s="39" t="str">
        <f t="shared" si="35"/>
        <v>DJ830</v>
      </c>
      <c r="D236" s="39" t="s">
        <v>55</v>
      </c>
      <c r="E236" s="39" t="str">
        <f t="shared" si="32"/>
        <v>M</v>
      </c>
      <c r="F236" s="39" t="str">
        <f t="shared" si="33"/>
        <v>DJ</v>
      </c>
      <c r="G236" s="39" t="s">
        <v>56</v>
      </c>
      <c r="H236" s="54" t="s">
        <v>323</v>
      </c>
      <c r="I236" s="39" t="s">
        <v>179</v>
      </c>
      <c r="J236" s="54" t="str">
        <f t="shared" si="36"/>
        <v/>
      </c>
      <c r="K236" s="54">
        <v>1</v>
      </c>
      <c r="L236" s="107">
        <v>249000</v>
      </c>
      <c r="M236" s="78" t="s">
        <v>217</v>
      </c>
      <c r="N236" s="98" t="s">
        <v>249</v>
      </c>
      <c r="O236" s="39" t="s">
        <v>61</v>
      </c>
      <c r="P236" s="123">
        <v>100</v>
      </c>
      <c r="Q236" s="94" t="s">
        <v>119</v>
      </c>
      <c r="R236" s="123" t="s">
        <v>246</v>
      </c>
      <c r="S236" s="96" t="s">
        <v>121</v>
      </c>
      <c r="T236" s="39" t="s">
        <v>122</v>
      </c>
      <c r="U236" s="39" t="s">
        <v>250</v>
      </c>
      <c r="V236" s="39" t="s">
        <v>66</v>
      </c>
      <c r="W236" s="39"/>
      <c r="X236" s="65" t="s">
        <v>67</v>
      </c>
      <c r="Y236" s="39" t="s">
        <v>68</v>
      </c>
      <c r="Z236" s="94" t="s">
        <v>125</v>
      </c>
      <c r="AA236" s="94" t="s">
        <v>90</v>
      </c>
      <c r="AB236" s="65" t="s">
        <v>71</v>
      </c>
      <c r="AC236" s="39" t="s">
        <v>62</v>
      </c>
      <c r="AD236" s="39" t="s">
        <v>72</v>
      </c>
      <c r="AE236" s="65" t="s">
        <v>73</v>
      </c>
      <c r="AF236" s="39" t="s">
        <v>86</v>
      </c>
      <c r="AG236" s="39" t="s">
        <v>75</v>
      </c>
      <c r="AH236" s="54">
        <v>650</v>
      </c>
      <c r="AI236" s="66" t="s">
        <v>76</v>
      </c>
      <c r="AJ236" s="54" t="s">
        <v>241</v>
      </c>
      <c r="AK236" s="108">
        <v>1010</v>
      </c>
      <c r="AL236" s="107">
        <v>251490000</v>
      </c>
      <c r="AM236" s="107">
        <v>33</v>
      </c>
      <c r="AN236" s="107">
        <v>8048400</v>
      </c>
      <c r="AO236" s="107">
        <v>619</v>
      </c>
      <c r="AP236" s="107">
        <v>149646799</v>
      </c>
      <c r="AQ236" s="107">
        <v>828</v>
      </c>
      <c r="AR236" s="107">
        <v>199027943</v>
      </c>
      <c r="AS236" s="106">
        <f t="shared" si="37"/>
        <v>0.81980198019801975</v>
      </c>
    </row>
    <row r="237" spans="2:45" x14ac:dyDescent="0.3">
      <c r="B237" s="32" t="s">
        <v>324</v>
      </c>
      <c r="C237" s="39" t="str">
        <f t="shared" si="35"/>
        <v>DJ840</v>
      </c>
      <c r="D237" s="39" t="s">
        <v>55</v>
      </c>
      <c r="E237" s="39" t="str">
        <f t="shared" si="32"/>
        <v>W</v>
      </c>
      <c r="F237" s="39" t="str">
        <f t="shared" si="33"/>
        <v>DJ</v>
      </c>
      <c r="G237" s="39" t="s">
        <v>56</v>
      </c>
      <c r="H237" s="54" t="s">
        <v>325</v>
      </c>
      <c r="I237" s="39" t="s">
        <v>78</v>
      </c>
      <c r="J237" s="54">
        <f t="shared" si="36"/>
        <v>1</v>
      </c>
      <c r="K237" s="54">
        <v>1</v>
      </c>
      <c r="L237" s="107">
        <v>249000</v>
      </c>
      <c r="M237" s="78" t="s">
        <v>217</v>
      </c>
      <c r="N237" s="98" t="s">
        <v>249</v>
      </c>
      <c r="O237" s="39" t="s">
        <v>61</v>
      </c>
      <c r="P237" s="123">
        <v>100</v>
      </c>
      <c r="Q237" s="94" t="s">
        <v>119</v>
      </c>
      <c r="R237" s="123" t="s">
        <v>246</v>
      </c>
      <c r="S237" s="96" t="s">
        <v>121</v>
      </c>
      <c r="T237" s="39" t="s">
        <v>122</v>
      </c>
      <c r="U237" s="39" t="s">
        <v>250</v>
      </c>
      <c r="V237" s="39" t="s">
        <v>66</v>
      </c>
      <c r="W237" s="39"/>
      <c r="X237" s="65" t="s">
        <v>67</v>
      </c>
      <c r="Y237" s="39" t="s">
        <v>68</v>
      </c>
      <c r="Z237" s="94" t="s">
        <v>125</v>
      </c>
      <c r="AA237" s="94" t="s">
        <v>90</v>
      </c>
      <c r="AB237" s="65" t="s">
        <v>71</v>
      </c>
      <c r="AC237" s="39" t="s">
        <v>62</v>
      </c>
      <c r="AD237" s="39" t="s">
        <v>72</v>
      </c>
      <c r="AE237" s="65" t="s">
        <v>73</v>
      </c>
      <c r="AF237" s="39" t="s">
        <v>326</v>
      </c>
      <c r="AG237" s="39" t="s">
        <v>75</v>
      </c>
      <c r="AH237" s="54">
        <v>650</v>
      </c>
      <c r="AI237" s="66" t="s">
        <v>76</v>
      </c>
      <c r="AJ237" s="54" t="s">
        <v>94</v>
      </c>
      <c r="AK237" s="108">
        <v>1604</v>
      </c>
      <c r="AL237" s="107">
        <v>399396000</v>
      </c>
      <c r="AM237" s="107">
        <v>44</v>
      </c>
      <c r="AN237" s="107">
        <v>10799300</v>
      </c>
      <c r="AO237" s="107">
        <v>902</v>
      </c>
      <c r="AP237" s="107">
        <v>219143062</v>
      </c>
      <c r="AQ237" s="107">
        <v>1209</v>
      </c>
      <c r="AR237" s="107">
        <v>292675135</v>
      </c>
      <c r="AS237" s="106">
        <f t="shared" si="37"/>
        <v>0.75374064837905241</v>
      </c>
    </row>
    <row r="238" spans="2:45" x14ac:dyDescent="0.3">
      <c r="B238" s="32" t="s">
        <v>324</v>
      </c>
      <c r="C238" s="39" t="str">
        <f t="shared" si="35"/>
        <v>DJ840</v>
      </c>
      <c r="D238" s="39" t="s">
        <v>55</v>
      </c>
      <c r="E238" s="39" t="str">
        <f t="shared" si="32"/>
        <v>W</v>
      </c>
      <c r="F238" s="39" t="str">
        <f t="shared" si="33"/>
        <v>DJ</v>
      </c>
      <c r="G238" s="39" t="s">
        <v>56</v>
      </c>
      <c r="H238" s="54" t="s">
        <v>325</v>
      </c>
      <c r="I238" s="39" t="s">
        <v>79</v>
      </c>
      <c r="J238" s="54" t="str">
        <f t="shared" si="36"/>
        <v/>
      </c>
      <c r="K238" s="54">
        <v>1</v>
      </c>
      <c r="L238" s="107">
        <v>249000</v>
      </c>
      <c r="M238" s="78" t="s">
        <v>217</v>
      </c>
      <c r="N238" s="98" t="s">
        <v>249</v>
      </c>
      <c r="O238" s="39" t="s">
        <v>61</v>
      </c>
      <c r="P238" s="123">
        <v>100</v>
      </c>
      <c r="Q238" s="94" t="s">
        <v>119</v>
      </c>
      <c r="R238" s="123" t="s">
        <v>246</v>
      </c>
      <c r="S238" s="96" t="s">
        <v>121</v>
      </c>
      <c r="T238" s="39" t="s">
        <v>122</v>
      </c>
      <c r="U238" s="39" t="s">
        <v>250</v>
      </c>
      <c r="V238" s="39" t="s">
        <v>66</v>
      </c>
      <c r="W238" s="39"/>
      <c r="X238" s="65" t="s">
        <v>67</v>
      </c>
      <c r="Y238" s="39" t="s">
        <v>68</v>
      </c>
      <c r="Z238" s="94" t="s">
        <v>125</v>
      </c>
      <c r="AA238" s="94" t="s">
        <v>90</v>
      </c>
      <c r="AB238" s="65" t="s">
        <v>71</v>
      </c>
      <c r="AC238" s="39" t="s">
        <v>62</v>
      </c>
      <c r="AD238" s="39" t="s">
        <v>72</v>
      </c>
      <c r="AE238" s="65" t="s">
        <v>73</v>
      </c>
      <c r="AF238" s="39" t="s">
        <v>326</v>
      </c>
      <c r="AG238" s="39" t="s">
        <v>75</v>
      </c>
      <c r="AH238" s="54">
        <v>650</v>
      </c>
      <c r="AI238" s="66" t="s">
        <v>76</v>
      </c>
      <c r="AJ238" s="54" t="s">
        <v>94</v>
      </c>
      <c r="AK238" s="108">
        <v>1367</v>
      </c>
      <c r="AL238" s="107">
        <v>340383000</v>
      </c>
      <c r="AM238" s="107">
        <v>37</v>
      </c>
      <c r="AN238" s="107">
        <v>9076476</v>
      </c>
      <c r="AO238" s="107">
        <v>842</v>
      </c>
      <c r="AP238" s="107">
        <v>199763362</v>
      </c>
      <c r="AQ238" s="107">
        <v>1059</v>
      </c>
      <c r="AR238" s="107">
        <v>250672144</v>
      </c>
      <c r="AS238" s="106">
        <f t="shared" si="37"/>
        <v>0.77468910021945869</v>
      </c>
    </row>
    <row r="239" spans="2:45" x14ac:dyDescent="0.3">
      <c r="B239" s="32" t="s">
        <v>324</v>
      </c>
      <c r="C239" s="39" t="str">
        <f t="shared" si="35"/>
        <v>DJ840</v>
      </c>
      <c r="D239" s="39" t="s">
        <v>55</v>
      </c>
      <c r="E239" s="39" t="str">
        <f t="shared" si="32"/>
        <v>W</v>
      </c>
      <c r="F239" s="39" t="str">
        <f t="shared" si="33"/>
        <v>DJ</v>
      </c>
      <c r="G239" s="39" t="s">
        <v>56</v>
      </c>
      <c r="H239" s="54" t="s">
        <v>325</v>
      </c>
      <c r="I239" s="39" t="s">
        <v>178</v>
      </c>
      <c r="J239" s="54" t="str">
        <f t="shared" si="36"/>
        <v/>
      </c>
      <c r="K239" s="54">
        <v>1</v>
      </c>
      <c r="L239" s="107">
        <v>249000</v>
      </c>
      <c r="M239" s="78" t="s">
        <v>217</v>
      </c>
      <c r="N239" s="98" t="s">
        <v>249</v>
      </c>
      <c r="O239" s="39" t="s">
        <v>61</v>
      </c>
      <c r="P239" s="123">
        <v>100</v>
      </c>
      <c r="Q239" s="94" t="s">
        <v>119</v>
      </c>
      <c r="R239" s="123" t="s">
        <v>246</v>
      </c>
      <c r="S239" s="96" t="s">
        <v>121</v>
      </c>
      <c r="T239" s="39" t="s">
        <v>122</v>
      </c>
      <c r="U239" s="39" t="s">
        <v>250</v>
      </c>
      <c r="V239" s="39" t="s">
        <v>66</v>
      </c>
      <c r="W239" s="39"/>
      <c r="X239" s="65" t="s">
        <v>67</v>
      </c>
      <c r="Y239" s="39" t="s">
        <v>68</v>
      </c>
      <c r="Z239" s="94" t="s">
        <v>125</v>
      </c>
      <c r="AA239" s="94" t="s">
        <v>90</v>
      </c>
      <c r="AB239" s="65" t="s">
        <v>71</v>
      </c>
      <c r="AC239" s="39" t="s">
        <v>62</v>
      </c>
      <c r="AD239" s="39" t="s">
        <v>72</v>
      </c>
      <c r="AE239" s="65" t="s">
        <v>73</v>
      </c>
      <c r="AF239" s="39" t="s">
        <v>326</v>
      </c>
      <c r="AG239" s="39" t="s">
        <v>75</v>
      </c>
      <c r="AH239" s="54">
        <v>650</v>
      </c>
      <c r="AI239" s="66" t="s">
        <v>76</v>
      </c>
      <c r="AJ239" s="54" t="s">
        <v>94</v>
      </c>
      <c r="AK239" s="108">
        <v>1004</v>
      </c>
      <c r="AL239" s="107">
        <v>249996000</v>
      </c>
      <c r="AM239" s="107">
        <v>20</v>
      </c>
      <c r="AN239" s="107">
        <v>4843168</v>
      </c>
      <c r="AO239" s="107">
        <v>230</v>
      </c>
      <c r="AP239" s="107">
        <v>55769591</v>
      </c>
      <c r="AQ239" s="107">
        <v>385</v>
      </c>
      <c r="AR239" s="107">
        <v>93128367</v>
      </c>
      <c r="AS239" s="106">
        <f t="shared" si="37"/>
        <v>0.38346613545816732</v>
      </c>
    </row>
    <row r="240" spans="2:45" x14ac:dyDescent="0.3">
      <c r="B240" s="32" t="s">
        <v>327</v>
      </c>
      <c r="C240" s="10" t="str">
        <f t="shared" si="35"/>
        <v>DJ850</v>
      </c>
      <c r="D240" s="10" t="s">
        <v>55</v>
      </c>
      <c r="E240" s="10" t="str">
        <f t="shared" si="32"/>
        <v>M</v>
      </c>
      <c r="F240" s="10" t="str">
        <f t="shared" si="33"/>
        <v>DJ</v>
      </c>
      <c r="G240" s="10" t="s">
        <v>56</v>
      </c>
      <c r="H240" s="4" t="s">
        <v>328</v>
      </c>
      <c r="I240" s="10" t="s">
        <v>78</v>
      </c>
      <c r="J240" s="4">
        <f t="shared" si="36"/>
        <v>1</v>
      </c>
      <c r="K240" s="4">
        <v>1</v>
      </c>
      <c r="L240" s="30">
        <v>259000</v>
      </c>
      <c r="M240" s="78" t="s">
        <v>217</v>
      </c>
      <c r="N240" s="98" t="s">
        <v>329</v>
      </c>
      <c r="O240" s="10" t="s">
        <v>61</v>
      </c>
      <c r="P240" s="63">
        <v>100</v>
      </c>
      <c r="Q240" s="94" t="s">
        <v>330</v>
      </c>
      <c r="R240" s="63" t="s">
        <v>246</v>
      </c>
      <c r="S240" s="96" t="s">
        <v>331</v>
      </c>
      <c r="T240" s="10" t="s">
        <v>122</v>
      </c>
      <c r="U240" s="10" t="s">
        <v>332</v>
      </c>
      <c r="V240" s="10" t="s">
        <v>66</v>
      </c>
      <c r="W240" s="10"/>
      <c r="X240" s="9" t="s">
        <v>67</v>
      </c>
      <c r="Y240" s="10" t="s">
        <v>68</v>
      </c>
      <c r="Z240" s="94" t="s">
        <v>125</v>
      </c>
      <c r="AA240" s="94" t="s">
        <v>90</v>
      </c>
      <c r="AB240" s="9" t="s">
        <v>71</v>
      </c>
      <c r="AC240" s="10" t="s">
        <v>62</v>
      </c>
      <c r="AD240" s="10" t="s">
        <v>72</v>
      </c>
      <c r="AE240" s="65" t="s">
        <v>73</v>
      </c>
      <c r="AF240" s="39" t="s">
        <v>333</v>
      </c>
      <c r="AG240" s="10" t="s">
        <v>75</v>
      </c>
      <c r="AH240" s="4">
        <v>650</v>
      </c>
      <c r="AI240" s="11" t="s">
        <v>76</v>
      </c>
      <c r="AJ240" s="4" t="s">
        <v>241</v>
      </c>
      <c r="AK240" s="36">
        <v>2507</v>
      </c>
      <c r="AL240" s="30">
        <v>649313000</v>
      </c>
      <c r="AM240" s="30">
        <v>268</v>
      </c>
      <c r="AN240" s="30">
        <v>48295320</v>
      </c>
      <c r="AO240" s="30">
        <v>1778</v>
      </c>
      <c r="AP240" s="30">
        <v>333280939</v>
      </c>
      <c r="AQ240" s="30">
        <v>2477</v>
      </c>
      <c r="AR240" s="30">
        <v>459422069</v>
      </c>
      <c r="AS240" s="52">
        <f t="shared" si="37"/>
        <v>0.98803350618268848</v>
      </c>
    </row>
    <row r="241" spans="2:45" x14ac:dyDescent="0.3">
      <c r="B241" s="32" t="s">
        <v>327</v>
      </c>
      <c r="C241" s="10" t="str">
        <f t="shared" si="35"/>
        <v>DJ850</v>
      </c>
      <c r="D241" s="10" t="s">
        <v>55</v>
      </c>
      <c r="E241" s="10" t="str">
        <f t="shared" si="32"/>
        <v>M</v>
      </c>
      <c r="F241" s="10" t="str">
        <f t="shared" si="33"/>
        <v>DJ</v>
      </c>
      <c r="G241" s="10" t="s">
        <v>56</v>
      </c>
      <c r="H241" s="4" t="s">
        <v>328</v>
      </c>
      <c r="I241" s="10" t="s">
        <v>260</v>
      </c>
      <c r="J241" s="4" t="str">
        <f t="shared" si="36"/>
        <v/>
      </c>
      <c r="K241" s="4">
        <v>1</v>
      </c>
      <c r="L241" s="30">
        <v>259000</v>
      </c>
      <c r="M241" s="78" t="s">
        <v>217</v>
      </c>
      <c r="N241" s="98" t="s">
        <v>329</v>
      </c>
      <c r="O241" s="10" t="s">
        <v>61</v>
      </c>
      <c r="P241" s="63">
        <v>100</v>
      </c>
      <c r="Q241" s="94" t="s">
        <v>330</v>
      </c>
      <c r="R241" s="63" t="s">
        <v>246</v>
      </c>
      <c r="S241" s="96" t="s">
        <v>331</v>
      </c>
      <c r="T241" s="10" t="s">
        <v>122</v>
      </c>
      <c r="U241" s="10" t="s">
        <v>332</v>
      </c>
      <c r="V241" s="10" t="s">
        <v>66</v>
      </c>
      <c r="W241" s="10"/>
      <c r="X241" s="9" t="s">
        <v>67</v>
      </c>
      <c r="Y241" s="10" t="s">
        <v>68</v>
      </c>
      <c r="Z241" s="94" t="s">
        <v>125</v>
      </c>
      <c r="AA241" s="94" t="s">
        <v>90</v>
      </c>
      <c r="AB241" s="9" t="s">
        <v>71</v>
      </c>
      <c r="AC241" s="10" t="s">
        <v>62</v>
      </c>
      <c r="AD241" s="10" t="s">
        <v>72</v>
      </c>
      <c r="AE241" s="65" t="s">
        <v>73</v>
      </c>
      <c r="AF241" s="39" t="s">
        <v>333</v>
      </c>
      <c r="AG241" s="10" t="s">
        <v>75</v>
      </c>
      <c r="AH241" s="4">
        <v>650</v>
      </c>
      <c r="AI241" s="11" t="s">
        <v>76</v>
      </c>
      <c r="AJ241" s="4" t="s">
        <v>241</v>
      </c>
      <c r="AK241" s="36">
        <v>1007</v>
      </c>
      <c r="AL241" s="30">
        <v>260813000</v>
      </c>
      <c r="AM241" s="30">
        <v>106</v>
      </c>
      <c r="AN241" s="30">
        <v>19151550</v>
      </c>
      <c r="AO241" s="30">
        <v>414</v>
      </c>
      <c r="AP241" s="30">
        <v>76444606</v>
      </c>
      <c r="AQ241" s="30">
        <v>834</v>
      </c>
      <c r="AR241" s="30">
        <v>152027926</v>
      </c>
      <c r="AS241" s="52">
        <f t="shared" si="37"/>
        <v>0.82820258192651441</v>
      </c>
    </row>
    <row r="242" spans="2:45" x14ac:dyDescent="0.3">
      <c r="B242" s="32" t="s">
        <v>327</v>
      </c>
      <c r="C242" s="10" t="str">
        <f t="shared" si="35"/>
        <v>DJ850</v>
      </c>
      <c r="D242" s="10" t="s">
        <v>55</v>
      </c>
      <c r="E242" s="10" t="str">
        <f t="shared" si="32"/>
        <v>M</v>
      </c>
      <c r="F242" s="10" t="str">
        <f t="shared" si="33"/>
        <v>DJ</v>
      </c>
      <c r="G242" s="10" t="s">
        <v>56</v>
      </c>
      <c r="H242" s="4" t="s">
        <v>328</v>
      </c>
      <c r="I242" s="10" t="s">
        <v>105</v>
      </c>
      <c r="J242" s="4" t="str">
        <f t="shared" si="36"/>
        <v/>
      </c>
      <c r="K242" s="4">
        <v>1</v>
      </c>
      <c r="L242" s="30">
        <v>259000</v>
      </c>
      <c r="M242" s="78" t="s">
        <v>217</v>
      </c>
      <c r="N242" s="98" t="s">
        <v>329</v>
      </c>
      <c r="O242" s="10" t="s">
        <v>61</v>
      </c>
      <c r="P242" s="63">
        <v>100</v>
      </c>
      <c r="Q242" s="94" t="s">
        <v>330</v>
      </c>
      <c r="R242" s="63" t="s">
        <v>246</v>
      </c>
      <c r="S242" s="96" t="s">
        <v>331</v>
      </c>
      <c r="T242" s="10" t="s">
        <v>122</v>
      </c>
      <c r="U242" s="10" t="s">
        <v>332</v>
      </c>
      <c r="V242" s="10" t="s">
        <v>66</v>
      </c>
      <c r="W242" s="10"/>
      <c r="X242" s="9" t="s">
        <v>67</v>
      </c>
      <c r="Y242" s="10" t="s">
        <v>68</v>
      </c>
      <c r="Z242" s="94" t="s">
        <v>125</v>
      </c>
      <c r="AA242" s="94" t="s">
        <v>90</v>
      </c>
      <c r="AB242" s="9" t="s">
        <v>71</v>
      </c>
      <c r="AC242" s="10" t="s">
        <v>62</v>
      </c>
      <c r="AD242" s="10" t="s">
        <v>72</v>
      </c>
      <c r="AE242" s="65" t="s">
        <v>73</v>
      </c>
      <c r="AF242" s="39" t="s">
        <v>333</v>
      </c>
      <c r="AG242" s="10" t="s">
        <v>75</v>
      </c>
      <c r="AH242" s="4">
        <v>650</v>
      </c>
      <c r="AI242" s="11" t="s">
        <v>76</v>
      </c>
      <c r="AJ242" s="4" t="s">
        <v>241</v>
      </c>
      <c r="AK242" s="36">
        <v>1005</v>
      </c>
      <c r="AL242" s="30">
        <v>260295000</v>
      </c>
      <c r="AM242" s="30">
        <v>66</v>
      </c>
      <c r="AN242" s="30">
        <v>11965800</v>
      </c>
      <c r="AO242" s="30">
        <v>273</v>
      </c>
      <c r="AP242" s="30">
        <v>51292890</v>
      </c>
      <c r="AQ242" s="30">
        <v>529</v>
      </c>
      <c r="AR242" s="30">
        <v>97563960</v>
      </c>
      <c r="AS242" s="52">
        <f t="shared" si="37"/>
        <v>0.52636815920398006</v>
      </c>
    </row>
    <row r="243" spans="2:45" x14ac:dyDescent="0.3">
      <c r="B243" s="32" t="s">
        <v>334</v>
      </c>
      <c r="C243" s="10" t="str">
        <f t="shared" si="35"/>
        <v>DJ750</v>
      </c>
      <c r="D243" s="10" t="s">
        <v>55</v>
      </c>
      <c r="E243" s="10" t="str">
        <f t="shared" si="32"/>
        <v>M</v>
      </c>
      <c r="F243" s="10" t="str">
        <f t="shared" si="33"/>
        <v>DJ</v>
      </c>
      <c r="G243" s="10" t="s">
        <v>56</v>
      </c>
      <c r="H243" s="4" t="s">
        <v>335</v>
      </c>
      <c r="I243" s="10" t="s">
        <v>78</v>
      </c>
      <c r="J243" s="4">
        <f t="shared" si="36"/>
        <v>1</v>
      </c>
      <c r="K243" s="4">
        <v>1</v>
      </c>
      <c r="L243" s="30">
        <v>239000</v>
      </c>
      <c r="M243" s="78" t="s">
        <v>132</v>
      </c>
      <c r="N243" s="98" t="s">
        <v>336</v>
      </c>
      <c r="O243" s="10" t="s">
        <v>143</v>
      </c>
      <c r="P243" s="63">
        <v>100</v>
      </c>
      <c r="Q243" s="94" t="s">
        <v>337</v>
      </c>
      <c r="R243" s="63" t="s">
        <v>338</v>
      </c>
      <c r="S243" s="96" t="s">
        <v>339</v>
      </c>
      <c r="T243" s="10" t="s">
        <v>65</v>
      </c>
      <c r="U243" s="10"/>
      <c r="V243" s="10" t="s">
        <v>66</v>
      </c>
      <c r="W243" s="10"/>
      <c r="X243" s="9" t="s">
        <v>67</v>
      </c>
      <c r="Y243" s="10" t="s">
        <v>340</v>
      </c>
      <c r="Z243" s="94" t="s">
        <v>238</v>
      </c>
      <c r="AA243" s="94" t="s">
        <v>341</v>
      </c>
      <c r="AB243" s="9" t="s">
        <v>342</v>
      </c>
      <c r="AC243" s="68" t="s">
        <v>92</v>
      </c>
      <c r="AD243" s="69" t="str">
        <f t="shared" ref="AD243:AD251" si="38">AC243</f>
        <v>(다운백 없음)</v>
      </c>
      <c r="AE243" s="65" t="s">
        <v>73</v>
      </c>
      <c r="AF243" s="39" t="s">
        <v>343</v>
      </c>
      <c r="AG243" s="10" t="s">
        <v>240</v>
      </c>
      <c r="AH243" s="4">
        <v>650</v>
      </c>
      <c r="AI243" s="11" t="s">
        <v>289</v>
      </c>
      <c r="AJ243" s="4" t="s">
        <v>241</v>
      </c>
      <c r="AK243" s="36">
        <v>3976</v>
      </c>
      <c r="AL243" s="30">
        <v>950264000</v>
      </c>
      <c r="AM243" s="30">
        <v>165</v>
      </c>
      <c r="AN243" s="30">
        <v>37601680</v>
      </c>
      <c r="AO243" s="30">
        <v>1788</v>
      </c>
      <c r="AP243" s="30">
        <v>375744852</v>
      </c>
      <c r="AQ243" s="30">
        <v>2508</v>
      </c>
      <c r="AR243" s="30">
        <v>540412085</v>
      </c>
      <c r="AS243" s="52">
        <f t="shared" si="37"/>
        <v>0.63078470824949695</v>
      </c>
    </row>
    <row r="244" spans="2:45" x14ac:dyDescent="0.3">
      <c r="B244" s="32" t="s">
        <v>344</v>
      </c>
      <c r="C244" s="10" t="str">
        <f t="shared" si="35"/>
        <v>DJ750</v>
      </c>
      <c r="D244" s="10" t="s">
        <v>55</v>
      </c>
      <c r="E244" s="10" t="str">
        <f t="shared" si="32"/>
        <v>M</v>
      </c>
      <c r="F244" s="10" t="str">
        <f t="shared" si="33"/>
        <v>DJ</v>
      </c>
      <c r="G244" s="10" t="s">
        <v>56</v>
      </c>
      <c r="H244" s="4" t="s">
        <v>335</v>
      </c>
      <c r="I244" s="10" t="s">
        <v>345</v>
      </c>
      <c r="J244" s="4" t="str">
        <f t="shared" si="36"/>
        <v/>
      </c>
      <c r="K244" s="4">
        <v>1</v>
      </c>
      <c r="L244" s="30">
        <v>239000</v>
      </c>
      <c r="M244" s="78" t="s">
        <v>132</v>
      </c>
      <c r="N244" s="98" t="s">
        <v>336</v>
      </c>
      <c r="O244" s="10" t="s">
        <v>143</v>
      </c>
      <c r="P244" s="63">
        <v>100</v>
      </c>
      <c r="Q244" s="94" t="s">
        <v>337</v>
      </c>
      <c r="R244" s="63" t="s">
        <v>338</v>
      </c>
      <c r="S244" s="96" t="s">
        <v>339</v>
      </c>
      <c r="T244" s="10" t="s">
        <v>65</v>
      </c>
      <c r="U244" s="10"/>
      <c r="V244" s="10" t="s">
        <v>66</v>
      </c>
      <c r="W244" s="10"/>
      <c r="X244" s="9" t="s">
        <v>67</v>
      </c>
      <c r="Y244" s="10" t="s">
        <v>340</v>
      </c>
      <c r="Z244" s="94" t="s">
        <v>238</v>
      </c>
      <c r="AA244" s="94" t="s">
        <v>341</v>
      </c>
      <c r="AB244" s="9" t="s">
        <v>342</v>
      </c>
      <c r="AC244" s="68" t="s">
        <v>92</v>
      </c>
      <c r="AD244" s="69" t="str">
        <f t="shared" si="38"/>
        <v>(다운백 없음)</v>
      </c>
      <c r="AE244" s="65" t="s">
        <v>73</v>
      </c>
      <c r="AF244" s="39" t="s">
        <v>343</v>
      </c>
      <c r="AG244" s="10" t="s">
        <v>240</v>
      </c>
      <c r="AH244" s="4">
        <v>650</v>
      </c>
      <c r="AI244" s="11" t="s">
        <v>289</v>
      </c>
      <c r="AJ244" s="4" t="s">
        <v>241</v>
      </c>
      <c r="AK244" s="36">
        <v>789</v>
      </c>
      <c r="AL244" s="30">
        <v>188571000</v>
      </c>
      <c r="AM244" s="30">
        <v>25</v>
      </c>
      <c r="AN244" s="30">
        <v>5935000</v>
      </c>
      <c r="AO244" s="30">
        <v>276</v>
      </c>
      <c r="AP244" s="30">
        <v>62665471</v>
      </c>
      <c r="AQ244" s="30">
        <v>372</v>
      </c>
      <c r="AR244" s="30">
        <v>84557694</v>
      </c>
      <c r="AS244" s="52">
        <f t="shared" si="37"/>
        <v>0.47148288973384028</v>
      </c>
    </row>
    <row r="245" spans="2:45" x14ac:dyDescent="0.3">
      <c r="B245" s="32" t="s">
        <v>344</v>
      </c>
      <c r="C245" s="10" t="str">
        <f t="shared" si="35"/>
        <v>DJ750</v>
      </c>
      <c r="D245" s="10" t="s">
        <v>55</v>
      </c>
      <c r="E245" s="10" t="str">
        <f t="shared" si="32"/>
        <v>M</v>
      </c>
      <c r="F245" s="10" t="str">
        <f t="shared" si="33"/>
        <v>DJ</v>
      </c>
      <c r="G245" s="10" t="s">
        <v>56</v>
      </c>
      <c r="H245" s="4" t="s">
        <v>335</v>
      </c>
      <c r="I245" s="10" t="s">
        <v>82</v>
      </c>
      <c r="J245" s="4" t="str">
        <f t="shared" si="36"/>
        <v/>
      </c>
      <c r="K245" s="4">
        <v>1</v>
      </c>
      <c r="L245" s="30">
        <v>239000</v>
      </c>
      <c r="M245" s="78" t="s">
        <v>132</v>
      </c>
      <c r="N245" s="98" t="s">
        <v>336</v>
      </c>
      <c r="O245" s="10" t="s">
        <v>143</v>
      </c>
      <c r="P245" s="63">
        <v>100</v>
      </c>
      <c r="Q245" s="94" t="s">
        <v>337</v>
      </c>
      <c r="R245" s="63" t="s">
        <v>338</v>
      </c>
      <c r="S245" s="96" t="s">
        <v>339</v>
      </c>
      <c r="T245" s="10" t="s">
        <v>182</v>
      </c>
      <c r="U245" s="10"/>
      <c r="V245" s="10" t="s">
        <v>66</v>
      </c>
      <c r="W245" s="10"/>
      <c r="X245" s="9" t="s">
        <v>67</v>
      </c>
      <c r="Y245" s="10" t="s">
        <v>340</v>
      </c>
      <c r="Z245" s="94" t="s">
        <v>238</v>
      </c>
      <c r="AA245" s="94" t="s">
        <v>341</v>
      </c>
      <c r="AB245" s="9" t="s">
        <v>342</v>
      </c>
      <c r="AC245" s="68" t="s">
        <v>92</v>
      </c>
      <c r="AD245" s="69" t="str">
        <f t="shared" si="38"/>
        <v>(다운백 없음)</v>
      </c>
      <c r="AE245" s="65" t="s">
        <v>73</v>
      </c>
      <c r="AF245" s="39" t="s">
        <v>343</v>
      </c>
      <c r="AG245" s="10" t="s">
        <v>240</v>
      </c>
      <c r="AH245" s="4">
        <v>650</v>
      </c>
      <c r="AI245" s="11" t="s">
        <v>289</v>
      </c>
      <c r="AJ245" s="4" t="s">
        <v>241</v>
      </c>
      <c r="AK245" s="36">
        <v>1194</v>
      </c>
      <c r="AL245" s="30">
        <v>285366000</v>
      </c>
      <c r="AM245" s="30">
        <v>16</v>
      </c>
      <c r="AN245" s="30">
        <v>3698400</v>
      </c>
      <c r="AO245" s="30">
        <v>274</v>
      </c>
      <c r="AP245" s="30">
        <v>55092489</v>
      </c>
      <c r="AQ245" s="30">
        <v>386</v>
      </c>
      <c r="AR245" s="30">
        <v>80840792</v>
      </c>
      <c r="AS245" s="52">
        <f t="shared" si="37"/>
        <v>0.32328308207705192</v>
      </c>
    </row>
    <row r="246" spans="2:45" x14ac:dyDescent="0.3">
      <c r="B246" s="32" t="s">
        <v>346</v>
      </c>
      <c r="C246" s="10" t="str">
        <f t="shared" si="35"/>
        <v>DJ760</v>
      </c>
      <c r="D246" s="10" t="s">
        <v>55</v>
      </c>
      <c r="E246" s="10" t="str">
        <f t="shared" si="32"/>
        <v>W</v>
      </c>
      <c r="F246" s="10" t="str">
        <f t="shared" si="33"/>
        <v>DJ</v>
      </c>
      <c r="G246" s="10" t="s">
        <v>56</v>
      </c>
      <c r="H246" s="4" t="s">
        <v>347</v>
      </c>
      <c r="I246" s="10" t="s">
        <v>82</v>
      </c>
      <c r="J246" s="4">
        <f t="shared" si="36"/>
        <v>1</v>
      </c>
      <c r="K246" s="4">
        <v>1</v>
      </c>
      <c r="L246" s="30">
        <v>239000</v>
      </c>
      <c r="M246" s="78" t="s">
        <v>132</v>
      </c>
      <c r="N246" s="98" t="s">
        <v>336</v>
      </c>
      <c r="O246" s="10" t="s">
        <v>143</v>
      </c>
      <c r="P246" s="63">
        <v>100</v>
      </c>
      <c r="Q246" s="94" t="s">
        <v>337</v>
      </c>
      <c r="R246" s="63" t="s">
        <v>338</v>
      </c>
      <c r="S246" s="96" t="s">
        <v>339</v>
      </c>
      <c r="T246" s="10" t="s">
        <v>182</v>
      </c>
      <c r="U246" s="10"/>
      <c r="V246" s="10" t="s">
        <v>66</v>
      </c>
      <c r="W246" s="10"/>
      <c r="X246" s="9" t="s">
        <v>67</v>
      </c>
      <c r="Y246" s="10" t="s">
        <v>340</v>
      </c>
      <c r="Z246" s="94" t="s">
        <v>238</v>
      </c>
      <c r="AA246" s="94" t="s">
        <v>341</v>
      </c>
      <c r="AB246" s="9" t="s">
        <v>342</v>
      </c>
      <c r="AC246" s="68" t="s">
        <v>92</v>
      </c>
      <c r="AD246" s="69" t="str">
        <f t="shared" si="38"/>
        <v>(다운백 없음)</v>
      </c>
      <c r="AE246" s="65" t="s">
        <v>73</v>
      </c>
      <c r="AF246" s="39" t="s">
        <v>326</v>
      </c>
      <c r="AG246" s="10" t="s">
        <v>240</v>
      </c>
      <c r="AH246" s="4">
        <v>650</v>
      </c>
      <c r="AI246" s="11" t="s">
        <v>289</v>
      </c>
      <c r="AJ246" s="4" t="s">
        <v>241</v>
      </c>
      <c r="AK246" s="36">
        <v>1207</v>
      </c>
      <c r="AL246" s="30">
        <v>288473000</v>
      </c>
      <c r="AM246" s="30">
        <v>15</v>
      </c>
      <c r="AN246" s="30">
        <v>3555000</v>
      </c>
      <c r="AO246" s="30">
        <v>304</v>
      </c>
      <c r="AP246" s="30">
        <v>65917398</v>
      </c>
      <c r="AQ246" s="30">
        <v>401</v>
      </c>
      <c r="AR246" s="30">
        <v>87943578</v>
      </c>
      <c r="AS246" s="52">
        <f t="shared" si="37"/>
        <v>0.33222866611433305</v>
      </c>
    </row>
    <row r="247" spans="2:45" x14ac:dyDescent="0.3">
      <c r="B247" s="32" t="s">
        <v>346</v>
      </c>
      <c r="C247" s="10" t="str">
        <f t="shared" si="35"/>
        <v>DJ760</v>
      </c>
      <c r="D247" s="10" t="s">
        <v>55</v>
      </c>
      <c r="E247" s="10" t="str">
        <f t="shared" si="32"/>
        <v>W</v>
      </c>
      <c r="F247" s="10" t="str">
        <f t="shared" si="33"/>
        <v>DJ</v>
      </c>
      <c r="G247" s="10" t="s">
        <v>56</v>
      </c>
      <c r="H247" s="4" t="s">
        <v>347</v>
      </c>
      <c r="I247" s="10" t="s">
        <v>345</v>
      </c>
      <c r="J247" s="4" t="str">
        <f t="shared" si="36"/>
        <v/>
      </c>
      <c r="K247" s="4">
        <v>1</v>
      </c>
      <c r="L247" s="30">
        <v>239000</v>
      </c>
      <c r="M247" s="78" t="s">
        <v>132</v>
      </c>
      <c r="N247" s="98" t="s">
        <v>336</v>
      </c>
      <c r="O247" s="10" t="s">
        <v>143</v>
      </c>
      <c r="P247" s="63">
        <v>100</v>
      </c>
      <c r="Q247" s="94" t="s">
        <v>337</v>
      </c>
      <c r="R247" s="63" t="s">
        <v>338</v>
      </c>
      <c r="S247" s="96" t="s">
        <v>339</v>
      </c>
      <c r="T247" s="10" t="s">
        <v>182</v>
      </c>
      <c r="U247" s="10"/>
      <c r="V247" s="10" t="s">
        <v>66</v>
      </c>
      <c r="W247" s="10"/>
      <c r="X247" s="9" t="s">
        <v>67</v>
      </c>
      <c r="Y247" s="10" t="s">
        <v>340</v>
      </c>
      <c r="Z247" s="94" t="s">
        <v>238</v>
      </c>
      <c r="AA247" s="94" t="s">
        <v>341</v>
      </c>
      <c r="AB247" s="9" t="s">
        <v>342</v>
      </c>
      <c r="AC247" s="68" t="s">
        <v>92</v>
      </c>
      <c r="AD247" s="69" t="str">
        <f t="shared" si="38"/>
        <v>(다운백 없음)</v>
      </c>
      <c r="AE247" s="65" t="s">
        <v>73</v>
      </c>
      <c r="AF247" s="39" t="s">
        <v>326</v>
      </c>
      <c r="AG247" s="10" t="s">
        <v>240</v>
      </c>
      <c r="AH247" s="4">
        <v>650</v>
      </c>
      <c r="AI247" s="11" t="s">
        <v>289</v>
      </c>
      <c r="AJ247" s="4" t="s">
        <v>241</v>
      </c>
      <c r="AK247" s="36">
        <v>789</v>
      </c>
      <c r="AL247" s="30">
        <v>188571000</v>
      </c>
      <c r="AM247" s="30">
        <v>8</v>
      </c>
      <c r="AN247" s="30">
        <v>1902000</v>
      </c>
      <c r="AO247" s="30">
        <v>153</v>
      </c>
      <c r="AP247" s="30">
        <v>35742084</v>
      </c>
      <c r="AQ247" s="30">
        <v>250</v>
      </c>
      <c r="AR247" s="30">
        <v>58393489</v>
      </c>
      <c r="AS247" s="52">
        <f t="shared" si="37"/>
        <v>0.31685678073510776</v>
      </c>
    </row>
    <row r="248" spans="2:45" x14ac:dyDescent="0.3">
      <c r="B248" s="32" t="s">
        <v>346</v>
      </c>
      <c r="C248" s="10" t="str">
        <f t="shared" si="35"/>
        <v>DJ760</v>
      </c>
      <c r="D248" s="10" t="s">
        <v>55</v>
      </c>
      <c r="E248" s="10" t="str">
        <f t="shared" ref="E248:E311" si="39">MID($B248,2,1)</f>
        <v>W</v>
      </c>
      <c r="F248" s="10" t="str">
        <f t="shared" ref="F248:F311" si="40">MID($B248,3,2)</f>
        <v>DJ</v>
      </c>
      <c r="G248" s="10" t="s">
        <v>56</v>
      </c>
      <c r="H248" s="4" t="s">
        <v>347</v>
      </c>
      <c r="I248" s="10" t="s">
        <v>78</v>
      </c>
      <c r="J248" s="4" t="str">
        <f t="shared" si="36"/>
        <v/>
      </c>
      <c r="K248" s="4">
        <v>1</v>
      </c>
      <c r="L248" s="30">
        <v>239000</v>
      </c>
      <c r="M248" s="78" t="s">
        <v>132</v>
      </c>
      <c r="N248" s="98" t="s">
        <v>336</v>
      </c>
      <c r="O248" s="10" t="s">
        <v>143</v>
      </c>
      <c r="P248" s="63">
        <v>100</v>
      </c>
      <c r="Q248" s="94" t="s">
        <v>337</v>
      </c>
      <c r="R248" s="63" t="s">
        <v>338</v>
      </c>
      <c r="S248" s="96" t="s">
        <v>339</v>
      </c>
      <c r="T248" s="10" t="s">
        <v>182</v>
      </c>
      <c r="U248" s="10"/>
      <c r="V248" s="10" t="s">
        <v>66</v>
      </c>
      <c r="W248" s="10"/>
      <c r="X248" s="9" t="s">
        <v>67</v>
      </c>
      <c r="Y248" s="10" t="s">
        <v>340</v>
      </c>
      <c r="Z248" s="94" t="s">
        <v>238</v>
      </c>
      <c r="AA248" s="94" t="s">
        <v>341</v>
      </c>
      <c r="AB248" s="9" t="s">
        <v>342</v>
      </c>
      <c r="AC248" s="68" t="s">
        <v>92</v>
      </c>
      <c r="AD248" s="69" t="str">
        <f t="shared" si="38"/>
        <v>(다운백 없음)</v>
      </c>
      <c r="AE248" s="65" t="s">
        <v>73</v>
      </c>
      <c r="AF248" s="39" t="s">
        <v>326</v>
      </c>
      <c r="AG248" s="10" t="s">
        <v>240</v>
      </c>
      <c r="AH248" s="4">
        <v>650</v>
      </c>
      <c r="AI248" s="11" t="s">
        <v>289</v>
      </c>
      <c r="AJ248" s="4" t="s">
        <v>241</v>
      </c>
      <c r="AK248" s="36">
        <v>1376</v>
      </c>
      <c r="AL248" s="30">
        <v>328864000</v>
      </c>
      <c r="AM248" s="30">
        <v>25</v>
      </c>
      <c r="AN248" s="30">
        <v>5682100</v>
      </c>
      <c r="AO248" s="30">
        <v>370</v>
      </c>
      <c r="AP248" s="30">
        <v>77425819</v>
      </c>
      <c r="AQ248" s="30">
        <v>497</v>
      </c>
      <c r="AR248" s="30">
        <v>106570104</v>
      </c>
      <c r="AS248" s="52">
        <f t="shared" si="37"/>
        <v>0.36119186046511625</v>
      </c>
    </row>
    <row r="249" spans="2:45" x14ac:dyDescent="0.3">
      <c r="B249" s="32" t="s">
        <v>348</v>
      </c>
      <c r="C249" s="10" t="str">
        <f t="shared" si="35"/>
        <v>DJ870</v>
      </c>
      <c r="D249" s="10" t="s">
        <v>55</v>
      </c>
      <c r="E249" s="10" t="str">
        <f t="shared" si="39"/>
        <v>M</v>
      </c>
      <c r="F249" s="10" t="str">
        <f t="shared" si="40"/>
        <v>DJ</v>
      </c>
      <c r="G249" s="10" t="s">
        <v>56</v>
      </c>
      <c r="H249" s="4" t="s">
        <v>349</v>
      </c>
      <c r="I249" s="10" t="s">
        <v>233</v>
      </c>
      <c r="J249" s="4">
        <f t="shared" si="36"/>
        <v>1</v>
      </c>
      <c r="K249" s="4">
        <v>1</v>
      </c>
      <c r="L249" s="30">
        <v>279000</v>
      </c>
      <c r="M249" s="78" t="s">
        <v>225</v>
      </c>
      <c r="N249" s="98" t="s">
        <v>350</v>
      </c>
      <c r="O249" s="10" t="s">
        <v>143</v>
      </c>
      <c r="P249" s="63">
        <v>100</v>
      </c>
      <c r="Q249" s="94" t="s">
        <v>62</v>
      </c>
      <c r="R249" s="123" t="s">
        <v>351</v>
      </c>
      <c r="S249" s="96" t="s">
        <v>352</v>
      </c>
      <c r="T249" s="10" t="s">
        <v>122</v>
      </c>
      <c r="U249" s="10" t="s">
        <v>332</v>
      </c>
      <c r="V249" s="10" t="s">
        <v>66</v>
      </c>
      <c r="W249" s="10" t="s">
        <v>229</v>
      </c>
      <c r="X249" s="9" t="s">
        <v>67</v>
      </c>
      <c r="Y249" s="10" t="s">
        <v>340</v>
      </c>
      <c r="Z249" s="94" t="s">
        <v>238</v>
      </c>
      <c r="AA249" s="94" t="s">
        <v>353</v>
      </c>
      <c r="AB249" s="9" t="s">
        <v>342</v>
      </c>
      <c r="AC249" s="68" t="s">
        <v>92</v>
      </c>
      <c r="AD249" s="69" t="str">
        <f t="shared" si="38"/>
        <v>(다운백 없음)</v>
      </c>
      <c r="AE249" s="65" t="s">
        <v>73</v>
      </c>
      <c r="AF249" s="39" t="s">
        <v>158</v>
      </c>
      <c r="AG249" s="10" t="s">
        <v>75</v>
      </c>
      <c r="AH249" s="4">
        <v>650</v>
      </c>
      <c r="AI249" s="11" t="s">
        <v>76</v>
      </c>
      <c r="AJ249" s="4" t="s">
        <v>241</v>
      </c>
      <c r="AK249" s="36">
        <v>876</v>
      </c>
      <c r="AL249" s="30">
        <v>244404000</v>
      </c>
      <c r="AM249" s="30">
        <v>30</v>
      </c>
      <c r="AN249" s="30">
        <v>5859000</v>
      </c>
      <c r="AO249" s="30">
        <v>200</v>
      </c>
      <c r="AP249" s="30">
        <v>43011822</v>
      </c>
      <c r="AQ249" s="30">
        <v>532</v>
      </c>
      <c r="AR249" s="30">
        <v>106923442</v>
      </c>
      <c r="AS249" s="52">
        <f t="shared" si="37"/>
        <v>0.60730593607305938</v>
      </c>
    </row>
    <row r="250" spans="2:45" x14ac:dyDescent="0.3">
      <c r="B250" s="32" t="s">
        <v>348</v>
      </c>
      <c r="C250" s="10" t="str">
        <f t="shared" si="35"/>
        <v>DJ870</v>
      </c>
      <c r="D250" s="10" t="s">
        <v>55</v>
      </c>
      <c r="E250" s="10" t="str">
        <f t="shared" si="39"/>
        <v>M</v>
      </c>
      <c r="F250" s="10" t="str">
        <f t="shared" si="40"/>
        <v>DJ</v>
      </c>
      <c r="G250" s="10" t="s">
        <v>56</v>
      </c>
      <c r="H250" s="4" t="s">
        <v>349</v>
      </c>
      <c r="I250" s="10" t="s">
        <v>265</v>
      </c>
      <c r="J250" s="4" t="str">
        <f t="shared" si="36"/>
        <v/>
      </c>
      <c r="K250" s="4">
        <v>1</v>
      </c>
      <c r="L250" s="30">
        <v>279000</v>
      </c>
      <c r="M250" s="78" t="s">
        <v>225</v>
      </c>
      <c r="N250" s="98" t="s">
        <v>350</v>
      </c>
      <c r="O250" s="10" t="s">
        <v>143</v>
      </c>
      <c r="P250" s="63">
        <v>100</v>
      </c>
      <c r="Q250" s="94" t="s">
        <v>62</v>
      </c>
      <c r="R250" s="123" t="s">
        <v>351</v>
      </c>
      <c r="S250" s="96" t="s">
        <v>352</v>
      </c>
      <c r="T250" s="10" t="s">
        <v>122</v>
      </c>
      <c r="U250" s="10" t="s">
        <v>332</v>
      </c>
      <c r="V250" s="10" t="s">
        <v>66</v>
      </c>
      <c r="W250" s="10" t="s">
        <v>229</v>
      </c>
      <c r="X250" s="9" t="s">
        <v>67</v>
      </c>
      <c r="Y250" s="10" t="s">
        <v>340</v>
      </c>
      <c r="Z250" s="94" t="s">
        <v>238</v>
      </c>
      <c r="AA250" s="94" t="s">
        <v>353</v>
      </c>
      <c r="AB250" s="9" t="s">
        <v>342</v>
      </c>
      <c r="AC250" s="68" t="s">
        <v>92</v>
      </c>
      <c r="AD250" s="69" t="str">
        <f t="shared" si="38"/>
        <v>(다운백 없음)</v>
      </c>
      <c r="AE250" s="65" t="s">
        <v>73</v>
      </c>
      <c r="AF250" s="39" t="s">
        <v>158</v>
      </c>
      <c r="AG250" s="10" t="s">
        <v>75</v>
      </c>
      <c r="AH250" s="4">
        <v>650</v>
      </c>
      <c r="AI250" s="11" t="s">
        <v>76</v>
      </c>
      <c r="AJ250" s="4" t="s">
        <v>241</v>
      </c>
      <c r="AK250" s="36">
        <v>700</v>
      </c>
      <c r="AL250" s="30">
        <v>195300000</v>
      </c>
      <c r="AM250" s="30">
        <v>6</v>
      </c>
      <c r="AN250" s="30">
        <v>1161800</v>
      </c>
      <c r="AO250" s="30">
        <v>66</v>
      </c>
      <c r="AP250" s="30">
        <v>14332400</v>
      </c>
      <c r="AQ250" s="30">
        <v>158</v>
      </c>
      <c r="AR250" s="30">
        <v>31983900</v>
      </c>
      <c r="AS250" s="52">
        <f t="shared" si="37"/>
        <v>0.2257142857142857</v>
      </c>
    </row>
    <row r="251" spans="2:45" x14ac:dyDescent="0.3">
      <c r="B251" s="32" t="s">
        <v>348</v>
      </c>
      <c r="C251" s="10" t="str">
        <f t="shared" si="35"/>
        <v>DJ870</v>
      </c>
      <c r="D251" s="10" t="s">
        <v>55</v>
      </c>
      <c r="E251" s="10" t="str">
        <f t="shared" si="39"/>
        <v>M</v>
      </c>
      <c r="F251" s="10" t="str">
        <f t="shared" si="40"/>
        <v>DJ</v>
      </c>
      <c r="G251" s="10" t="s">
        <v>56</v>
      </c>
      <c r="H251" s="4" t="s">
        <v>349</v>
      </c>
      <c r="I251" s="10" t="s">
        <v>78</v>
      </c>
      <c r="J251" s="4" t="str">
        <f t="shared" si="36"/>
        <v/>
      </c>
      <c r="K251" s="4">
        <v>1</v>
      </c>
      <c r="L251" s="30">
        <v>279000</v>
      </c>
      <c r="M251" s="78" t="s">
        <v>225</v>
      </c>
      <c r="N251" s="98" t="s">
        <v>350</v>
      </c>
      <c r="O251" s="10" t="s">
        <v>143</v>
      </c>
      <c r="P251" s="63">
        <v>100</v>
      </c>
      <c r="Q251" s="94" t="s">
        <v>62</v>
      </c>
      <c r="R251" s="123" t="s">
        <v>351</v>
      </c>
      <c r="S251" s="96" t="s">
        <v>352</v>
      </c>
      <c r="T251" s="10" t="s">
        <v>122</v>
      </c>
      <c r="U251" s="10" t="s">
        <v>332</v>
      </c>
      <c r="V251" s="10" t="s">
        <v>66</v>
      </c>
      <c r="W251" s="10" t="s">
        <v>229</v>
      </c>
      <c r="X251" s="9" t="s">
        <v>67</v>
      </c>
      <c r="Y251" s="10" t="s">
        <v>340</v>
      </c>
      <c r="Z251" s="94" t="s">
        <v>238</v>
      </c>
      <c r="AA251" s="94" t="s">
        <v>353</v>
      </c>
      <c r="AB251" s="9" t="s">
        <v>342</v>
      </c>
      <c r="AC251" s="68" t="s">
        <v>92</v>
      </c>
      <c r="AD251" s="69" t="str">
        <f t="shared" si="38"/>
        <v>(다운백 없음)</v>
      </c>
      <c r="AE251" s="65" t="s">
        <v>73</v>
      </c>
      <c r="AF251" s="39" t="s">
        <v>158</v>
      </c>
      <c r="AG251" s="10" t="s">
        <v>75</v>
      </c>
      <c r="AH251" s="4">
        <v>650</v>
      </c>
      <c r="AI251" s="11" t="s">
        <v>76</v>
      </c>
      <c r="AJ251" s="4" t="s">
        <v>241</v>
      </c>
      <c r="AK251" s="36">
        <v>2673</v>
      </c>
      <c r="AL251" s="30">
        <v>745767000</v>
      </c>
      <c r="AM251" s="30">
        <v>172</v>
      </c>
      <c r="AN251" s="30">
        <v>33622130</v>
      </c>
      <c r="AO251" s="30">
        <v>1467</v>
      </c>
      <c r="AP251" s="30">
        <v>298579843</v>
      </c>
      <c r="AQ251" s="30">
        <v>2614</v>
      </c>
      <c r="AR251" s="30">
        <v>520127073</v>
      </c>
      <c r="AS251" s="52">
        <f t="shared" si="37"/>
        <v>0.97792742237186681</v>
      </c>
    </row>
    <row r="252" spans="2:45" x14ac:dyDescent="0.3">
      <c r="B252" s="32" t="s">
        <v>354</v>
      </c>
      <c r="C252" s="10" t="str">
        <f t="shared" si="35"/>
        <v>DJ7E0</v>
      </c>
      <c r="D252" s="10" t="s">
        <v>55</v>
      </c>
      <c r="E252" s="10" t="str">
        <f t="shared" si="39"/>
        <v>M</v>
      </c>
      <c r="F252" s="10" t="str">
        <f t="shared" si="40"/>
        <v>DJ</v>
      </c>
      <c r="G252" s="10" t="s">
        <v>56</v>
      </c>
      <c r="H252" s="4" t="s">
        <v>355</v>
      </c>
      <c r="I252" s="10" t="s">
        <v>243</v>
      </c>
      <c r="J252" s="4">
        <f t="shared" si="36"/>
        <v>1</v>
      </c>
      <c r="K252" s="4">
        <v>1</v>
      </c>
      <c r="L252" s="30">
        <v>590000</v>
      </c>
      <c r="M252" s="78" t="s">
        <v>132</v>
      </c>
      <c r="N252" s="98" t="s">
        <v>356</v>
      </c>
      <c r="O252" s="10" t="s">
        <v>61</v>
      </c>
      <c r="P252" s="63">
        <v>100</v>
      </c>
      <c r="Q252" s="94" t="s">
        <v>204</v>
      </c>
      <c r="R252" s="63" t="s">
        <v>357</v>
      </c>
      <c r="S252" s="96" t="s">
        <v>358</v>
      </c>
      <c r="T252" s="10" t="s">
        <v>122</v>
      </c>
      <c r="U252" s="10" t="s">
        <v>198</v>
      </c>
      <c r="V252" s="10" t="s">
        <v>66</v>
      </c>
      <c r="W252" s="10"/>
      <c r="X252" s="9" t="s">
        <v>67</v>
      </c>
      <c r="Y252" s="10" t="s">
        <v>68</v>
      </c>
      <c r="Z252" s="94" t="s">
        <v>125</v>
      </c>
      <c r="AA252" s="94" t="s">
        <v>90</v>
      </c>
      <c r="AB252" s="9" t="s">
        <v>71</v>
      </c>
      <c r="AC252" s="10" t="s">
        <v>62</v>
      </c>
      <c r="AD252" s="10" t="s">
        <v>72</v>
      </c>
      <c r="AE252" s="65" t="s">
        <v>73</v>
      </c>
      <c r="AF252" s="39" t="s">
        <v>359</v>
      </c>
      <c r="AG252" s="10" t="s">
        <v>127</v>
      </c>
      <c r="AH252" s="4">
        <v>650</v>
      </c>
      <c r="AI252" s="11" t="s">
        <v>107</v>
      </c>
      <c r="AJ252" s="4" t="s">
        <v>108</v>
      </c>
      <c r="AK252" s="36">
        <v>778</v>
      </c>
      <c r="AL252" s="30">
        <v>459020000</v>
      </c>
      <c r="AM252" s="30">
        <v>28</v>
      </c>
      <c r="AN252" s="30">
        <v>16324300</v>
      </c>
      <c r="AO252" s="30">
        <v>111</v>
      </c>
      <c r="AP252" s="30">
        <v>64307677</v>
      </c>
      <c r="AQ252" s="30">
        <v>277</v>
      </c>
      <c r="AR252" s="30">
        <v>158349328</v>
      </c>
      <c r="AS252" s="52">
        <f t="shared" si="37"/>
        <v>0.35604113110539848</v>
      </c>
    </row>
    <row r="253" spans="2:45" x14ac:dyDescent="0.3">
      <c r="B253" s="32" t="s">
        <v>354</v>
      </c>
      <c r="C253" s="10" t="str">
        <f t="shared" si="35"/>
        <v>DJ7E0</v>
      </c>
      <c r="D253" s="10" t="s">
        <v>55</v>
      </c>
      <c r="E253" s="10" t="str">
        <f t="shared" si="39"/>
        <v>M</v>
      </c>
      <c r="F253" s="10" t="str">
        <f t="shared" si="40"/>
        <v>DJ</v>
      </c>
      <c r="G253" s="10" t="s">
        <v>56</v>
      </c>
      <c r="H253" s="4" t="s">
        <v>355</v>
      </c>
      <c r="I253" s="10" t="s">
        <v>78</v>
      </c>
      <c r="J253" s="4" t="str">
        <f t="shared" si="36"/>
        <v/>
      </c>
      <c r="K253" s="4">
        <v>1</v>
      </c>
      <c r="L253" s="30">
        <v>590000</v>
      </c>
      <c r="M253" s="78" t="s">
        <v>132</v>
      </c>
      <c r="N253" s="98" t="s">
        <v>356</v>
      </c>
      <c r="O253" s="10" t="s">
        <v>61</v>
      </c>
      <c r="P253" s="63">
        <v>100</v>
      </c>
      <c r="Q253" s="94" t="s">
        <v>204</v>
      </c>
      <c r="R253" s="63" t="s">
        <v>357</v>
      </c>
      <c r="S253" s="96" t="s">
        <v>358</v>
      </c>
      <c r="T253" s="10" t="s">
        <v>122</v>
      </c>
      <c r="U253" s="10" t="s">
        <v>198</v>
      </c>
      <c r="V253" s="10" t="s">
        <v>66</v>
      </c>
      <c r="W253" s="10"/>
      <c r="X253" s="9" t="s">
        <v>67</v>
      </c>
      <c r="Y253" s="10" t="s">
        <v>68</v>
      </c>
      <c r="Z253" s="94" t="s">
        <v>125</v>
      </c>
      <c r="AA253" s="94" t="s">
        <v>90</v>
      </c>
      <c r="AB253" s="9" t="s">
        <v>71</v>
      </c>
      <c r="AC253" s="10" t="s">
        <v>62</v>
      </c>
      <c r="AD253" s="10" t="s">
        <v>72</v>
      </c>
      <c r="AE253" s="65" t="s">
        <v>73</v>
      </c>
      <c r="AF253" s="39" t="s">
        <v>359</v>
      </c>
      <c r="AG253" s="10" t="s">
        <v>127</v>
      </c>
      <c r="AH253" s="4">
        <v>650</v>
      </c>
      <c r="AI253" s="11" t="s">
        <v>107</v>
      </c>
      <c r="AJ253" s="4" t="s">
        <v>108</v>
      </c>
      <c r="AK253" s="36">
        <v>1472</v>
      </c>
      <c r="AL253" s="30">
        <v>868480000</v>
      </c>
      <c r="AM253" s="30">
        <v>91</v>
      </c>
      <c r="AN253" s="30">
        <v>52983750</v>
      </c>
      <c r="AO253" s="30">
        <v>344</v>
      </c>
      <c r="AP253" s="30">
        <v>198496650</v>
      </c>
      <c r="AQ253" s="30">
        <v>866</v>
      </c>
      <c r="AR253" s="30">
        <v>491651718</v>
      </c>
      <c r="AS253" s="52">
        <f t="shared" si="37"/>
        <v>0.58831521739130432</v>
      </c>
    </row>
    <row r="254" spans="2:45" x14ac:dyDescent="0.3">
      <c r="B254" s="32" t="s">
        <v>360</v>
      </c>
      <c r="C254" s="10" t="str">
        <f t="shared" si="35"/>
        <v>DJ7F0</v>
      </c>
      <c r="D254" s="10" t="s">
        <v>55</v>
      </c>
      <c r="E254" s="10" t="str">
        <f t="shared" si="39"/>
        <v>W</v>
      </c>
      <c r="F254" s="10" t="str">
        <f t="shared" si="40"/>
        <v>DJ</v>
      </c>
      <c r="G254" s="10" t="s">
        <v>56</v>
      </c>
      <c r="H254" s="4" t="s">
        <v>361</v>
      </c>
      <c r="I254" s="10" t="s">
        <v>78</v>
      </c>
      <c r="J254" s="4">
        <f t="shared" si="36"/>
        <v>1</v>
      </c>
      <c r="K254" s="4">
        <v>1</v>
      </c>
      <c r="L254" s="30">
        <v>590000</v>
      </c>
      <c r="M254" s="78" t="s">
        <v>132</v>
      </c>
      <c r="N254" s="98" t="s">
        <v>356</v>
      </c>
      <c r="O254" s="10" t="s">
        <v>61</v>
      </c>
      <c r="P254" s="63">
        <v>100</v>
      </c>
      <c r="Q254" s="94" t="s">
        <v>204</v>
      </c>
      <c r="R254" s="63" t="s">
        <v>357</v>
      </c>
      <c r="S254" s="96" t="s">
        <v>358</v>
      </c>
      <c r="T254" s="10" t="s">
        <v>122</v>
      </c>
      <c r="U254" s="10" t="s">
        <v>198</v>
      </c>
      <c r="V254" s="10" t="s">
        <v>66</v>
      </c>
      <c r="W254" s="10"/>
      <c r="X254" s="9" t="s">
        <v>67</v>
      </c>
      <c r="Y254" s="10" t="s">
        <v>68</v>
      </c>
      <c r="Z254" s="94" t="s">
        <v>125</v>
      </c>
      <c r="AA254" s="94" t="s">
        <v>90</v>
      </c>
      <c r="AB254" s="9" t="s">
        <v>71</v>
      </c>
      <c r="AC254" s="10" t="s">
        <v>62</v>
      </c>
      <c r="AD254" s="10" t="s">
        <v>72</v>
      </c>
      <c r="AE254" s="65" t="s">
        <v>73</v>
      </c>
      <c r="AF254" s="39" t="s">
        <v>362</v>
      </c>
      <c r="AG254" s="10" t="s">
        <v>127</v>
      </c>
      <c r="AH254" s="4">
        <v>650</v>
      </c>
      <c r="AI254" s="11" t="s">
        <v>107</v>
      </c>
      <c r="AJ254" s="4" t="s">
        <v>108</v>
      </c>
      <c r="AK254" s="36">
        <v>3389</v>
      </c>
      <c r="AL254" s="30">
        <v>1999510000</v>
      </c>
      <c r="AM254" s="30">
        <v>105</v>
      </c>
      <c r="AN254" s="30">
        <v>61663306</v>
      </c>
      <c r="AO254" s="30">
        <v>431</v>
      </c>
      <c r="AP254" s="30">
        <v>250840811</v>
      </c>
      <c r="AQ254" s="30">
        <v>1086</v>
      </c>
      <c r="AR254" s="30">
        <v>620812896</v>
      </c>
      <c r="AS254" s="52">
        <f t="shared" si="37"/>
        <v>0.32044850988492179</v>
      </c>
    </row>
    <row r="255" spans="2:45" x14ac:dyDescent="0.3">
      <c r="B255" s="32" t="s">
        <v>360</v>
      </c>
      <c r="C255" s="10" t="str">
        <f t="shared" si="35"/>
        <v>DJ7F0</v>
      </c>
      <c r="D255" s="10" t="s">
        <v>55</v>
      </c>
      <c r="E255" s="10" t="str">
        <f t="shared" si="39"/>
        <v>W</v>
      </c>
      <c r="F255" s="10" t="str">
        <f t="shared" si="40"/>
        <v>DJ</v>
      </c>
      <c r="G255" s="10" t="s">
        <v>56</v>
      </c>
      <c r="H255" s="4" t="s">
        <v>361</v>
      </c>
      <c r="I255" s="10" t="s">
        <v>163</v>
      </c>
      <c r="J255" s="4" t="str">
        <f t="shared" si="36"/>
        <v/>
      </c>
      <c r="K255" s="4">
        <v>1</v>
      </c>
      <c r="L255" s="30">
        <v>590000</v>
      </c>
      <c r="M255" s="78" t="s">
        <v>132</v>
      </c>
      <c r="N255" s="98" t="s">
        <v>356</v>
      </c>
      <c r="O255" s="10" t="s">
        <v>61</v>
      </c>
      <c r="P255" s="63">
        <v>100</v>
      </c>
      <c r="Q255" s="94" t="s">
        <v>204</v>
      </c>
      <c r="R255" s="63" t="s">
        <v>357</v>
      </c>
      <c r="S255" s="96" t="s">
        <v>358</v>
      </c>
      <c r="T255" s="10" t="s">
        <v>122</v>
      </c>
      <c r="U255" s="10" t="s">
        <v>198</v>
      </c>
      <c r="V255" s="10" t="s">
        <v>66</v>
      </c>
      <c r="W255" s="10"/>
      <c r="X255" s="9" t="s">
        <v>67</v>
      </c>
      <c r="Y255" s="10" t="s">
        <v>68</v>
      </c>
      <c r="Z255" s="94" t="s">
        <v>125</v>
      </c>
      <c r="AA255" s="94" t="s">
        <v>90</v>
      </c>
      <c r="AB255" s="9" t="s">
        <v>71</v>
      </c>
      <c r="AC255" s="10" t="s">
        <v>62</v>
      </c>
      <c r="AD255" s="10" t="s">
        <v>72</v>
      </c>
      <c r="AE255" s="65" t="s">
        <v>73</v>
      </c>
      <c r="AF255" s="39" t="s">
        <v>362</v>
      </c>
      <c r="AG255" s="10" t="s">
        <v>127</v>
      </c>
      <c r="AH255" s="4">
        <v>650</v>
      </c>
      <c r="AI255" s="11" t="s">
        <v>107</v>
      </c>
      <c r="AJ255" s="4" t="s">
        <v>108</v>
      </c>
      <c r="AK255" s="36">
        <v>1000</v>
      </c>
      <c r="AL255" s="30">
        <v>590000000</v>
      </c>
      <c r="AM255" s="30">
        <v>20</v>
      </c>
      <c r="AN255" s="30">
        <v>11672000</v>
      </c>
      <c r="AO255" s="30">
        <v>85</v>
      </c>
      <c r="AP255" s="30">
        <v>49426762</v>
      </c>
      <c r="AQ255" s="30">
        <v>252</v>
      </c>
      <c r="AR255" s="30">
        <v>144263248</v>
      </c>
      <c r="AS255" s="52">
        <f t="shared" si="37"/>
        <v>0.252</v>
      </c>
    </row>
    <row r="256" spans="2:45" x14ac:dyDescent="0.3">
      <c r="B256" s="32" t="s">
        <v>360</v>
      </c>
      <c r="C256" s="10" t="str">
        <f t="shared" si="35"/>
        <v>DJ7F0</v>
      </c>
      <c r="D256" s="10" t="s">
        <v>55</v>
      </c>
      <c r="E256" s="10" t="str">
        <f t="shared" si="39"/>
        <v>W</v>
      </c>
      <c r="F256" s="10" t="str">
        <f t="shared" si="40"/>
        <v>DJ</v>
      </c>
      <c r="G256" s="10" t="s">
        <v>56</v>
      </c>
      <c r="H256" s="4" t="s">
        <v>361</v>
      </c>
      <c r="I256" s="10" t="s">
        <v>111</v>
      </c>
      <c r="J256" s="4" t="str">
        <f t="shared" si="36"/>
        <v/>
      </c>
      <c r="K256" s="4">
        <v>1</v>
      </c>
      <c r="L256" s="30">
        <v>590000</v>
      </c>
      <c r="M256" s="78" t="s">
        <v>132</v>
      </c>
      <c r="N256" s="98" t="s">
        <v>356</v>
      </c>
      <c r="O256" s="10" t="s">
        <v>61</v>
      </c>
      <c r="P256" s="63">
        <v>100</v>
      </c>
      <c r="Q256" s="94" t="s">
        <v>204</v>
      </c>
      <c r="R256" s="63" t="s">
        <v>357</v>
      </c>
      <c r="S256" s="96" t="s">
        <v>358</v>
      </c>
      <c r="T256" s="10" t="s">
        <v>122</v>
      </c>
      <c r="U256" s="10" t="s">
        <v>198</v>
      </c>
      <c r="V256" s="10" t="s">
        <v>66</v>
      </c>
      <c r="W256" s="10"/>
      <c r="X256" s="9" t="s">
        <v>67</v>
      </c>
      <c r="Y256" s="10" t="s">
        <v>68</v>
      </c>
      <c r="Z256" s="94" t="s">
        <v>125</v>
      </c>
      <c r="AA256" s="94" t="s">
        <v>90</v>
      </c>
      <c r="AB256" s="9" t="s">
        <v>71</v>
      </c>
      <c r="AC256" s="10" t="s">
        <v>62</v>
      </c>
      <c r="AD256" s="10" t="s">
        <v>72</v>
      </c>
      <c r="AE256" s="65" t="s">
        <v>73</v>
      </c>
      <c r="AF256" s="39" t="s">
        <v>362</v>
      </c>
      <c r="AG256" s="10" t="s">
        <v>127</v>
      </c>
      <c r="AH256" s="4">
        <v>650</v>
      </c>
      <c r="AI256" s="11" t="s">
        <v>107</v>
      </c>
      <c r="AJ256" s="4" t="s">
        <v>108</v>
      </c>
      <c r="AK256" s="36">
        <v>1194</v>
      </c>
      <c r="AL256" s="30">
        <v>704460000</v>
      </c>
      <c r="AM256" s="30">
        <v>25</v>
      </c>
      <c r="AN256" s="30">
        <v>14641000</v>
      </c>
      <c r="AO256" s="30">
        <v>146</v>
      </c>
      <c r="AP256" s="30">
        <v>84540977</v>
      </c>
      <c r="AQ256" s="30">
        <v>313</v>
      </c>
      <c r="AR256" s="30">
        <v>179507653</v>
      </c>
      <c r="AS256" s="52">
        <f t="shared" si="37"/>
        <v>0.26214405360134002</v>
      </c>
    </row>
    <row r="257" spans="2:45" x14ac:dyDescent="0.3">
      <c r="B257" s="32" t="s">
        <v>363</v>
      </c>
      <c r="C257" s="10" t="str">
        <f t="shared" si="35"/>
        <v>DJ7K0</v>
      </c>
      <c r="D257" s="10" t="s">
        <v>55</v>
      </c>
      <c r="E257" s="10" t="str">
        <f t="shared" si="39"/>
        <v>M</v>
      </c>
      <c r="F257" s="10" t="str">
        <f t="shared" si="40"/>
        <v>DJ</v>
      </c>
      <c r="G257" s="10" t="s">
        <v>56</v>
      </c>
      <c r="H257" s="4" t="s">
        <v>364</v>
      </c>
      <c r="I257" s="10" t="s">
        <v>82</v>
      </c>
      <c r="J257" s="4">
        <f t="shared" si="36"/>
        <v>1</v>
      </c>
      <c r="K257" s="4">
        <v>1</v>
      </c>
      <c r="L257" s="30">
        <v>490000</v>
      </c>
      <c r="M257" s="78" t="s">
        <v>117</v>
      </c>
      <c r="N257" s="98" t="s">
        <v>365</v>
      </c>
      <c r="O257" s="10" t="s">
        <v>61</v>
      </c>
      <c r="P257" s="63">
        <v>100</v>
      </c>
      <c r="Q257" s="94" t="s">
        <v>204</v>
      </c>
      <c r="R257" s="63" t="s">
        <v>366</v>
      </c>
      <c r="S257" s="96" t="s">
        <v>121</v>
      </c>
      <c r="T257" s="10" t="s">
        <v>122</v>
      </c>
      <c r="U257" s="10" t="s">
        <v>123</v>
      </c>
      <c r="V257" s="10" t="s">
        <v>66</v>
      </c>
      <c r="W257" s="10" t="s">
        <v>124</v>
      </c>
      <c r="X257" s="9" t="s">
        <v>67</v>
      </c>
      <c r="Y257" s="10" t="s">
        <v>68</v>
      </c>
      <c r="Z257" s="94" t="s">
        <v>125</v>
      </c>
      <c r="AA257" s="94" t="s">
        <v>90</v>
      </c>
      <c r="AB257" s="9" t="s">
        <v>71</v>
      </c>
      <c r="AC257" s="10" t="s">
        <v>62</v>
      </c>
      <c r="AD257" s="10" t="s">
        <v>72</v>
      </c>
      <c r="AE257" s="65" t="s">
        <v>73</v>
      </c>
      <c r="AF257" s="39" t="s">
        <v>367</v>
      </c>
      <c r="AG257" s="10" t="s">
        <v>127</v>
      </c>
      <c r="AH257" s="4">
        <v>650</v>
      </c>
      <c r="AI257" s="11" t="s">
        <v>264</v>
      </c>
      <c r="AJ257" s="4" t="s">
        <v>241</v>
      </c>
      <c r="AK257" s="36">
        <v>649</v>
      </c>
      <c r="AL257" s="30">
        <v>318010000</v>
      </c>
      <c r="AM257" s="30">
        <v>38</v>
      </c>
      <c r="AN257" s="30">
        <v>18334489</v>
      </c>
      <c r="AO257" s="30">
        <v>146</v>
      </c>
      <c r="AP257" s="30">
        <v>70531097</v>
      </c>
      <c r="AQ257" s="30">
        <v>348</v>
      </c>
      <c r="AR257" s="30">
        <v>165155571</v>
      </c>
      <c r="AS257" s="52">
        <f t="shared" si="37"/>
        <v>0.53620955315870567</v>
      </c>
    </row>
    <row r="258" spans="2:45" x14ac:dyDescent="0.3">
      <c r="B258" s="32" t="s">
        <v>363</v>
      </c>
      <c r="C258" s="10" t="str">
        <f t="shared" si="35"/>
        <v>DJ7K0</v>
      </c>
      <c r="D258" s="10" t="s">
        <v>55</v>
      </c>
      <c r="E258" s="10" t="str">
        <f t="shared" si="39"/>
        <v>M</v>
      </c>
      <c r="F258" s="10" t="str">
        <f t="shared" si="40"/>
        <v>DJ</v>
      </c>
      <c r="G258" s="10" t="s">
        <v>56</v>
      </c>
      <c r="H258" s="4" t="s">
        <v>364</v>
      </c>
      <c r="I258" s="10" t="s">
        <v>260</v>
      </c>
      <c r="J258" s="4" t="str">
        <f t="shared" si="36"/>
        <v/>
      </c>
      <c r="K258" s="4">
        <v>1</v>
      </c>
      <c r="L258" s="30">
        <v>490000</v>
      </c>
      <c r="M258" s="78" t="s">
        <v>117</v>
      </c>
      <c r="N258" s="98" t="s">
        <v>365</v>
      </c>
      <c r="O258" s="10" t="s">
        <v>61</v>
      </c>
      <c r="P258" s="63">
        <v>100</v>
      </c>
      <c r="Q258" s="94" t="s">
        <v>204</v>
      </c>
      <c r="R258" s="63" t="s">
        <v>366</v>
      </c>
      <c r="S258" s="96" t="s">
        <v>121</v>
      </c>
      <c r="T258" s="10" t="s">
        <v>122</v>
      </c>
      <c r="U258" s="10" t="s">
        <v>123</v>
      </c>
      <c r="V258" s="10" t="s">
        <v>66</v>
      </c>
      <c r="W258" s="10" t="s">
        <v>124</v>
      </c>
      <c r="X258" s="9" t="s">
        <v>67</v>
      </c>
      <c r="Y258" s="10" t="s">
        <v>68</v>
      </c>
      <c r="Z258" s="94" t="s">
        <v>125</v>
      </c>
      <c r="AA258" s="94" t="s">
        <v>90</v>
      </c>
      <c r="AB258" s="9" t="s">
        <v>71</v>
      </c>
      <c r="AC258" s="10" t="s">
        <v>62</v>
      </c>
      <c r="AD258" s="10" t="s">
        <v>72</v>
      </c>
      <c r="AE258" s="65" t="s">
        <v>73</v>
      </c>
      <c r="AF258" s="39" t="s">
        <v>367</v>
      </c>
      <c r="AG258" s="10" t="s">
        <v>127</v>
      </c>
      <c r="AH258" s="4">
        <v>650</v>
      </c>
      <c r="AI258" s="11" t="s">
        <v>264</v>
      </c>
      <c r="AJ258" s="4" t="s">
        <v>241</v>
      </c>
      <c r="AK258" s="36">
        <v>958</v>
      </c>
      <c r="AL258" s="30">
        <v>469420000</v>
      </c>
      <c r="AM258" s="30">
        <v>38</v>
      </c>
      <c r="AN258" s="30">
        <v>17841035</v>
      </c>
      <c r="AO258" s="30">
        <v>208</v>
      </c>
      <c r="AP258" s="30">
        <v>99281523</v>
      </c>
      <c r="AQ258" s="30">
        <v>472</v>
      </c>
      <c r="AR258" s="30">
        <v>223552144</v>
      </c>
      <c r="AS258" s="52">
        <f t="shared" si="37"/>
        <v>0.49269311064718163</v>
      </c>
    </row>
    <row r="259" spans="2:45" x14ac:dyDescent="0.3">
      <c r="B259" s="32" t="s">
        <v>363</v>
      </c>
      <c r="C259" s="10" t="str">
        <f t="shared" si="35"/>
        <v>DJ7K0</v>
      </c>
      <c r="D259" s="10" t="s">
        <v>55</v>
      </c>
      <c r="E259" s="10" t="str">
        <f t="shared" si="39"/>
        <v>M</v>
      </c>
      <c r="F259" s="10" t="str">
        <f t="shared" si="40"/>
        <v>DJ</v>
      </c>
      <c r="G259" s="10" t="s">
        <v>56</v>
      </c>
      <c r="H259" s="4" t="s">
        <v>364</v>
      </c>
      <c r="I259" s="10" t="s">
        <v>78</v>
      </c>
      <c r="J259" s="4" t="str">
        <f t="shared" si="36"/>
        <v/>
      </c>
      <c r="K259" s="4">
        <v>1</v>
      </c>
      <c r="L259" s="30">
        <v>490000</v>
      </c>
      <c r="M259" s="78" t="s">
        <v>117</v>
      </c>
      <c r="N259" s="98" t="s">
        <v>365</v>
      </c>
      <c r="O259" s="10" t="s">
        <v>61</v>
      </c>
      <c r="P259" s="63">
        <v>100</v>
      </c>
      <c r="Q259" s="94" t="s">
        <v>204</v>
      </c>
      <c r="R259" s="63" t="s">
        <v>366</v>
      </c>
      <c r="S259" s="96" t="s">
        <v>121</v>
      </c>
      <c r="T259" s="10" t="s">
        <v>122</v>
      </c>
      <c r="U259" s="10" t="s">
        <v>123</v>
      </c>
      <c r="V259" s="10" t="s">
        <v>66</v>
      </c>
      <c r="W259" s="10" t="s">
        <v>124</v>
      </c>
      <c r="X259" s="9" t="s">
        <v>67</v>
      </c>
      <c r="Y259" s="10" t="s">
        <v>68</v>
      </c>
      <c r="Z259" s="94" t="s">
        <v>125</v>
      </c>
      <c r="AA259" s="94" t="s">
        <v>90</v>
      </c>
      <c r="AB259" s="9" t="s">
        <v>71</v>
      </c>
      <c r="AC259" s="10" t="s">
        <v>62</v>
      </c>
      <c r="AD259" s="10" t="s">
        <v>72</v>
      </c>
      <c r="AE259" s="65" t="s">
        <v>73</v>
      </c>
      <c r="AF259" s="39" t="s">
        <v>367</v>
      </c>
      <c r="AG259" s="10" t="s">
        <v>127</v>
      </c>
      <c r="AH259" s="4">
        <v>650</v>
      </c>
      <c r="AI259" s="11" t="s">
        <v>264</v>
      </c>
      <c r="AJ259" s="4" t="s">
        <v>241</v>
      </c>
      <c r="AK259" s="36">
        <v>3915</v>
      </c>
      <c r="AL259" s="30">
        <v>1918350000</v>
      </c>
      <c r="AM259" s="30">
        <v>299</v>
      </c>
      <c r="AN259" s="30">
        <v>142027218</v>
      </c>
      <c r="AO259" s="30">
        <v>1309</v>
      </c>
      <c r="AP259" s="30">
        <v>609469319</v>
      </c>
      <c r="AQ259" s="30">
        <v>3034</v>
      </c>
      <c r="AR259" s="30">
        <v>1400379785</v>
      </c>
      <c r="AS259" s="52">
        <f t="shared" si="37"/>
        <v>0.77496807151979563</v>
      </c>
    </row>
    <row r="260" spans="2:45" x14ac:dyDescent="0.3">
      <c r="B260" s="32" t="s">
        <v>363</v>
      </c>
      <c r="C260" s="10" t="str">
        <f t="shared" si="35"/>
        <v>DJ7K0</v>
      </c>
      <c r="D260" s="10" t="s">
        <v>55</v>
      </c>
      <c r="E260" s="10" t="str">
        <f t="shared" si="39"/>
        <v>M</v>
      </c>
      <c r="F260" s="10" t="str">
        <f t="shared" si="40"/>
        <v>DJ</v>
      </c>
      <c r="G260" s="10" t="s">
        <v>56</v>
      </c>
      <c r="H260" s="4" t="s">
        <v>364</v>
      </c>
      <c r="I260" s="10" t="s">
        <v>215</v>
      </c>
      <c r="J260" s="4" t="str">
        <f t="shared" si="36"/>
        <v/>
      </c>
      <c r="K260" s="4">
        <v>1</v>
      </c>
      <c r="L260" s="30">
        <v>490000</v>
      </c>
      <c r="M260" s="78" t="s">
        <v>117</v>
      </c>
      <c r="N260" s="98" t="s">
        <v>365</v>
      </c>
      <c r="O260" s="10" t="s">
        <v>61</v>
      </c>
      <c r="P260" s="63">
        <v>100</v>
      </c>
      <c r="Q260" s="94" t="s">
        <v>204</v>
      </c>
      <c r="R260" s="63" t="s">
        <v>366</v>
      </c>
      <c r="S260" s="96" t="s">
        <v>121</v>
      </c>
      <c r="T260" s="10" t="s">
        <v>122</v>
      </c>
      <c r="U260" s="10" t="s">
        <v>123</v>
      </c>
      <c r="V260" s="10" t="s">
        <v>66</v>
      </c>
      <c r="W260" s="10" t="s">
        <v>124</v>
      </c>
      <c r="X260" s="9" t="s">
        <v>67</v>
      </c>
      <c r="Y260" s="10" t="s">
        <v>68</v>
      </c>
      <c r="Z260" s="94" t="s">
        <v>125</v>
      </c>
      <c r="AA260" s="94" t="s">
        <v>90</v>
      </c>
      <c r="AB260" s="9" t="s">
        <v>71</v>
      </c>
      <c r="AC260" s="10" t="s">
        <v>62</v>
      </c>
      <c r="AD260" s="10" t="s">
        <v>72</v>
      </c>
      <c r="AE260" s="65" t="s">
        <v>73</v>
      </c>
      <c r="AF260" s="39" t="s">
        <v>367</v>
      </c>
      <c r="AG260" s="10" t="s">
        <v>127</v>
      </c>
      <c r="AH260" s="4">
        <v>650</v>
      </c>
      <c r="AI260" s="11" t="s">
        <v>264</v>
      </c>
      <c r="AJ260" s="4" t="s">
        <v>241</v>
      </c>
      <c r="AK260" s="36">
        <v>1213</v>
      </c>
      <c r="AL260" s="30">
        <v>594370000</v>
      </c>
      <c r="AM260" s="30">
        <v>116</v>
      </c>
      <c r="AN260" s="30">
        <v>55176156</v>
      </c>
      <c r="AO260" s="30">
        <v>580</v>
      </c>
      <c r="AP260" s="30">
        <v>257083116</v>
      </c>
      <c r="AQ260" s="30">
        <v>986</v>
      </c>
      <c r="AR260" s="30">
        <v>445123352</v>
      </c>
      <c r="AS260" s="52">
        <f t="shared" si="37"/>
        <v>0.81286067600989287</v>
      </c>
    </row>
    <row r="261" spans="2:45" x14ac:dyDescent="0.3">
      <c r="B261" s="32" t="s">
        <v>368</v>
      </c>
      <c r="C261" s="10" t="str">
        <f t="shared" si="35"/>
        <v>DJ7L0</v>
      </c>
      <c r="D261" s="10" t="s">
        <v>55</v>
      </c>
      <c r="E261" s="10" t="str">
        <f t="shared" si="39"/>
        <v>W</v>
      </c>
      <c r="F261" s="10" t="str">
        <f t="shared" si="40"/>
        <v>DJ</v>
      </c>
      <c r="G261" s="10" t="s">
        <v>56</v>
      </c>
      <c r="H261" s="4" t="s">
        <v>369</v>
      </c>
      <c r="I261" s="10" t="s">
        <v>111</v>
      </c>
      <c r="J261" s="4">
        <f t="shared" si="36"/>
        <v>1</v>
      </c>
      <c r="K261" s="4">
        <v>1</v>
      </c>
      <c r="L261" s="30">
        <v>490000</v>
      </c>
      <c r="M261" s="78" t="s">
        <v>117</v>
      </c>
      <c r="N261" s="98" t="s">
        <v>365</v>
      </c>
      <c r="O261" s="10" t="s">
        <v>61</v>
      </c>
      <c r="P261" s="63">
        <v>100</v>
      </c>
      <c r="Q261" s="94" t="s">
        <v>204</v>
      </c>
      <c r="R261" s="63" t="s">
        <v>366</v>
      </c>
      <c r="S261" s="96" t="s">
        <v>121</v>
      </c>
      <c r="T261" s="10" t="s">
        <v>122</v>
      </c>
      <c r="U261" s="10" t="s">
        <v>123</v>
      </c>
      <c r="V261" s="10" t="s">
        <v>66</v>
      </c>
      <c r="W261" s="10" t="s">
        <v>124</v>
      </c>
      <c r="X261" s="9" t="s">
        <v>67</v>
      </c>
      <c r="Y261" s="10" t="s">
        <v>68</v>
      </c>
      <c r="Z261" s="94" t="s">
        <v>125</v>
      </c>
      <c r="AA261" s="94" t="s">
        <v>90</v>
      </c>
      <c r="AB261" s="9" t="s">
        <v>71</v>
      </c>
      <c r="AC261" s="10" t="s">
        <v>62</v>
      </c>
      <c r="AD261" s="10" t="s">
        <v>72</v>
      </c>
      <c r="AE261" s="65" t="s">
        <v>73</v>
      </c>
      <c r="AF261" s="39" t="s">
        <v>370</v>
      </c>
      <c r="AG261" s="10" t="s">
        <v>127</v>
      </c>
      <c r="AH261" s="4">
        <v>650</v>
      </c>
      <c r="AI261" s="11" t="s">
        <v>128</v>
      </c>
      <c r="AJ261" s="4" t="s">
        <v>94</v>
      </c>
      <c r="AK261" s="36">
        <v>849</v>
      </c>
      <c r="AL261" s="30">
        <v>416010000</v>
      </c>
      <c r="AM261" s="30">
        <v>8</v>
      </c>
      <c r="AN261" s="30">
        <v>3885900</v>
      </c>
      <c r="AO261" s="30">
        <v>44</v>
      </c>
      <c r="AP261" s="30">
        <v>21061236</v>
      </c>
      <c r="AQ261" s="30">
        <v>116</v>
      </c>
      <c r="AR261" s="30">
        <v>49139375</v>
      </c>
      <c r="AS261" s="52">
        <f t="shared" si="37"/>
        <v>0.13663133097762073</v>
      </c>
    </row>
    <row r="262" spans="2:45" x14ac:dyDescent="0.3">
      <c r="B262" s="32" t="s">
        <v>368</v>
      </c>
      <c r="C262" s="10" t="str">
        <f t="shared" si="35"/>
        <v>DJ7L0</v>
      </c>
      <c r="D262" s="10" t="s">
        <v>55</v>
      </c>
      <c r="E262" s="10" t="str">
        <f t="shared" si="39"/>
        <v>W</v>
      </c>
      <c r="F262" s="10" t="str">
        <f t="shared" si="40"/>
        <v>DJ</v>
      </c>
      <c r="G262" s="10" t="s">
        <v>56</v>
      </c>
      <c r="H262" s="4" t="s">
        <v>369</v>
      </c>
      <c r="I262" s="10" t="s">
        <v>78</v>
      </c>
      <c r="J262" s="4" t="str">
        <f t="shared" si="36"/>
        <v/>
      </c>
      <c r="K262" s="4">
        <v>1</v>
      </c>
      <c r="L262" s="30">
        <v>490000</v>
      </c>
      <c r="M262" s="78" t="s">
        <v>117</v>
      </c>
      <c r="N262" s="98" t="s">
        <v>365</v>
      </c>
      <c r="O262" s="10" t="s">
        <v>61</v>
      </c>
      <c r="P262" s="63">
        <v>100</v>
      </c>
      <c r="Q262" s="94" t="s">
        <v>204</v>
      </c>
      <c r="R262" s="63" t="s">
        <v>366</v>
      </c>
      <c r="S262" s="96" t="s">
        <v>121</v>
      </c>
      <c r="T262" s="10" t="s">
        <v>122</v>
      </c>
      <c r="U262" s="10" t="s">
        <v>123</v>
      </c>
      <c r="V262" s="10" t="s">
        <v>66</v>
      </c>
      <c r="W262" s="10" t="s">
        <v>124</v>
      </c>
      <c r="X262" s="9" t="s">
        <v>67</v>
      </c>
      <c r="Y262" s="10" t="s">
        <v>68</v>
      </c>
      <c r="Z262" s="94" t="s">
        <v>125</v>
      </c>
      <c r="AA262" s="94" t="s">
        <v>90</v>
      </c>
      <c r="AB262" s="9" t="s">
        <v>71</v>
      </c>
      <c r="AC262" s="10" t="s">
        <v>62</v>
      </c>
      <c r="AD262" s="10" t="s">
        <v>72</v>
      </c>
      <c r="AE262" s="65" t="s">
        <v>73</v>
      </c>
      <c r="AF262" s="39" t="s">
        <v>370</v>
      </c>
      <c r="AG262" s="10" t="s">
        <v>127</v>
      </c>
      <c r="AH262" s="4">
        <v>650</v>
      </c>
      <c r="AI262" s="11" t="s">
        <v>128</v>
      </c>
      <c r="AJ262" s="4" t="s">
        <v>94</v>
      </c>
      <c r="AK262" s="36">
        <v>1165</v>
      </c>
      <c r="AL262" s="30">
        <v>570850000</v>
      </c>
      <c r="AM262" s="30">
        <v>14</v>
      </c>
      <c r="AN262" s="30">
        <v>6849000</v>
      </c>
      <c r="AO262" s="30">
        <v>131</v>
      </c>
      <c r="AP262" s="30">
        <v>62116066</v>
      </c>
      <c r="AQ262" s="30">
        <v>392</v>
      </c>
      <c r="AR262" s="30">
        <v>161969542</v>
      </c>
      <c r="AS262" s="52">
        <f t="shared" si="37"/>
        <v>0.33648068669527897</v>
      </c>
    </row>
    <row r="263" spans="2:45" x14ac:dyDescent="0.3">
      <c r="B263" s="32" t="s">
        <v>368</v>
      </c>
      <c r="C263" s="10" t="str">
        <f t="shared" si="35"/>
        <v>DJ7L0</v>
      </c>
      <c r="D263" s="10" t="s">
        <v>55</v>
      </c>
      <c r="E263" s="10" t="str">
        <f t="shared" si="39"/>
        <v>W</v>
      </c>
      <c r="F263" s="10" t="str">
        <f t="shared" si="40"/>
        <v>DJ</v>
      </c>
      <c r="G263" s="10" t="s">
        <v>56</v>
      </c>
      <c r="H263" s="4" t="s">
        <v>369</v>
      </c>
      <c r="I263" s="10" t="s">
        <v>163</v>
      </c>
      <c r="J263" s="4" t="str">
        <f t="shared" si="36"/>
        <v/>
      </c>
      <c r="K263" s="4">
        <v>1</v>
      </c>
      <c r="L263" s="30">
        <v>490000</v>
      </c>
      <c r="M263" s="78" t="s">
        <v>117</v>
      </c>
      <c r="N263" s="98" t="s">
        <v>365</v>
      </c>
      <c r="O263" s="10" t="s">
        <v>61</v>
      </c>
      <c r="P263" s="63">
        <v>100</v>
      </c>
      <c r="Q263" s="94" t="s">
        <v>204</v>
      </c>
      <c r="R263" s="63" t="s">
        <v>366</v>
      </c>
      <c r="S263" s="96" t="s">
        <v>121</v>
      </c>
      <c r="T263" s="10" t="s">
        <v>122</v>
      </c>
      <c r="U263" s="10" t="s">
        <v>123</v>
      </c>
      <c r="V263" s="10" t="s">
        <v>66</v>
      </c>
      <c r="W263" s="10" t="s">
        <v>124</v>
      </c>
      <c r="X263" s="9" t="s">
        <v>67</v>
      </c>
      <c r="Y263" s="10" t="s">
        <v>68</v>
      </c>
      <c r="Z263" s="94" t="s">
        <v>125</v>
      </c>
      <c r="AA263" s="94" t="s">
        <v>90</v>
      </c>
      <c r="AB263" s="9" t="s">
        <v>71</v>
      </c>
      <c r="AC263" s="10" t="s">
        <v>62</v>
      </c>
      <c r="AD263" s="10" t="s">
        <v>72</v>
      </c>
      <c r="AE263" s="65" t="s">
        <v>73</v>
      </c>
      <c r="AF263" s="39" t="s">
        <v>370</v>
      </c>
      <c r="AG263" s="10" t="s">
        <v>127</v>
      </c>
      <c r="AH263" s="4">
        <v>650</v>
      </c>
      <c r="AI263" s="11" t="s">
        <v>128</v>
      </c>
      <c r="AJ263" s="4" t="s">
        <v>94</v>
      </c>
      <c r="AK263" s="36">
        <v>869</v>
      </c>
      <c r="AL263" s="30">
        <v>425810000</v>
      </c>
      <c r="AM263" s="30">
        <v>7</v>
      </c>
      <c r="AN263" s="30">
        <v>3415000</v>
      </c>
      <c r="AO263" s="30">
        <v>45</v>
      </c>
      <c r="AP263" s="30">
        <v>21882780</v>
      </c>
      <c r="AQ263" s="30">
        <v>121</v>
      </c>
      <c r="AR263" s="30">
        <v>51832439</v>
      </c>
      <c r="AS263" s="52">
        <f t="shared" si="37"/>
        <v>0.13924050632911392</v>
      </c>
    </row>
    <row r="264" spans="2:45" x14ac:dyDescent="0.3">
      <c r="B264" s="32" t="s">
        <v>371</v>
      </c>
      <c r="C264" s="10" t="str">
        <f t="shared" si="35"/>
        <v>DJ7O0</v>
      </c>
      <c r="D264" s="10" t="s">
        <v>55</v>
      </c>
      <c r="E264" s="10" t="str">
        <f t="shared" si="39"/>
        <v>M</v>
      </c>
      <c r="F264" s="10" t="str">
        <f t="shared" si="40"/>
        <v>DJ</v>
      </c>
      <c r="G264" s="10" t="s">
        <v>56</v>
      </c>
      <c r="H264" s="4" t="s">
        <v>372</v>
      </c>
      <c r="I264" s="10" t="s">
        <v>179</v>
      </c>
      <c r="J264" s="4">
        <f t="shared" si="36"/>
        <v>1</v>
      </c>
      <c r="K264" s="4">
        <v>1</v>
      </c>
      <c r="L264" s="30">
        <v>750000</v>
      </c>
      <c r="M264" s="78" t="s">
        <v>117</v>
      </c>
      <c r="N264" s="98" t="s">
        <v>365</v>
      </c>
      <c r="O264" s="10" t="s">
        <v>61</v>
      </c>
      <c r="P264" s="63">
        <v>100</v>
      </c>
      <c r="Q264" s="94" t="s">
        <v>204</v>
      </c>
      <c r="R264" s="63" t="s">
        <v>366</v>
      </c>
      <c r="S264" s="96" t="s">
        <v>121</v>
      </c>
      <c r="T264" s="10" t="s">
        <v>122</v>
      </c>
      <c r="U264" s="10" t="s">
        <v>123</v>
      </c>
      <c r="V264" s="10" t="s">
        <v>66</v>
      </c>
      <c r="W264" s="10" t="s">
        <v>124</v>
      </c>
      <c r="X264" s="9" t="s">
        <v>67</v>
      </c>
      <c r="Y264" s="10" t="s">
        <v>68</v>
      </c>
      <c r="Z264" s="94" t="s">
        <v>125</v>
      </c>
      <c r="AA264" s="94" t="s">
        <v>90</v>
      </c>
      <c r="AB264" s="9" t="s">
        <v>71</v>
      </c>
      <c r="AC264" s="10" t="s">
        <v>62</v>
      </c>
      <c r="AD264" s="10" t="s">
        <v>72</v>
      </c>
      <c r="AE264" s="65" t="s">
        <v>73</v>
      </c>
      <c r="AF264" s="39" t="s">
        <v>373</v>
      </c>
      <c r="AG264" s="10" t="s">
        <v>127</v>
      </c>
      <c r="AH264" s="4">
        <v>650</v>
      </c>
      <c r="AI264" s="11" t="s">
        <v>107</v>
      </c>
      <c r="AJ264" s="4" t="s">
        <v>108</v>
      </c>
      <c r="AK264" s="36">
        <v>1055</v>
      </c>
      <c r="AL264" s="30">
        <v>791250000</v>
      </c>
      <c r="AM264" s="30">
        <v>21</v>
      </c>
      <c r="AN264" s="30">
        <v>15698819</v>
      </c>
      <c r="AO264" s="30">
        <v>85</v>
      </c>
      <c r="AP264" s="30">
        <v>61766228</v>
      </c>
      <c r="AQ264" s="30">
        <v>255</v>
      </c>
      <c r="AR264" s="30">
        <v>181668374</v>
      </c>
      <c r="AS264" s="52">
        <f t="shared" si="37"/>
        <v>0.24170616113744076</v>
      </c>
    </row>
    <row r="265" spans="2:45" x14ac:dyDescent="0.3">
      <c r="B265" s="32" t="s">
        <v>371</v>
      </c>
      <c r="C265" s="10" t="str">
        <f t="shared" si="35"/>
        <v>DJ7O0</v>
      </c>
      <c r="D265" s="10" t="s">
        <v>55</v>
      </c>
      <c r="E265" s="10" t="str">
        <f t="shared" si="39"/>
        <v>M</v>
      </c>
      <c r="F265" s="10" t="str">
        <f t="shared" si="40"/>
        <v>DJ</v>
      </c>
      <c r="G265" s="10" t="s">
        <v>56</v>
      </c>
      <c r="H265" s="4" t="s">
        <v>372</v>
      </c>
      <c r="I265" s="10" t="s">
        <v>78</v>
      </c>
      <c r="J265" s="4" t="str">
        <f t="shared" si="36"/>
        <v/>
      </c>
      <c r="K265" s="4">
        <v>1</v>
      </c>
      <c r="L265" s="30">
        <v>750000</v>
      </c>
      <c r="M265" s="78" t="s">
        <v>117</v>
      </c>
      <c r="N265" s="98" t="s">
        <v>365</v>
      </c>
      <c r="O265" s="10" t="s">
        <v>61</v>
      </c>
      <c r="P265" s="63">
        <v>100</v>
      </c>
      <c r="Q265" s="94" t="s">
        <v>204</v>
      </c>
      <c r="R265" s="63" t="s">
        <v>366</v>
      </c>
      <c r="S265" s="96" t="s">
        <v>121</v>
      </c>
      <c r="T265" s="10" t="s">
        <v>122</v>
      </c>
      <c r="U265" s="10" t="s">
        <v>123</v>
      </c>
      <c r="V265" s="10" t="s">
        <v>66</v>
      </c>
      <c r="W265" s="10" t="s">
        <v>124</v>
      </c>
      <c r="X265" s="9" t="s">
        <v>67</v>
      </c>
      <c r="Y265" s="10" t="s">
        <v>68</v>
      </c>
      <c r="Z265" s="94" t="s">
        <v>125</v>
      </c>
      <c r="AA265" s="94" t="s">
        <v>90</v>
      </c>
      <c r="AB265" s="9" t="s">
        <v>71</v>
      </c>
      <c r="AC265" s="10" t="s">
        <v>62</v>
      </c>
      <c r="AD265" s="10" t="s">
        <v>72</v>
      </c>
      <c r="AE265" s="65" t="s">
        <v>73</v>
      </c>
      <c r="AF265" s="39" t="s">
        <v>373</v>
      </c>
      <c r="AG265" s="10" t="s">
        <v>127</v>
      </c>
      <c r="AH265" s="4">
        <v>650</v>
      </c>
      <c r="AI265" s="11" t="s">
        <v>107</v>
      </c>
      <c r="AJ265" s="4" t="s">
        <v>108</v>
      </c>
      <c r="AK265" s="36">
        <v>2134</v>
      </c>
      <c r="AL265" s="30">
        <v>1600500000</v>
      </c>
      <c r="AM265" s="30">
        <v>69</v>
      </c>
      <c r="AN265" s="30">
        <v>49947814</v>
      </c>
      <c r="AO265" s="30">
        <v>299</v>
      </c>
      <c r="AP265" s="30">
        <v>217530276</v>
      </c>
      <c r="AQ265" s="30">
        <v>775</v>
      </c>
      <c r="AR265" s="30">
        <v>554820654</v>
      </c>
      <c r="AS265" s="52">
        <f t="shared" si="37"/>
        <v>0.36316776007497659</v>
      </c>
    </row>
    <row r="266" spans="2:45" x14ac:dyDescent="0.3">
      <c r="B266" s="32" t="s">
        <v>374</v>
      </c>
      <c r="C266" s="10" t="str">
        <f t="shared" si="35"/>
        <v>DJ7P0</v>
      </c>
      <c r="D266" s="10" t="s">
        <v>55</v>
      </c>
      <c r="E266" s="10" t="str">
        <f t="shared" si="39"/>
        <v>W</v>
      </c>
      <c r="F266" s="10" t="str">
        <f t="shared" si="40"/>
        <v>DJ</v>
      </c>
      <c r="G266" s="10" t="s">
        <v>56</v>
      </c>
      <c r="H266" s="4" t="s">
        <v>375</v>
      </c>
      <c r="I266" s="10" t="s">
        <v>163</v>
      </c>
      <c r="J266" s="4">
        <f t="shared" si="36"/>
        <v>1</v>
      </c>
      <c r="K266" s="4">
        <v>1</v>
      </c>
      <c r="L266" s="30">
        <v>750000</v>
      </c>
      <c r="M266" s="78" t="s">
        <v>117</v>
      </c>
      <c r="N266" s="98" t="s">
        <v>365</v>
      </c>
      <c r="O266" s="10" t="s">
        <v>61</v>
      </c>
      <c r="P266" s="63">
        <v>100</v>
      </c>
      <c r="Q266" s="94" t="s">
        <v>204</v>
      </c>
      <c r="R266" s="63" t="s">
        <v>366</v>
      </c>
      <c r="S266" s="96" t="s">
        <v>121</v>
      </c>
      <c r="T266" s="10" t="s">
        <v>122</v>
      </c>
      <c r="U266" s="10" t="s">
        <v>123</v>
      </c>
      <c r="V266" s="10" t="s">
        <v>66</v>
      </c>
      <c r="W266" s="10" t="s">
        <v>124</v>
      </c>
      <c r="X266" s="9" t="s">
        <v>67</v>
      </c>
      <c r="Y266" s="10" t="s">
        <v>68</v>
      </c>
      <c r="Z266" s="94" t="s">
        <v>125</v>
      </c>
      <c r="AA266" s="94" t="s">
        <v>90</v>
      </c>
      <c r="AB266" s="9" t="s">
        <v>71</v>
      </c>
      <c r="AC266" s="10" t="s">
        <v>62</v>
      </c>
      <c r="AD266" s="10" t="s">
        <v>72</v>
      </c>
      <c r="AE266" s="65" t="s">
        <v>73</v>
      </c>
      <c r="AF266" s="39" t="s">
        <v>214</v>
      </c>
      <c r="AG266" s="10" t="s">
        <v>127</v>
      </c>
      <c r="AH266" s="4">
        <v>650</v>
      </c>
      <c r="AI266" s="11" t="s">
        <v>107</v>
      </c>
      <c r="AJ266" s="4" t="s">
        <v>108</v>
      </c>
      <c r="AK266" s="36">
        <v>1098</v>
      </c>
      <c r="AL266" s="30">
        <v>823500000</v>
      </c>
      <c r="AM266" s="30">
        <v>13</v>
      </c>
      <c r="AN266" s="30">
        <v>9273860</v>
      </c>
      <c r="AO266" s="30">
        <v>49</v>
      </c>
      <c r="AP266" s="30">
        <v>35628995</v>
      </c>
      <c r="AQ266" s="30">
        <v>124</v>
      </c>
      <c r="AR266" s="30">
        <v>87784084</v>
      </c>
      <c r="AS266" s="52">
        <f t="shared" si="37"/>
        <v>0.11293260473588343</v>
      </c>
    </row>
    <row r="267" spans="2:45" x14ac:dyDescent="0.3">
      <c r="B267" s="32" t="s">
        <v>374</v>
      </c>
      <c r="C267" s="10" t="str">
        <f t="shared" si="35"/>
        <v>DJ7P0</v>
      </c>
      <c r="D267" s="10" t="s">
        <v>55</v>
      </c>
      <c r="E267" s="10" t="str">
        <f t="shared" si="39"/>
        <v>W</v>
      </c>
      <c r="F267" s="10" t="str">
        <f t="shared" si="40"/>
        <v>DJ</v>
      </c>
      <c r="G267" s="10" t="s">
        <v>56</v>
      </c>
      <c r="H267" s="4" t="s">
        <v>375</v>
      </c>
      <c r="I267" s="10" t="s">
        <v>155</v>
      </c>
      <c r="J267" s="4" t="str">
        <f t="shared" si="36"/>
        <v/>
      </c>
      <c r="K267" s="4">
        <v>1</v>
      </c>
      <c r="L267" s="30">
        <v>750000</v>
      </c>
      <c r="M267" s="78" t="s">
        <v>117</v>
      </c>
      <c r="N267" s="98" t="s">
        <v>365</v>
      </c>
      <c r="O267" s="10" t="s">
        <v>61</v>
      </c>
      <c r="P267" s="63">
        <v>100</v>
      </c>
      <c r="Q267" s="94" t="s">
        <v>204</v>
      </c>
      <c r="R267" s="63" t="s">
        <v>366</v>
      </c>
      <c r="S267" s="96" t="s">
        <v>121</v>
      </c>
      <c r="T267" s="10" t="s">
        <v>122</v>
      </c>
      <c r="U267" s="10" t="s">
        <v>123</v>
      </c>
      <c r="V267" s="10" t="s">
        <v>66</v>
      </c>
      <c r="W267" s="10" t="s">
        <v>124</v>
      </c>
      <c r="X267" s="9" t="s">
        <v>67</v>
      </c>
      <c r="Y267" s="10" t="s">
        <v>68</v>
      </c>
      <c r="Z267" s="94" t="s">
        <v>125</v>
      </c>
      <c r="AA267" s="94" t="s">
        <v>90</v>
      </c>
      <c r="AB267" s="9" t="s">
        <v>71</v>
      </c>
      <c r="AC267" s="10" t="s">
        <v>62</v>
      </c>
      <c r="AD267" s="10" t="s">
        <v>72</v>
      </c>
      <c r="AE267" s="65" t="s">
        <v>73</v>
      </c>
      <c r="AF267" s="39" t="s">
        <v>214</v>
      </c>
      <c r="AG267" s="10" t="s">
        <v>127</v>
      </c>
      <c r="AH267" s="4">
        <v>650</v>
      </c>
      <c r="AI267" s="11" t="s">
        <v>107</v>
      </c>
      <c r="AJ267" s="4" t="s">
        <v>108</v>
      </c>
      <c r="AK267" s="36">
        <v>810</v>
      </c>
      <c r="AL267" s="30">
        <v>607500000</v>
      </c>
      <c r="AM267" s="30">
        <v>3</v>
      </c>
      <c r="AN267" s="30">
        <v>2230000</v>
      </c>
      <c r="AO267" s="30">
        <v>16</v>
      </c>
      <c r="AP267" s="30">
        <v>11674220</v>
      </c>
      <c r="AQ267" s="30">
        <v>41</v>
      </c>
      <c r="AR267" s="30">
        <v>29454220</v>
      </c>
      <c r="AS267" s="52">
        <f t="shared" si="37"/>
        <v>5.0617283950617285E-2</v>
      </c>
    </row>
    <row r="268" spans="2:45" x14ac:dyDescent="0.3">
      <c r="B268" s="32" t="s">
        <v>374</v>
      </c>
      <c r="C268" s="10" t="str">
        <f t="shared" si="35"/>
        <v>DJ7P0</v>
      </c>
      <c r="D268" s="10" t="s">
        <v>55</v>
      </c>
      <c r="E268" s="10" t="str">
        <f t="shared" si="39"/>
        <v>W</v>
      </c>
      <c r="F268" s="10" t="str">
        <f t="shared" si="40"/>
        <v>DJ</v>
      </c>
      <c r="G268" s="10" t="s">
        <v>56</v>
      </c>
      <c r="H268" s="4" t="s">
        <v>375</v>
      </c>
      <c r="I268" s="10" t="s">
        <v>78</v>
      </c>
      <c r="J268" s="4" t="str">
        <f t="shared" si="36"/>
        <v/>
      </c>
      <c r="K268" s="4">
        <v>1</v>
      </c>
      <c r="L268" s="30">
        <v>750000</v>
      </c>
      <c r="M268" s="78" t="s">
        <v>117</v>
      </c>
      <c r="N268" s="98" t="s">
        <v>365</v>
      </c>
      <c r="O268" s="10" t="s">
        <v>61</v>
      </c>
      <c r="P268" s="63">
        <v>100</v>
      </c>
      <c r="Q268" s="94" t="s">
        <v>204</v>
      </c>
      <c r="R268" s="63" t="s">
        <v>366</v>
      </c>
      <c r="S268" s="96" t="s">
        <v>121</v>
      </c>
      <c r="T268" s="10" t="s">
        <v>122</v>
      </c>
      <c r="U268" s="10" t="s">
        <v>123</v>
      </c>
      <c r="V268" s="10" t="s">
        <v>66</v>
      </c>
      <c r="W268" s="10" t="s">
        <v>124</v>
      </c>
      <c r="X268" s="9" t="s">
        <v>67</v>
      </c>
      <c r="Y268" s="10" t="s">
        <v>68</v>
      </c>
      <c r="Z268" s="94" t="s">
        <v>125</v>
      </c>
      <c r="AA268" s="94" t="s">
        <v>90</v>
      </c>
      <c r="AB268" s="9" t="s">
        <v>71</v>
      </c>
      <c r="AC268" s="10" t="s">
        <v>62</v>
      </c>
      <c r="AD268" s="10" t="s">
        <v>72</v>
      </c>
      <c r="AE268" s="65" t="s">
        <v>73</v>
      </c>
      <c r="AF268" s="39" t="s">
        <v>214</v>
      </c>
      <c r="AG268" s="10" t="s">
        <v>127</v>
      </c>
      <c r="AH268" s="4">
        <v>650</v>
      </c>
      <c r="AI268" s="11" t="s">
        <v>107</v>
      </c>
      <c r="AJ268" s="4" t="s">
        <v>108</v>
      </c>
      <c r="AK268" s="36">
        <v>1596</v>
      </c>
      <c r="AL268" s="30">
        <v>1197000000</v>
      </c>
      <c r="AM268" s="30">
        <v>27</v>
      </c>
      <c r="AN268" s="30">
        <v>18994118</v>
      </c>
      <c r="AO268" s="30">
        <v>114</v>
      </c>
      <c r="AP268" s="30">
        <v>82518656</v>
      </c>
      <c r="AQ268" s="30">
        <v>310</v>
      </c>
      <c r="AR268" s="30">
        <v>219943383</v>
      </c>
      <c r="AS268" s="52">
        <f t="shared" si="37"/>
        <v>0.19423558897243107</v>
      </c>
    </row>
    <row r="269" spans="2:45" x14ac:dyDescent="0.3">
      <c r="B269" s="32" t="s">
        <v>376</v>
      </c>
      <c r="C269" s="10" t="str">
        <f t="shared" si="35"/>
        <v>DJ8A0</v>
      </c>
      <c r="D269" s="10" t="s">
        <v>55</v>
      </c>
      <c r="E269" s="10" t="str">
        <f t="shared" si="39"/>
        <v>M</v>
      </c>
      <c r="F269" s="10" t="str">
        <f t="shared" si="40"/>
        <v>DJ</v>
      </c>
      <c r="G269" s="10" t="s">
        <v>56</v>
      </c>
      <c r="H269" s="4" t="s">
        <v>377</v>
      </c>
      <c r="I269" s="10" t="s">
        <v>78</v>
      </c>
      <c r="J269" s="4">
        <f t="shared" si="36"/>
        <v>1</v>
      </c>
      <c r="K269" s="4">
        <v>1</v>
      </c>
      <c r="L269" s="30">
        <v>550000</v>
      </c>
      <c r="M269" s="78" t="s">
        <v>225</v>
      </c>
      <c r="N269" s="98" t="s">
        <v>226</v>
      </c>
      <c r="O269" s="10" t="s">
        <v>61</v>
      </c>
      <c r="P269" s="63">
        <v>100</v>
      </c>
      <c r="Q269" s="94" t="s">
        <v>119</v>
      </c>
      <c r="R269" s="63" t="s">
        <v>126</v>
      </c>
      <c r="S269" s="96" t="s">
        <v>227</v>
      </c>
      <c r="T269" s="10" t="s">
        <v>228</v>
      </c>
      <c r="U269" s="10" t="s">
        <v>198</v>
      </c>
      <c r="V269" s="10" t="s">
        <v>66</v>
      </c>
      <c r="W269" s="10" t="s">
        <v>229</v>
      </c>
      <c r="X269" s="9" t="s">
        <v>67</v>
      </c>
      <c r="Y269" s="10" t="s">
        <v>68</v>
      </c>
      <c r="Z269" s="94" t="s">
        <v>125</v>
      </c>
      <c r="AA269" s="94" t="s">
        <v>90</v>
      </c>
      <c r="AB269" s="9" t="s">
        <v>71</v>
      </c>
      <c r="AC269" s="10" t="s">
        <v>144</v>
      </c>
      <c r="AD269" s="10" t="s">
        <v>279</v>
      </c>
      <c r="AE269" s="65" t="s">
        <v>73</v>
      </c>
      <c r="AF269" s="39" t="s">
        <v>214</v>
      </c>
      <c r="AG269" s="10" t="s">
        <v>127</v>
      </c>
      <c r="AH269" s="4">
        <v>650</v>
      </c>
      <c r="AI269" s="11" t="s">
        <v>264</v>
      </c>
      <c r="AJ269" s="4" t="s">
        <v>241</v>
      </c>
      <c r="AK269" s="36">
        <v>2329</v>
      </c>
      <c r="AL269" s="30">
        <v>1280950000</v>
      </c>
      <c r="AM269" s="30">
        <v>81</v>
      </c>
      <c r="AN269" s="30">
        <v>43814842</v>
      </c>
      <c r="AO269" s="30">
        <v>386</v>
      </c>
      <c r="AP269" s="30">
        <v>204544718</v>
      </c>
      <c r="AQ269" s="30">
        <v>838</v>
      </c>
      <c r="AR269" s="30">
        <v>439143994</v>
      </c>
      <c r="AS269" s="52">
        <f t="shared" si="37"/>
        <v>0.35981107771575782</v>
      </c>
    </row>
    <row r="270" spans="2:45" x14ac:dyDescent="0.3">
      <c r="B270" s="32" t="s">
        <v>376</v>
      </c>
      <c r="C270" s="10" t="str">
        <f t="shared" si="35"/>
        <v>DJ8A0</v>
      </c>
      <c r="D270" s="10" t="s">
        <v>55</v>
      </c>
      <c r="E270" s="10" t="str">
        <f t="shared" si="39"/>
        <v>M</v>
      </c>
      <c r="F270" s="10" t="str">
        <f t="shared" si="40"/>
        <v>DJ</v>
      </c>
      <c r="G270" s="10" t="s">
        <v>56</v>
      </c>
      <c r="H270" s="4" t="s">
        <v>377</v>
      </c>
      <c r="I270" s="10" t="s">
        <v>260</v>
      </c>
      <c r="J270" s="4" t="str">
        <f t="shared" si="36"/>
        <v/>
      </c>
      <c r="K270" s="4">
        <v>1</v>
      </c>
      <c r="L270" s="30">
        <v>550000</v>
      </c>
      <c r="M270" s="78" t="s">
        <v>225</v>
      </c>
      <c r="N270" s="98" t="s">
        <v>226</v>
      </c>
      <c r="O270" s="10" t="s">
        <v>61</v>
      </c>
      <c r="P270" s="63">
        <v>100</v>
      </c>
      <c r="Q270" s="94" t="s">
        <v>119</v>
      </c>
      <c r="R270" s="63" t="s">
        <v>126</v>
      </c>
      <c r="S270" s="96" t="s">
        <v>227</v>
      </c>
      <c r="T270" s="10" t="s">
        <v>228</v>
      </c>
      <c r="U270" s="10" t="s">
        <v>198</v>
      </c>
      <c r="V270" s="10" t="s">
        <v>66</v>
      </c>
      <c r="W270" s="10" t="s">
        <v>229</v>
      </c>
      <c r="X270" s="9" t="s">
        <v>67</v>
      </c>
      <c r="Y270" s="10" t="s">
        <v>68</v>
      </c>
      <c r="Z270" s="94" t="s">
        <v>125</v>
      </c>
      <c r="AA270" s="94" t="s">
        <v>90</v>
      </c>
      <c r="AB270" s="9" t="s">
        <v>71</v>
      </c>
      <c r="AC270" s="10" t="s">
        <v>144</v>
      </c>
      <c r="AD270" s="10" t="s">
        <v>279</v>
      </c>
      <c r="AE270" s="65" t="s">
        <v>73</v>
      </c>
      <c r="AF270" s="39" t="s">
        <v>214</v>
      </c>
      <c r="AG270" s="10" t="s">
        <v>127</v>
      </c>
      <c r="AH270" s="4">
        <v>650</v>
      </c>
      <c r="AI270" s="11" t="s">
        <v>264</v>
      </c>
      <c r="AJ270" s="4" t="s">
        <v>241</v>
      </c>
      <c r="AK270" s="36">
        <v>706</v>
      </c>
      <c r="AL270" s="30">
        <v>388300000</v>
      </c>
      <c r="AM270" s="30">
        <v>10</v>
      </c>
      <c r="AN270" s="30">
        <v>5456715</v>
      </c>
      <c r="AO270" s="30">
        <v>65</v>
      </c>
      <c r="AP270" s="30">
        <v>35516586</v>
      </c>
      <c r="AQ270" s="30">
        <v>174</v>
      </c>
      <c r="AR270" s="30">
        <v>91815522</v>
      </c>
      <c r="AS270" s="52">
        <f t="shared" si="37"/>
        <v>0.24645892351274787</v>
      </c>
    </row>
    <row r="271" spans="2:45" x14ac:dyDescent="0.3">
      <c r="B271" s="32" t="s">
        <v>378</v>
      </c>
      <c r="C271" s="10" t="str">
        <f t="shared" si="35"/>
        <v>DJ8B0</v>
      </c>
      <c r="D271" s="10" t="s">
        <v>55</v>
      </c>
      <c r="E271" s="10" t="str">
        <f t="shared" si="39"/>
        <v>W</v>
      </c>
      <c r="F271" s="10" t="str">
        <f t="shared" si="40"/>
        <v>DJ</v>
      </c>
      <c r="G271" s="10" t="s">
        <v>56</v>
      </c>
      <c r="H271" s="4" t="s">
        <v>379</v>
      </c>
      <c r="I271" s="10" t="s">
        <v>105</v>
      </c>
      <c r="J271" s="4">
        <f t="shared" si="36"/>
        <v>1</v>
      </c>
      <c r="K271" s="4">
        <v>1</v>
      </c>
      <c r="L271" s="30">
        <v>550000</v>
      </c>
      <c r="M271" s="78" t="s">
        <v>225</v>
      </c>
      <c r="N271" s="98" t="s">
        <v>226</v>
      </c>
      <c r="O271" s="10" t="s">
        <v>61</v>
      </c>
      <c r="P271" s="63">
        <v>100</v>
      </c>
      <c r="Q271" s="94" t="s">
        <v>119</v>
      </c>
      <c r="R271" s="63" t="s">
        <v>126</v>
      </c>
      <c r="S271" s="96" t="s">
        <v>227</v>
      </c>
      <c r="T271" s="10" t="s">
        <v>228</v>
      </c>
      <c r="U271" s="10" t="s">
        <v>198</v>
      </c>
      <c r="V271" s="10" t="s">
        <v>66</v>
      </c>
      <c r="W271" s="10" t="s">
        <v>229</v>
      </c>
      <c r="X271" s="9" t="s">
        <v>67</v>
      </c>
      <c r="Y271" s="10" t="s">
        <v>68</v>
      </c>
      <c r="Z271" s="94" t="s">
        <v>125</v>
      </c>
      <c r="AA271" s="94" t="s">
        <v>90</v>
      </c>
      <c r="AB271" s="9" t="s">
        <v>71</v>
      </c>
      <c r="AC271" s="10" t="s">
        <v>144</v>
      </c>
      <c r="AD271" s="10" t="s">
        <v>279</v>
      </c>
      <c r="AE271" s="65" t="s">
        <v>73</v>
      </c>
      <c r="AF271" s="39" t="s">
        <v>175</v>
      </c>
      <c r="AG271" s="10" t="s">
        <v>127</v>
      </c>
      <c r="AH271" s="4">
        <v>650</v>
      </c>
      <c r="AI271" s="11" t="s">
        <v>264</v>
      </c>
      <c r="AJ271" s="4" t="s">
        <v>241</v>
      </c>
      <c r="AK271" s="36">
        <v>914</v>
      </c>
      <c r="AL271" s="30">
        <v>502700000</v>
      </c>
      <c r="AM271" s="30">
        <v>16</v>
      </c>
      <c r="AN271" s="30">
        <v>8528312</v>
      </c>
      <c r="AO271" s="30">
        <v>83</v>
      </c>
      <c r="AP271" s="30">
        <v>44526467</v>
      </c>
      <c r="AQ271" s="30">
        <v>233</v>
      </c>
      <c r="AR271" s="30">
        <v>122710032</v>
      </c>
      <c r="AS271" s="52">
        <f t="shared" si="37"/>
        <v>0.25492341356673959</v>
      </c>
    </row>
    <row r="272" spans="2:45" x14ac:dyDescent="0.3">
      <c r="B272" s="32" t="s">
        <v>378</v>
      </c>
      <c r="C272" s="10" t="str">
        <f t="shared" si="35"/>
        <v>DJ8B0</v>
      </c>
      <c r="D272" s="10" t="s">
        <v>55</v>
      </c>
      <c r="E272" s="10" t="str">
        <f t="shared" si="39"/>
        <v>W</v>
      </c>
      <c r="F272" s="10" t="str">
        <f t="shared" si="40"/>
        <v>DJ</v>
      </c>
      <c r="G272" s="10" t="s">
        <v>56</v>
      </c>
      <c r="H272" s="4" t="s">
        <v>379</v>
      </c>
      <c r="I272" s="10" t="s">
        <v>78</v>
      </c>
      <c r="J272" s="4" t="str">
        <f t="shared" si="36"/>
        <v/>
      </c>
      <c r="K272" s="4">
        <v>1</v>
      </c>
      <c r="L272" s="30">
        <v>550000</v>
      </c>
      <c r="M272" s="78" t="s">
        <v>225</v>
      </c>
      <c r="N272" s="98" t="s">
        <v>226</v>
      </c>
      <c r="O272" s="10" t="s">
        <v>61</v>
      </c>
      <c r="P272" s="63">
        <v>100</v>
      </c>
      <c r="Q272" s="94" t="s">
        <v>119</v>
      </c>
      <c r="R272" s="63" t="s">
        <v>126</v>
      </c>
      <c r="S272" s="96" t="s">
        <v>227</v>
      </c>
      <c r="T272" s="10" t="s">
        <v>228</v>
      </c>
      <c r="U272" s="10" t="s">
        <v>198</v>
      </c>
      <c r="V272" s="10" t="s">
        <v>66</v>
      </c>
      <c r="W272" s="10" t="s">
        <v>229</v>
      </c>
      <c r="X272" s="9" t="s">
        <v>67</v>
      </c>
      <c r="Y272" s="10" t="s">
        <v>68</v>
      </c>
      <c r="Z272" s="94" t="s">
        <v>125</v>
      </c>
      <c r="AA272" s="94" t="s">
        <v>90</v>
      </c>
      <c r="AB272" s="9" t="s">
        <v>71</v>
      </c>
      <c r="AC272" s="10" t="s">
        <v>144</v>
      </c>
      <c r="AD272" s="10" t="s">
        <v>279</v>
      </c>
      <c r="AE272" s="65" t="s">
        <v>73</v>
      </c>
      <c r="AF272" s="39" t="s">
        <v>175</v>
      </c>
      <c r="AG272" s="10" t="s">
        <v>127</v>
      </c>
      <c r="AH272" s="4">
        <v>650</v>
      </c>
      <c r="AI272" s="11" t="s">
        <v>264</v>
      </c>
      <c r="AJ272" s="4" t="s">
        <v>241</v>
      </c>
      <c r="AK272" s="36">
        <v>1207</v>
      </c>
      <c r="AL272" s="30">
        <v>663850000</v>
      </c>
      <c r="AM272" s="30">
        <v>26</v>
      </c>
      <c r="AN272" s="30">
        <v>13999430</v>
      </c>
      <c r="AO272" s="30">
        <v>153</v>
      </c>
      <c r="AP272" s="30">
        <v>82406466</v>
      </c>
      <c r="AQ272" s="30">
        <v>371</v>
      </c>
      <c r="AR272" s="30">
        <v>197336385</v>
      </c>
      <c r="AS272" s="52">
        <f t="shared" si="37"/>
        <v>0.30737365368682684</v>
      </c>
    </row>
    <row r="273" spans="2:45" x14ac:dyDescent="0.3">
      <c r="B273" s="32" t="s">
        <v>380</v>
      </c>
      <c r="C273" s="10" t="str">
        <f t="shared" si="35"/>
        <v>DJ8C0</v>
      </c>
      <c r="D273" s="10" t="s">
        <v>55</v>
      </c>
      <c r="E273" s="10" t="str">
        <f t="shared" si="39"/>
        <v>X</v>
      </c>
      <c r="F273" s="10" t="str">
        <f t="shared" si="40"/>
        <v>DJ</v>
      </c>
      <c r="G273" s="10" t="s">
        <v>56</v>
      </c>
      <c r="H273" s="4" t="s">
        <v>381</v>
      </c>
      <c r="I273" s="10" t="s">
        <v>140</v>
      </c>
      <c r="J273" s="4">
        <f t="shared" si="36"/>
        <v>1</v>
      </c>
      <c r="K273" s="4">
        <v>1</v>
      </c>
      <c r="L273" s="30">
        <v>279000</v>
      </c>
      <c r="M273" s="78" t="s">
        <v>217</v>
      </c>
      <c r="N273" s="98" t="s">
        <v>382</v>
      </c>
      <c r="O273" s="10" t="s">
        <v>61</v>
      </c>
      <c r="P273" s="63">
        <v>100</v>
      </c>
      <c r="Q273" s="94" t="s">
        <v>219</v>
      </c>
      <c r="R273" s="63" t="s">
        <v>220</v>
      </c>
      <c r="S273" s="96" t="s">
        <v>221</v>
      </c>
      <c r="T273" s="10" t="s">
        <v>65</v>
      </c>
      <c r="U273" s="10"/>
      <c r="V273" s="10" t="s">
        <v>222</v>
      </c>
      <c r="W273" s="10"/>
      <c r="X273" s="9" t="s">
        <v>67</v>
      </c>
      <c r="Y273" s="10" t="s">
        <v>68</v>
      </c>
      <c r="Z273" s="94" t="s">
        <v>154</v>
      </c>
      <c r="AA273" s="94" t="s">
        <v>185</v>
      </c>
      <c r="AB273" s="9" t="s">
        <v>71</v>
      </c>
      <c r="AC273" s="10" t="s">
        <v>85</v>
      </c>
      <c r="AD273" s="10" t="s">
        <v>208</v>
      </c>
      <c r="AE273" s="65" t="s">
        <v>137</v>
      </c>
      <c r="AF273" s="39" t="s">
        <v>383</v>
      </c>
      <c r="AG273" s="10" t="s">
        <v>127</v>
      </c>
      <c r="AH273" s="4">
        <v>650</v>
      </c>
      <c r="AI273" s="11" t="s">
        <v>264</v>
      </c>
      <c r="AJ273" s="55" t="s">
        <v>384</v>
      </c>
      <c r="AK273" s="36">
        <v>3324</v>
      </c>
      <c r="AL273" s="30">
        <v>927396000</v>
      </c>
      <c r="AM273" s="30">
        <v>396</v>
      </c>
      <c r="AN273" s="30">
        <v>108900651</v>
      </c>
      <c r="AO273" s="30">
        <v>1625</v>
      </c>
      <c r="AP273" s="30">
        <v>444025582</v>
      </c>
      <c r="AQ273" s="30">
        <v>3117</v>
      </c>
      <c r="AR273" s="30">
        <v>835043570</v>
      </c>
      <c r="AS273" s="52">
        <f t="shared" si="37"/>
        <v>0.93772563176895307</v>
      </c>
    </row>
    <row r="274" spans="2:45" x14ac:dyDescent="0.3">
      <c r="B274" s="32" t="s">
        <v>380</v>
      </c>
      <c r="C274" s="10" t="str">
        <f t="shared" si="35"/>
        <v>DJ8C0</v>
      </c>
      <c r="D274" s="10" t="s">
        <v>55</v>
      </c>
      <c r="E274" s="10" t="str">
        <f t="shared" si="39"/>
        <v>X</v>
      </c>
      <c r="F274" s="10" t="str">
        <f t="shared" si="40"/>
        <v>DJ</v>
      </c>
      <c r="G274" s="10" t="s">
        <v>56</v>
      </c>
      <c r="H274" s="4" t="s">
        <v>381</v>
      </c>
      <c r="I274" s="10" t="s">
        <v>385</v>
      </c>
      <c r="J274" s="4" t="str">
        <f t="shared" si="36"/>
        <v/>
      </c>
      <c r="K274" s="4">
        <v>1</v>
      </c>
      <c r="L274" s="30">
        <v>279000</v>
      </c>
      <c r="M274" s="78" t="s">
        <v>217</v>
      </c>
      <c r="N274" s="98" t="s">
        <v>329</v>
      </c>
      <c r="O274" s="10" t="s">
        <v>61</v>
      </c>
      <c r="P274" s="63">
        <v>100</v>
      </c>
      <c r="Q274" s="94" t="s">
        <v>330</v>
      </c>
      <c r="R274" s="63" t="s">
        <v>246</v>
      </c>
      <c r="S274" s="96" t="s">
        <v>331</v>
      </c>
      <c r="T274" s="10" t="s">
        <v>122</v>
      </c>
      <c r="U274" s="10" t="s">
        <v>332</v>
      </c>
      <c r="V274" s="10" t="s">
        <v>66</v>
      </c>
      <c r="W274" s="10"/>
      <c r="X274" s="9" t="s">
        <v>67</v>
      </c>
      <c r="Y274" s="10" t="s">
        <v>68</v>
      </c>
      <c r="Z274" s="94" t="s">
        <v>125</v>
      </c>
      <c r="AA274" s="94" t="s">
        <v>90</v>
      </c>
      <c r="AB274" s="9" t="s">
        <v>71</v>
      </c>
      <c r="AC274" s="10" t="s">
        <v>85</v>
      </c>
      <c r="AD274" s="10" t="s">
        <v>208</v>
      </c>
      <c r="AE274" s="65" t="s">
        <v>137</v>
      </c>
      <c r="AF274" s="39" t="s">
        <v>367</v>
      </c>
      <c r="AG274" s="10" t="s">
        <v>127</v>
      </c>
      <c r="AH274" s="4">
        <v>650</v>
      </c>
      <c r="AI274" s="11" t="s">
        <v>264</v>
      </c>
      <c r="AJ274" s="55" t="s">
        <v>384</v>
      </c>
      <c r="AK274" s="36">
        <v>1587</v>
      </c>
      <c r="AL274" s="30">
        <v>442773000</v>
      </c>
      <c r="AM274" s="30">
        <v>107</v>
      </c>
      <c r="AN274" s="30">
        <v>29336900</v>
      </c>
      <c r="AO274" s="30">
        <v>500</v>
      </c>
      <c r="AP274" s="30">
        <v>134666190</v>
      </c>
      <c r="AQ274" s="30">
        <v>1113</v>
      </c>
      <c r="AR274" s="30">
        <v>295866879</v>
      </c>
      <c r="AS274" s="52">
        <f t="shared" si="37"/>
        <v>0.70132325141776941</v>
      </c>
    </row>
    <row r="275" spans="2:45" x14ac:dyDescent="0.3">
      <c r="B275" s="32" t="s">
        <v>380</v>
      </c>
      <c r="C275" s="10" t="str">
        <f t="shared" si="35"/>
        <v>DJ8C0</v>
      </c>
      <c r="D275" s="10" t="s">
        <v>55</v>
      </c>
      <c r="E275" s="10" t="str">
        <f t="shared" si="39"/>
        <v>X</v>
      </c>
      <c r="F275" s="10" t="str">
        <f t="shared" si="40"/>
        <v>DJ</v>
      </c>
      <c r="G275" s="10" t="s">
        <v>56</v>
      </c>
      <c r="H275" s="4" t="s">
        <v>381</v>
      </c>
      <c r="I275" s="10" t="s">
        <v>78</v>
      </c>
      <c r="J275" s="4" t="str">
        <f t="shared" si="36"/>
        <v/>
      </c>
      <c r="K275" s="4">
        <v>1</v>
      </c>
      <c r="L275" s="30">
        <v>279000</v>
      </c>
      <c r="M275" s="78" t="s">
        <v>217</v>
      </c>
      <c r="N275" s="98" t="s">
        <v>329</v>
      </c>
      <c r="O275" s="10" t="s">
        <v>61</v>
      </c>
      <c r="P275" s="63">
        <v>100</v>
      </c>
      <c r="Q275" s="94" t="s">
        <v>330</v>
      </c>
      <c r="R275" s="63" t="s">
        <v>246</v>
      </c>
      <c r="S275" s="96" t="s">
        <v>331</v>
      </c>
      <c r="T275" s="10" t="s">
        <v>122</v>
      </c>
      <c r="U275" s="10" t="s">
        <v>332</v>
      </c>
      <c r="V275" s="10" t="s">
        <v>66</v>
      </c>
      <c r="W275" s="10"/>
      <c r="X275" s="9" t="s">
        <v>67</v>
      </c>
      <c r="Y275" s="10" t="s">
        <v>68</v>
      </c>
      <c r="Z275" s="94" t="s">
        <v>125</v>
      </c>
      <c r="AA275" s="94" t="s">
        <v>90</v>
      </c>
      <c r="AB275" s="9" t="s">
        <v>71</v>
      </c>
      <c r="AC275" s="10" t="s">
        <v>85</v>
      </c>
      <c r="AD275" s="10" t="s">
        <v>208</v>
      </c>
      <c r="AE275" s="65" t="s">
        <v>137</v>
      </c>
      <c r="AF275" s="39" t="s">
        <v>367</v>
      </c>
      <c r="AG275" s="10" t="s">
        <v>127</v>
      </c>
      <c r="AH275" s="4">
        <v>650</v>
      </c>
      <c r="AI275" s="11" t="s">
        <v>264</v>
      </c>
      <c r="AJ275" s="55" t="s">
        <v>384</v>
      </c>
      <c r="AK275" s="36">
        <v>10994</v>
      </c>
      <c r="AL275" s="30">
        <v>3067326000</v>
      </c>
      <c r="AM275" s="30">
        <v>892</v>
      </c>
      <c r="AN275" s="30">
        <v>243895770</v>
      </c>
      <c r="AO275" s="30">
        <v>3974</v>
      </c>
      <c r="AP275" s="30">
        <v>1065284249</v>
      </c>
      <c r="AQ275" s="30">
        <v>8158</v>
      </c>
      <c r="AR275" s="30">
        <v>2161266529</v>
      </c>
      <c r="AS275" s="52">
        <f t="shared" si="37"/>
        <v>0.74204111333454614</v>
      </c>
    </row>
    <row r="276" spans="2:45" x14ac:dyDescent="0.3">
      <c r="B276" s="32" t="s">
        <v>380</v>
      </c>
      <c r="C276" s="10" t="str">
        <f t="shared" si="35"/>
        <v>DJ8C0</v>
      </c>
      <c r="D276" s="10" t="s">
        <v>55</v>
      </c>
      <c r="E276" s="10" t="str">
        <f t="shared" si="39"/>
        <v>X</v>
      </c>
      <c r="F276" s="10" t="str">
        <f t="shared" si="40"/>
        <v>DJ</v>
      </c>
      <c r="G276" s="10" t="s">
        <v>56</v>
      </c>
      <c r="H276" s="4" t="s">
        <v>381</v>
      </c>
      <c r="I276" s="10" t="s">
        <v>233</v>
      </c>
      <c r="J276" s="4" t="str">
        <f t="shared" si="36"/>
        <v/>
      </c>
      <c r="K276" s="4">
        <v>1</v>
      </c>
      <c r="L276" s="30">
        <v>279000</v>
      </c>
      <c r="M276" s="78" t="s">
        <v>217</v>
      </c>
      <c r="N276" s="98" t="s">
        <v>329</v>
      </c>
      <c r="O276" s="10" t="s">
        <v>61</v>
      </c>
      <c r="P276" s="63">
        <v>100</v>
      </c>
      <c r="Q276" s="94" t="s">
        <v>330</v>
      </c>
      <c r="R276" s="63" t="s">
        <v>246</v>
      </c>
      <c r="S276" s="96" t="s">
        <v>331</v>
      </c>
      <c r="T276" s="10" t="s">
        <v>122</v>
      </c>
      <c r="U276" s="10" t="s">
        <v>332</v>
      </c>
      <c r="V276" s="10" t="s">
        <v>66</v>
      </c>
      <c r="W276" s="10"/>
      <c r="X276" s="9" t="s">
        <v>67</v>
      </c>
      <c r="Y276" s="10" t="s">
        <v>68</v>
      </c>
      <c r="Z276" s="94" t="s">
        <v>125</v>
      </c>
      <c r="AA276" s="94" t="s">
        <v>90</v>
      </c>
      <c r="AB276" s="9" t="s">
        <v>71</v>
      </c>
      <c r="AC276" s="10" t="s">
        <v>85</v>
      </c>
      <c r="AD276" s="10" t="s">
        <v>208</v>
      </c>
      <c r="AE276" s="65" t="s">
        <v>137</v>
      </c>
      <c r="AF276" s="39" t="s">
        <v>367</v>
      </c>
      <c r="AG276" s="10" t="s">
        <v>127</v>
      </c>
      <c r="AH276" s="4">
        <v>650</v>
      </c>
      <c r="AI276" s="11" t="s">
        <v>264</v>
      </c>
      <c r="AJ276" s="55" t="s">
        <v>384</v>
      </c>
      <c r="AK276" s="36">
        <v>3424</v>
      </c>
      <c r="AL276" s="30">
        <v>955296000</v>
      </c>
      <c r="AM276" s="30">
        <v>128</v>
      </c>
      <c r="AN276" s="30">
        <v>35240101</v>
      </c>
      <c r="AO276" s="30">
        <v>601</v>
      </c>
      <c r="AP276" s="30">
        <v>161025428</v>
      </c>
      <c r="AQ276" s="30">
        <v>1484</v>
      </c>
      <c r="AR276" s="30">
        <v>399102608</v>
      </c>
      <c r="AS276" s="52">
        <f t="shared" si="37"/>
        <v>0.43341121495327101</v>
      </c>
    </row>
    <row r="277" spans="2:45" x14ac:dyDescent="0.3">
      <c r="B277" s="32" t="s">
        <v>380</v>
      </c>
      <c r="C277" s="10" t="str">
        <f t="shared" si="35"/>
        <v>DJ8C0</v>
      </c>
      <c r="D277" s="10" t="s">
        <v>55</v>
      </c>
      <c r="E277" s="10" t="str">
        <f t="shared" si="39"/>
        <v>X</v>
      </c>
      <c r="F277" s="10" t="str">
        <f t="shared" si="40"/>
        <v>DJ</v>
      </c>
      <c r="G277" s="10" t="s">
        <v>56</v>
      </c>
      <c r="H277" s="4" t="s">
        <v>381</v>
      </c>
      <c r="I277" s="10" t="s">
        <v>111</v>
      </c>
      <c r="J277" s="4" t="str">
        <f t="shared" si="36"/>
        <v/>
      </c>
      <c r="K277" s="4">
        <v>1</v>
      </c>
      <c r="L277" s="30">
        <v>279000</v>
      </c>
      <c r="M277" s="78" t="s">
        <v>217</v>
      </c>
      <c r="N277" s="98" t="s">
        <v>329</v>
      </c>
      <c r="O277" s="10" t="s">
        <v>61</v>
      </c>
      <c r="P277" s="63">
        <v>100</v>
      </c>
      <c r="Q277" s="94" t="s">
        <v>330</v>
      </c>
      <c r="R277" s="63" t="s">
        <v>246</v>
      </c>
      <c r="S277" s="96" t="s">
        <v>331</v>
      </c>
      <c r="T277" s="10" t="s">
        <v>122</v>
      </c>
      <c r="U277" s="10" t="s">
        <v>332</v>
      </c>
      <c r="V277" s="10" t="s">
        <v>66</v>
      </c>
      <c r="W277" s="10"/>
      <c r="X277" s="9" t="s">
        <v>67</v>
      </c>
      <c r="Y277" s="10" t="s">
        <v>68</v>
      </c>
      <c r="Z277" s="94" t="s">
        <v>125</v>
      </c>
      <c r="AA277" s="94" t="s">
        <v>90</v>
      </c>
      <c r="AB277" s="9" t="s">
        <v>71</v>
      </c>
      <c r="AC277" s="10" t="s">
        <v>85</v>
      </c>
      <c r="AD277" s="10" t="s">
        <v>208</v>
      </c>
      <c r="AE277" s="65" t="s">
        <v>137</v>
      </c>
      <c r="AF277" s="39" t="s">
        <v>367</v>
      </c>
      <c r="AG277" s="10" t="s">
        <v>127</v>
      </c>
      <c r="AH277" s="4">
        <v>650</v>
      </c>
      <c r="AI277" s="11" t="s">
        <v>264</v>
      </c>
      <c r="AJ277" s="55" t="s">
        <v>384</v>
      </c>
      <c r="AK277" s="36">
        <v>2123</v>
      </c>
      <c r="AL277" s="30">
        <v>592317000</v>
      </c>
      <c r="AM277" s="30">
        <v>120</v>
      </c>
      <c r="AN277" s="30">
        <v>32794867</v>
      </c>
      <c r="AO277" s="30">
        <v>542</v>
      </c>
      <c r="AP277" s="30">
        <v>148120438</v>
      </c>
      <c r="AQ277" s="30">
        <v>1106</v>
      </c>
      <c r="AR277" s="30">
        <v>295487004</v>
      </c>
      <c r="AS277" s="52">
        <f t="shared" si="37"/>
        <v>0.5209609043805935</v>
      </c>
    </row>
    <row r="278" spans="2:45" x14ac:dyDescent="0.3">
      <c r="B278" s="32" t="s">
        <v>380</v>
      </c>
      <c r="C278" s="10" t="str">
        <f t="shared" si="35"/>
        <v>DJ8C0</v>
      </c>
      <c r="D278" s="10" t="s">
        <v>55</v>
      </c>
      <c r="E278" s="10" t="str">
        <f t="shared" si="39"/>
        <v>X</v>
      </c>
      <c r="F278" s="10" t="str">
        <f t="shared" si="40"/>
        <v>DJ</v>
      </c>
      <c r="G278" s="10" t="s">
        <v>56</v>
      </c>
      <c r="H278" s="4" t="s">
        <v>381</v>
      </c>
      <c r="I278" s="10" t="s">
        <v>386</v>
      </c>
      <c r="J278" s="4" t="str">
        <f t="shared" si="36"/>
        <v/>
      </c>
      <c r="K278" s="4">
        <v>1</v>
      </c>
      <c r="L278" s="30">
        <v>279000</v>
      </c>
      <c r="M278" s="78" t="s">
        <v>217</v>
      </c>
      <c r="N278" s="98" t="s">
        <v>218</v>
      </c>
      <c r="O278" s="10" t="s">
        <v>61</v>
      </c>
      <c r="P278" s="63">
        <v>100</v>
      </c>
      <c r="Q278" s="94" t="s">
        <v>219</v>
      </c>
      <c r="R278" s="63" t="s">
        <v>220</v>
      </c>
      <c r="S278" s="96" t="s">
        <v>221</v>
      </c>
      <c r="T278" s="10" t="s">
        <v>65</v>
      </c>
      <c r="U278" s="10"/>
      <c r="V278" s="10" t="s">
        <v>222</v>
      </c>
      <c r="W278" s="10"/>
      <c r="X278" s="9" t="s">
        <v>67</v>
      </c>
      <c r="Y278" s="10" t="s">
        <v>68</v>
      </c>
      <c r="Z278" s="94" t="s">
        <v>154</v>
      </c>
      <c r="AA278" s="94" t="s">
        <v>185</v>
      </c>
      <c r="AB278" s="9" t="s">
        <v>71</v>
      </c>
      <c r="AC278" s="10" t="s">
        <v>85</v>
      </c>
      <c r="AD278" s="10" t="s">
        <v>208</v>
      </c>
      <c r="AE278" s="65" t="s">
        <v>137</v>
      </c>
      <c r="AF278" s="39" t="s">
        <v>383</v>
      </c>
      <c r="AG278" s="10" t="s">
        <v>127</v>
      </c>
      <c r="AH278" s="4">
        <v>650</v>
      </c>
      <c r="AI278" s="11" t="s">
        <v>264</v>
      </c>
      <c r="AJ278" s="55" t="s">
        <v>384</v>
      </c>
      <c r="AK278" s="36">
        <v>3447</v>
      </c>
      <c r="AL278" s="30">
        <v>961713000</v>
      </c>
      <c r="AM278" s="30">
        <v>185</v>
      </c>
      <c r="AN278" s="30">
        <v>51142460</v>
      </c>
      <c r="AO278" s="30">
        <v>601</v>
      </c>
      <c r="AP278" s="30">
        <v>164886047</v>
      </c>
      <c r="AQ278" s="30">
        <v>2018</v>
      </c>
      <c r="AR278" s="30">
        <v>554972566</v>
      </c>
      <c r="AS278" s="52">
        <f t="shared" si="37"/>
        <v>0.58543661154627213</v>
      </c>
    </row>
    <row r="279" spans="2:45" x14ac:dyDescent="0.3">
      <c r="B279" s="32" t="s">
        <v>380</v>
      </c>
      <c r="C279" s="10" t="str">
        <f t="shared" si="35"/>
        <v>DJ8C0</v>
      </c>
      <c r="D279" s="10" t="s">
        <v>148</v>
      </c>
      <c r="E279" s="10" t="str">
        <f t="shared" si="39"/>
        <v>X</v>
      </c>
      <c r="F279" s="10" t="str">
        <f t="shared" si="40"/>
        <v>DJ</v>
      </c>
      <c r="G279" s="10" t="s">
        <v>56</v>
      </c>
      <c r="H279" s="4" t="s">
        <v>381</v>
      </c>
      <c r="I279" s="10" t="s">
        <v>387</v>
      </c>
      <c r="J279" s="4" t="str">
        <f t="shared" si="36"/>
        <v/>
      </c>
      <c r="K279" s="4">
        <v>1</v>
      </c>
      <c r="L279" s="30">
        <v>279000</v>
      </c>
      <c r="M279" s="78" t="s">
        <v>217</v>
      </c>
      <c r="N279" s="98" t="s">
        <v>329</v>
      </c>
      <c r="O279" s="10" t="s">
        <v>61</v>
      </c>
      <c r="P279" s="63">
        <v>100</v>
      </c>
      <c r="Q279" s="94" t="s">
        <v>330</v>
      </c>
      <c r="R279" s="63" t="s">
        <v>246</v>
      </c>
      <c r="S279" s="96" t="s">
        <v>331</v>
      </c>
      <c r="T279" s="10" t="s">
        <v>122</v>
      </c>
      <c r="U279" s="10" t="s">
        <v>332</v>
      </c>
      <c r="V279" s="10" t="s">
        <v>66</v>
      </c>
      <c r="W279" s="10"/>
      <c r="X279" s="9" t="s">
        <v>67</v>
      </c>
      <c r="Y279" s="10" t="s">
        <v>68</v>
      </c>
      <c r="Z279" s="94" t="s">
        <v>125</v>
      </c>
      <c r="AA279" s="94" t="s">
        <v>90</v>
      </c>
      <c r="AB279" s="9" t="s">
        <v>71</v>
      </c>
      <c r="AC279" s="10" t="s">
        <v>85</v>
      </c>
      <c r="AD279" s="10" t="s">
        <v>208</v>
      </c>
      <c r="AE279" s="65" t="s">
        <v>137</v>
      </c>
      <c r="AF279" s="39" t="s">
        <v>367</v>
      </c>
      <c r="AG279" s="10" t="s">
        <v>127</v>
      </c>
      <c r="AH279" s="4">
        <v>650</v>
      </c>
      <c r="AI279" s="11" t="s">
        <v>264</v>
      </c>
      <c r="AJ279" s="55" t="s">
        <v>384</v>
      </c>
      <c r="AK279" s="36">
        <v>504</v>
      </c>
      <c r="AL279" s="30">
        <v>140616000</v>
      </c>
      <c r="AM279" s="30">
        <v>36</v>
      </c>
      <c r="AN279" s="30">
        <v>9927610</v>
      </c>
      <c r="AO279" s="30">
        <v>105</v>
      </c>
      <c r="AP279" s="30">
        <v>28921595</v>
      </c>
      <c r="AQ279" s="30">
        <v>345</v>
      </c>
      <c r="AR279" s="30">
        <v>94545158</v>
      </c>
      <c r="AS279" s="52">
        <f t="shared" si="37"/>
        <v>0.68452380952380953</v>
      </c>
    </row>
    <row r="280" spans="2:45" x14ac:dyDescent="0.3">
      <c r="B280" s="32" t="s">
        <v>380</v>
      </c>
      <c r="C280" s="10" t="str">
        <f t="shared" si="35"/>
        <v>DJ8C0</v>
      </c>
      <c r="D280" s="10" t="s">
        <v>148</v>
      </c>
      <c r="E280" s="10" t="str">
        <f t="shared" si="39"/>
        <v>X</v>
      </c>
      <c r="F280" s="10" t="str">
        <f t="shared" si="40"/>
        <v>DJ</v>
      </c>
      <c r="G280" s="10" t="s">
        <v>56</v>
      </c>
      <c r="H280" s="4" t="s">
        <v>381</v>
      </c>
      <c r="I280" s="10" t="s">
        <v>388</v>
      </c>
      <c r="J280" s="4" t="str">
        <f t="shared" si="36"/>
        <v/>
      </c>
      <c r="K280" s="4">
        <v>1</v>
      </c>
      <c r="L280" s="30">
        <v>279000</v>
      </c>
      <c r="M280" s="78" t="s">
        <v>217</v>
      </c>
      <c r="N280" s="98" t="s">
        <v>329</v>
      </c>
      <c r="O280" s="10" t="s">
        <v>61</v>
      </c>
      <c r="P280" s="63">
        <v>100</v>
      </c>
      <c r="Q280" s="94" t="s">
        <v>330</v>
      </c>
      <c r="R280" s="63" t="s">
        <v>246</v>
      </c>
      <c r="S280" s="96" t="s">
        <v>331</v>
      </c>
      <c r="T280" s="10" t="s">
        <v>122</v>
      </c>
      <c r="U280" s="10" t="s">
        <v>332</v>
      </c>
      <c r="V280" s="10" t="s">
        <v>66</v>
      </c>
      <c r="W280" s="10"/>
      <c r="X280" s="9" t="s">
        <v>67</v>
      </c>
      <c r="Y280" s="10" t="s">
        <v>68</v>
      </c>
      <c r="Z280" s="94" t="s">
        <v>125</v>
      </c>
      <c r="AA280" s="94" t="s">
        <v>90</v>
      </c>
      <c r="AB280" s="9" t="s">
        <v>71</v>
      </c>
      <c r="AC280" s="10" t="s">
        <v>85</v>
      </c>
      <c r="AD280" s="10" t="s">
        <v>208</v>
      </c>
      <c r="AE280" s="65" t="s">
        <v>137</v>
      </c>
      <c r="AF280" s="39" t="s">
        <v>367</v>
      </c>
      <c r="AG280" s="10" t="s">
        <v>127</v>
      </c>
      <c r="AH280" s="4">
        <v>650</v>
      </c>
      <c r="AI280" s="11" t="s">
        <v>264</v>
      </c>
      <c r="AJ280" s="55" t="s">
        <v>384</v>
      </c>
      <c r="AK280" s="36">
        <v>1006</v>
      </c>
      <c r="AL280" s="30">
        <v>280674000</v>
      </c>
      <c r="AM280" s="30">
        <v>24</v>
      </c>
      <c r="AN280" s="30">
        <v>6543699</v>
      </c>
      <c r="AO280" s="30">
        <v>64</v>
      </c>
      <c r="AP280" s="30">
        <v>17476521</v>
      </c>
      <c r="AQ280" s="30">
        <v>341</v>
      </c>
      <c r="AR280" s="30">
        <v>92367161</v>
      </c>
      <c r="AS280" s="52">
        <f t="shared" si="37"/>
        <v>0.3389662027833002</v>
      </c>
    </row>
    <row r="281" spans="2:45" x14ac:dyDescent="0.3">
      <c r="B281" s="32" t="s">
        <v>380</v>
      </c>
      <c r="C281" s="10" t="str">
        <f t="shared" si="35"/>
        <v>DJ8C0</v>
      </c>
      <c r="D281" s="10" t="s">
        <v>148</v>
      </c>
      <c r="E281" s="10" t="str">
        <f t="shared" si="39"/>
        <v>X</v>
      </c>
      <c r="F281" s="10" t="str">
        <f t="shared" si="40"/>
        <v>DJ</v>
      </c>
      <c r="G281" s="10" t="s">
        <v>56</v>
      </c>
      <c r="H281" s="4" t="s">
        <v>381</v>
      </c>
      <c r="I281" s="10" t="s">
        <v>209</v>
      </c>
      <c r="J281" s="4" t="str">
        <f t="shared" si="36"/>
        <v/>
      </c>
      <c r="K281" s="4">
        <v>1</v>
      </c>
      <c r="L281" s="30">
        <v>279000</v>
      </c>
      <c r="M281" s="78" t="s">
        <v>217</v>
      </c>
      <c r="N281" s="98" t="s">
        <v>329</v>
      </c>
      <c r="O281" s="10" t="s">
        <v>61</v>
      </c>
      <c r="P281" s="63">
        <v>100</v>
      </c>
      <c r="Q281" s="94" t="s">
        <v>330</v>
      </c>
      <c r="R281" s="63" t="s">
        <v>246</v>
      </c>
      <c r="S281" s="96" t="s">
        <v>331</v>
      </c>
      <c r="T281" s="10" t="s">
        <v>122</v>
      </c>
      <c r="U281" s="10" t="s">
        <v>332</v>
      </c>
      <c r="V281" s="10" t="s">
        <v>66</v>
      </c>
      <c r="W281" s="10"/>
      <c r="X281" s="9" t="s">
        <v>67</v>
      </c>
      <c r="Y281" s="10" t="s">
        <v>68</v>
      </c>
      <c r="Z281" s="94" t="s">
        <v>125</v>
      </c>
      <c r="AA281" s="94" t="s">
        <v>90</v>
      </c>
      <c r="AB281" s="9" t="s">
        <v>71</v>
      </c>
      <c r="AC281" s="10" t="s">
        <v>85</v>
      </c>
      <c r="AD281" s="10" t="s">
        <v>208</v>
      </c>
      <c r="AE281" s="65" t="s">
        <v>137</v>
      </c>
      <c r="AF281" s="39" t="s">
        <v>367</v>
      </c>
      <c r="AG281" s="10" t="s">
        <v>127</v>
      </c>
      <c r="AH281" s="4">
        <v>650</v>
      </c>
      <c r="AI281" s="11" t="s">
        <v>264</v>
      </c>
      <c r="AJ281" s="55" t="s">
        <v>384</v>
      </c>
      <c r="AK281" s="36">
        <v>1012</v>
      </c>
      <c r="AL281" s="30">
        <v>282348000</v>
      </c>
      <c r="AM281" s="30">
        <v>24</v>
      </c>
      <c r="AN281" s="30">
        <v>6584472</v>
      </c>
      <c r="AO281" s="30">
        <v>24</v>
      </c>
      <c r="AP281" s="30">
        <v>6584472</v>
      </c>
      <c r="AQ281" s="30">
        <v>390</v>
      </c>
      <c r="AR281" s="30">
        <v>100135156</v>
      </c>
      <c r="AS281" s="52">
        <f t="shared" si="37"/>
        <v>0.38537549407114624</v>
      </c>
    </row>
    <row r="282" spans="2:45" x14ac:dyDescent="0.3">
      <c r="B282" s="32" t="s">
        <v>389</v>
      </c>
      <c r="C282" s="10" t="str">
        <f t="shared" si="35"/>
        <v>DJ8G0</v>
      </c>
      <c r="D282" s="10" t="s">
        <v>148</v>
      </c>
      <c r="E282" s="10" t="str">
        <f t="shared" si="39"/>
        <v>X</v>
      </c>
      <c r="F282" s="10" t="str">
        <f t="shared" si="40"/>
        <v>DJ</v>
      </c>
      <c r="G282" s="10" t="s">
        <v>56</v>
      </c>
      <c r="H282" s="4" t="s">
        <v>381</v>
      </c>
      <c r="I282" s="10" t="s">
        <v>386</v>
      </c>
      <c r="J282" s="4">
        <f t="shared" si="36"/>
        <v>1</v>
      </c>
      <c r="K282" s="4">
        <v>1</v>
      </c>
      <c r="L282" s="30">
        <v>279000</v>
      </c>
      <c r="M282" s="78" t="s">
        <v>390</v>
      </c>
      <c r="N282" s="98" t="s">
        <v>391</v>
      </c>
      <c r="O282" s="10" t="s">
        <v>61</v>
      </c>
      <c r="P282" s="63">
        <v>100</v>
      </c>
      <c r="Q282" s="94" t="s">
        <v>62</v>
      </c>
      <c r="R282" s="63" t="s">
        <v>392</v>
      </c>
      <c r="S282" s="96" t="s">
        <v>72</v>
      </c>
      <c r="T282" s="10" t="s">
        <v>65</v>
      </c>
      <c r="U282" s="10"/>
      <c r="V282" s="10" t="s">
        <v>222</v>
      </c>
      <c r="W282" s="10"/>
      <c r="X282" s="9" t="s">
        <v>67</v>
      </c>
      <c r="Y282" s="10" t="s">
        <v>68</v>
      </c>
      <c r="Z282" s="94" t="s">
        <v>125</v>
      </c>
      <c r="AA282" s="94" t="s">
        <v>90</v>
      </c>
      <c r="AB282" s="9" t="s">
        <v>71</v>
      </c>
      <c r="AC282" s="10" t="s">
        <v>62</v>
      </c>
      <c r="AD282" s="10" t="s">
        <v>72</v>
      </c>
      <c r="AE282" s="65" t="s">
        <v>137</v>
      </c>
      <c r="AF282" s="39" t="s">
        <v>383</v>
      </c>
      <c r="AG282" s="10" t="s">
        <v>127</v>
      </c>
      <c r="AH282" s="4">
        <v>650</v>
      </c>
      <c r="AI282" s="11" t="s">
        <v>264</v>
      </c>
      <c r="AJ282" s="55" t="s">
        <v>384</v>
      </c>
      <c r="AK282" s="36">
        <v>2500</v>
      </c>
      <c r="AL282" s="30">
        <v>697500000</v>
      </c>
      <c r="AM282" s="30">
        <v>45</v>
      </c>
      <c r="AN282" s="30">
        <v>12545000</v>
      </c>
      <c r="AO282" s="30">
        <v>164</v>
      </c>
      <c r="AP282" s="30">
        <v>45367196</v>
      </c>
      <c r="AQ282" s="30">
        <v>681</v>
      </c>
      <c r="AR282" s="30">
        <v>187999818</v>
      </c>
      <c r="AS282" s="52">
        <f t="shared" si="37"/>
        <v>0.27239999999999998</v>
      </c>
    </row>
    <row r="283" spans="2:45" x14ac:dyDescent="0.3">
      <c r="B283" s="32" t="s">
        <v>393</v>
      </c>
      <c r="C283" s="10" t="str">
        <f t="shared" si="35"/>
        <v>DJ8D0</v>
      </c>
      <c r="D283" s="10" t="s">
        <v>55</v>
      </c>
      <c r="E283" s="10" t="str">
        <f t="shared" si="39"/>
        <v>W</v>
      </c>
      <c r="F283" s="10" t="str">
        <f t="shared" si="40"/>
        <v>DJ</v>
      </c>
      <c r="G283" s="10" t="s">
        <v>56</v>
      </c>
      <c r="H283" s="4" t="s">
        <v>394</v>
      </c>
      <c r="I283" s="10" t="s">
        <v>78</v>
      </c>
      <c r="J283" s="4">
        <f t="shared" si="36"/>
        <v>1</v>
      </c>
      <c r="K283" s="4">
        <v>1</v>
      </c>
      <c r="L283" s="30">
        <v>279000</v>
      </c>
      <c r="M283" s="78" t="s">
        <v>217</v>
      </c>
      <c r="N283" s="98" t="s">
        <v>249</v>
      </c>
      <c r="O283" s="10" t="s">
        <v>61</v>
      </c>
      <c r="P283" s="63">
        <v>100</v>
      </c>
      <c r="Q283" s="94" t="s">
        <v>119</v>
      </c>
      <c r="R283" s="63" t="s">
        <v>246</v>
      </c>
      <c r="S283" s="96" t="s">
        <v>121</v>
      </c>
      <c r="T283" s="10" t="s">
        <v>122</v>
      </c>
      <c r="U283" s="10" t="s">
        <v>250</v>
      </c>
      <c r="V283" s="10" t="s">
        <v>66</v>
      </c>
      <c r="W283" s="10"/>
      <c r="X283" s="9" t="s">
        <v>67</v>
      </c>
      <c r="Y283" s="10" t="s">
        <v>68</v>
      </c>
      <c r="Z283" s="94" t="s">
        <v>125</v>
      </c>
      <c r="AA283" s="94" t="s">
        <v>90</v>
      </c>
      <c r="AB283" s="9" t="s">
        <v>71</v>
      </c>
      <c r="AC283" s="10" t="s">
        <v>85</v>
      </c>
      <c r="AD283" s="10" t="s">
        <v>208</v>
      </c>
      <c r="AE283" s="65" t="s">
        <v>137</v>
      </c>
      <c r="AF283" s="39" t="s">
        <v>395</v>
      </c>
      <c r="AG283" s="10" t="s">
        <v>127</v>
      </c>
      <c r="AH283" s="4">
        <v>650</v>
      </c>
      <c r="AI283" s="11" t="s">
        <v>128</v>
      </c>
      <c r="AJ283" s="4" t="s">
        <v>77</v>
      </c>
      <c r="AK283" s="36">
        <v>4538</v>
      </c>
      <c r="AL283" s="30">
        <v>1266102000</v>
      </c>
      <c r="AM283" s="30">
        <v>293</v>
      </c>
      <c r="AN283" s="30">
        <v>81070404</v>
      </c>
      <c r="AO283" s="30">
        <v>1256</v>
      </c>
      <c r="AP283" s="30">
        <v>346168494</v>
      </c>
      <c r="AQ283" s="30">
        <v>2779</v>
      </c>
      <c r="AR283" s="30">
        <v>757707656</v>
      </c>
      <c r="AS283" s="52">
        <f t="shared" si="37"/>
        <v>0.61238431026884088</v>
      </c>
    </row>
    <row r="284" spans="2:45" x14ac:dyDescent="0.3">
      <c r="B284" s="32" t="s">
        <v>393</v>
      </c>
      <c r="C284" s="10" t="str">
        <f t="shared" ref="C284:C344" si="41">MID(B284,3,5)</f>
        <v>DJ8D0</v>
      </c>
      <c r="D284" s="10" t="s">
        <v>55</v>
      </c>
      <c r="E284" s="10" t="str">
        <f t="shared" si="39"/>
        <v>W</v>
      </c>
      <c r="F284" s="10" t="str">
        <f t="shared" si="40"/>
        <v>DJ</v>
      </c>
      <c r="G284" s="10" t="s">
        <v>56</v>
      </c>
      <c r="H284" s="4" t="s">
        <v>394</v>
      </c>
      <c r="I284" s="10" t="s">
        <v>140</v>
      </c>
      <c r="J284" s="4" t="str">
        <f t="shared" ref="J284:J344" si="42">IF(B284=B283,"",1)</f>
        <v/>
      </c>
      <c r="K284" s="4">
        <v>1</v>
      </c>
      <c r="L284" s="30">
        <v>279000</v>
      </c>
      <c r="M284" s="78" t="s">
        <v>217</v>
      </c>
      <c r="N284" s="98" t="s">
        <v>218</v>
      </c>
      <c r="O284" s="10" t="s">
        <v>61</v>
      </c>
      <c r="P284" s="63">
        <v>100</v>
      </c>
      <c r="Q284" s="94" t="s">
        <v>219</v>
      </c>
      <c r="R284" s="63" t="s">
        <v>220</v>
      </c>
      <c r="S284" s="96" t="s">
        <v>221</v>
      </c>
      <c r="T284" s="10" t="s">
        <v>65</v>
      </c>
      <c r="U284" s="10"/>
      <c r="V284" s="10" t="s">
        <v>222</v>
      </c>
      <c r="W284" s="10"/>
      <c r="X284" s="9" t="s">
        <v>67</v>
      </c>
      <c r="Y284" s="10" t="s">
        <v>68</v>
      </c>
      <c r="Z284" s="94" t="s">
        <v>154</v>
      </c>
      <c r="AA284" s="94" t="s">
        <v>185</v>
      </c>
      <c r="AB284" s="9" t="s">
        <v>71</v>
      </c>
      <c r="AC284" s="10" t="s">
        <v>85</v>
      </c>
      <c r="AD284" s="10" t="s">
        <v>208</v>
      </c>
      <c r="AE284" s="65" t="s">
        <v>137</v>
      </c>
      <c r="AF284" s="39" t="s">
        <v>395</v>
      </c>
      <c r="AG284" s="10" t="s">
        <v>127</v>
      </c>
      <c r="AH284" s="4">
        <v>650</v>
      </c>
      <c r="AI284" s="11" t="s">
        <v>128</v>
      </c>
      <c r="AJ284" s="4" t="s">
        <v>77</v>
      </c>
      <c r="AK284" s="36">
        <v>3504</v>
      </c>
      <c r="AL284" s="30">
        <v>977616000</v>
      </c>
      <c r="AM284" s="30">
        <v>355</v>
      </c>
      <c r="AN284" s="30">
        <v>97658748</v>
      </c>
      <c r="AO284" s="30">
        <v>1765</v>
      </c>
      <c r="AP284" s="30">
        <v>484729724</v>
      </c>
      <c r="AQ284" s="30">
        <v>3017</v>
      </c>
      <c r="AR284" s="30">
        <v>820563775</v>
      </c>
      <c r="AS284" s="52">
        <f t="shared" ref="AS284:AS344" si="43">AQ284/AK284</f>
        <v>0.86101598173515981</v>
      </c>
    </row>
    <row r="285" spans="2:45" x14ac:dyDescent="0.3">
      <c r="B285" s="32" t="s">
        <v>393</v>
      </c>
      <c r="C285" s="10" t="str">
        <f t="shared" si="41"/>
        <v>DJ8D0</v>
      </c>
      <c r="D285" s="10" t="s">
        <v>55</v>
      </c>
      <c r="E285" s="10" t="str">
        <f t="shared" si="39"/>
        <v>W</v>
      </c>
      <c r="F285" s="10" t="str">
        <f t="shared" si="40"/>
        <v>DJ</v>
      </c>
      <c r="G285" s="10" t="s">
        <v>56</v>
      </c>
      <c r="H285" s="4" t="s">
        <v>394</v>
      </c>
      <c r="I285" s="10" t="s">
        <v>386</v>
      </c>
      <c r="J285" s="4" t="str">
        <f t="shared" si="42"/>
        <v/>
      </c>
      <c r="K285" s="4">
        <v>1</v>
      </c>
      <c r="L285" s="30">
        <v>279000</v>
      </c>
      <c r="M285" s="78" t="s">
        <v>217</v>
      </c>
      <c r="N285" s="98" t="s">
        <v>218</v>
      </c>
      <c r="O285" s="10" t="s">
        <v>61</v>
      </c>
      <c r="P285" s="63">
        <v>100</v>
      </c>
      <c r="Q285" s="94" t="s">
        <v>219</v>
      </c>
      <c r="R285" s="63" t="s">
        <v>220</v>
      </c>
      <c r="S285" s="96" t="s">
        <v>221</v>
      </c>
      <c r="T285" s="10" t="s">
        <v>65</v>
      </c>
      <c r="U285" s="10"/>
      <c r="V285" s="10" t="s">
        <v>222</v>
      </c>
      <c r="W285" s="10"/>
      <c r="X285" s="9" t="s">
        <v>67</v>
      </c>
      <c r="Y285" s="10" t="s">
        <v>68</v>
      </c>
      <c r="Z285" s="94" t="s">
        <v>154</v>
      </c>
      <c r="AA285" s="94" t="s">
        <v>185</v>
      </c>
      <c r="AB285" s="9" t="s">
        <v>71</v>
      </c>
      <c r="AC285" s="10" t="s">
        <v>85</v>
      </c>
      <c r="AD285" s="10" t="s">
        <v>208</v>
      </c>
      <c r="AE285" s="65" t="s">
        <v>137</v>
      </c>
      <c r="AF285" s="39" t="s">
        <v>395</v>
      </c>
      <c r="AG285" s="10" t="s">
        <v>127</v>
      </c>
      <c r="AH285" s="4">
        <v>650</v>
      </c>
      <c r="AI285" s="11" t="s">
        <v>128</v>
      </c>
      <c r="AJ285" s="4" t="s">
        <v>77</v>
      </c>
      <c r="AK285" s="36">
        <v>1009</v>
      </c>
      <c r="AL285" s="30">
        <v>281511000</v>
      </c>
      <c r="AM285" s="30">
        <v>52</v>
      </c>
      <c r="AN285" s="30">
        <v>14333547</v>
      </c>
      <c r="AO285" s="30">
        <v>228</v>
      </c>
      <c r="AP285" s="30">
        <v>62988650</v>
      </c>
      <c r="AQ285" s="30">
        <v>489</v>
      </c>
      <c r="AR285" s="30">
        <v>133230442</v>
      </c>
      <c r="AS285" s="52">
        <f t="shared" si="43"/>
        <v>0.48463825569871161</v>
      </c>
    </row>
    <row r="286" spans="2:45" x14ac:dyDescent="0.3">
      <c r="B286" s="32" t="s">
        <v>393</v>
      </c>
      <c r="C286" s="10" t="str">
        <f t="shared" si="41"/>
        <v>DJ8D0</v>
      </c>
      <c r="D286" s="10" t="s">
        <v>55</v>
      </c>
      <c r="E286" s="10" t="str">
        <f t="shared" si="39"/>
        <v>W</v>
      </c>
      <c r="F286" s="10" t="str">
        <f t="shared" si="40"/>
        <v>DJ</v>
      </c>
      <c r="G286" s="10" t="s">
        <v>56</v>
      </c>
      <c r="H286" s="4" t="s">
        <v>394</v>
      </c>
      <c r="I286" s="10" t="s">
        <v>396</v>
      </c>
      <c r="J286" s="4" t="str">
        <f t="shared" si="42"/>
        <v/>
      </c>
      <c r="K286" s="4">
        <v>1</v>
      </c>
      <c r="L286" s="30">
        <v>279000</v>
      </c>
      <c r="M286" s="78" t="s">
        <v>217</v>
      </c>
      <c r="N286" s="98" t="s">
        <v>249</v>
      </c>
      <c r="O286" s="10" t="s">
        <v>61</v>
      </c>
      <c r="P286" s="63">
        <v>100</v>
      </c>
      <c r="Q286" s="94" t="s">
        <v>119</v>
      </c>
      <c r="R286" s="63" t="s">
        <v>246</v>
      </c>
      <c r="S286" s="96" t="s">
        <v>121</v>
      </c>
      <c r="T286" s="10" t="s">
        <v>122</v>
      </c>
      <c r="U286" s="10" t="s">
        <v>250</v>
      </c>
      <c r="V286" s="10" t="s">
        <v>66</v>
      </c>
      <c r="W286" s="10"/>
      <c r="X286" s="9" t="s">
        <v>67</v>
      </c>
      <c r="Y286" s="10" t="s">
        <v>68</v>
      </c>
      <c r="Z286" s="94" t="s">
        <v>125</v>
      </c>
      <c r="AA286" s="94" t="s">
        <v>90</v>
      </c>
      <c r="AB286" s="9" t="s">
        <v>71</v>
      </c>
      <c r="AC286" s="10" t="s">
        <v>85</v>
      </c>
      <c r="AD286" s="10" t="s">
        <v>208</v>
      </c>
      <c r="AE286" s="65" t="s">
        <v>137</v>
      </c>
      <c r="AF286" s="39" t="s">
        <v>395</v>
      </c>
      <c r="AG286" s="10" t="s">
        <v>127</v>
      </c>
      <c r="AH286" s="4">
        <v>650</v>
      </c>
      <c r="AI286" s="11" t="s">
        <v>128</v>
      </c>
      <c r="AJ286" s="4" t="s">
        <v>77</v>
      </c>
      <c r="AK286" s="36">
        <v>1009</v>
      </c>
      <c r="AL286" s="30">
        <v>281511000</v>
      </c>
      <c r="AM286" s="30">
        <v>11</v>
      </c>
      <c r="AN286" s="30">
        <v>2982000</v>
      </c>
      <c r="AO286" s="30">
        <v>35</v>
      </c>
      <c r="AP286" s="30">
        <v>9610100</v>
      </c>
      <c r="AQ286" s="30">
        <v>93</v>
      </c>
      <c r="AR286" s="30">
        <v>25295304</v>
      </c>
      <c r="AS286" s="52">
        <f t="shared" si="43"/>
        <v>9.2170465807730431E-2</v>
      </c>
    </row>
    <row r="287" spans="2:45" x14ac:dyDescent="0.3">
      <c r="B287" s="32" t="s">
        <v>393</v>
      </c>
      <c r="C287" s="10" t="str">
        <f t="shared" si="41"/>
        <v>DJ8D0</v>
      </c>
      <c r="D287" s="10" t="s">
        <v>55</v>
      </c>
      <c r="E287" s="10" t="str">
        <f t="shared" si="39"/>
        <v>W</v>
      </c>
      <c r="F287" s="10" t="str">
        <f t="shared" si="40"/>
        <v>DJ</v>
      </c>
      <c r="G287" s="10" t="s">
        <v>56</v>
      </c>
      <c r="H287" s="4" t="s">
        <v>394</v>
      </c>
      <c r="I287" s="10" t="s">
        <v>79</v>
      </c>
      <c r="J287" s="4" t="str">
        <f t="shared" si="42"/>
        <v/>
      </c>
      <c r="K287" s="4">
        <v>1</v>
      </c>
      <c r="L287" s="30">
        <v>279000</v>
      </c>
      <c r="M287" s="78" t="s">
        <v>217</v>
      </c>
      <c r="N287" s="98" t="s">
        <v>249</v>
      </c>
      <c r="O287" s="10" t="s">
        <v>61</v>
      </c>
      <c r="P287" s="63">
        <v>100</v>
      </c>
      <c r="Q287" s="94" t="s">
        <v>119</v>
      </c>
      <c r="R287" s="63" t="s">
        <v>246</v>
      </c>
      <c r="S287" s="96" t="s">
        <v>121</v>
      </c>
      <c r="T287" s="10" t="s">
        <v>122</v>
      </c>
      <c r="U287" s="10" t="s">
        <v>250</v>
      </c>
      <c r="V287" s="10" t="s">
        <v>66</v>
      </c>
      <c r="W287" s="10"/>
      <c r="X287" s="9" t="s">
        <v>67</v>
      </c>
      <c r="Y287" s="10" t="s">
        <v>68</v>
      </c>
      <c r="Z287" s="94" t="s">
        <v>125</v>
      </c>
      <c r="AA287" s="94" t="s">
        <v>90</v>
      </c>
      <c r="AB287" s="9" t="s">
        <v>71</v>
      </c>
      <c r="AC287" s="10" t="s">
        <v>85</v>
      </c>
      <c r="AD287" s="10" t="s">
        <v>208</v>
      </c>
      <c r="AE287" s="65" t="s">
        <v>137</v>
      </c>
      <c r="AF287" s="39" t="s">
        <v>395</v>
      </c>
      <c r="AG287" s="10" t="s">
        <v>127</v>
      </c>
      <c r="AH287" s="4">
        <v>650</v>
      </c>
      <c r="AI287" s="11" t="s">
        <v>128</v>
      </c>
      <c r="AJ287" s="4" t="s">
        <v>77</v>
      </c>
      <c r="AK287" s="36">
        <v>2976</v>
      </c>
      <c r="AL287" s="30">
        <v>830304000</v>
      </c>
      <c r="AM287" s="30">
        <v>178</v>
      </c>
      <c r="AN287" s="30">
        <v>49405604</v>
      </c>
      <c r="AO287" s="30">
        <v>803</v>
      </c>
      <c r="AP287" s="30">
        <v>221177701</v>
      </c>
      <c r="AQ287" s="30">
        <v>1547</v>
      </c>
      <c r="AR287" s="30">
        <v>422045243</v>
      </c>
      <c r="AS287" s="52">
        <f t="shared" si="43"/>
        <v>0.51982526881720426</v>
      </c>
    </row>
    <row r="288" spans="2:45" x14ac:dyDescent="0.3">
      <c r="B288" s="32" t="s">
        <v>393</v>
      </c>
      <c r="C288" s="10" t="str">
        <f t="shared" si="41"/>
        <v>DJ8D0</v>
      </c>
      <c r="D288" s="10" t="s">
        <v>55</v>
      </c>
      <c r="E288" s="10" t="str">
        <f t="shared" si="39"/>
        <v>W</v>
      </c>
      <c r="F288" s="10" t="str">
        <f t="shared" si="40"/>
        <v>DJ</v>
      </c>
      <c r="G288" s="10" t="s">
        <v>56</v>
      </c>
      <c r="H288" s="4" t="s">
        <v>394</v>
      </c>
      <c r="I288" s="10" t="s">
        <v>159</v>
      </c>
      <c r="J288" s="4" t="str">
        <f t="shared" si="42"/>
        <v/>
      </c>
      <c r="K288" s="4">
        <v>1</v>
      </c>
      <c r="L288" s="30">
        <v>279000</v>
      </c>
      <c r="M288" s="78" t="s">
        <v>217</v>
      </c>
      <c r="N288" s="98" t="s">
        <v>249</v>
      </c>
      <c r="O288" s="10" t="s">
        <v>61</v>
      </c>
      <c r="P288" s="63">
        <v>100</v>
      </c>
      <c r="Q288" s="94" t="s">
        <v>119</v>
      </c>
      <c r="R288" s="63" t="s">
        <v>246</v>
      </c>
      <c r="S288" s="96" t="s">
        <v>121</v>
      </c>
      <c r="T288" s="10" t="s">
        <v>122</v>
      </c>
      <c r="U288" s="10" t="s">
        <v>250</v>
      </c>
      <c r="V288" s="10" t="s">
        <v>66</v>
      </c>
      <c r="W288" s="10"/>
      <c r="X288" s="9" t="s">
        <v>67</v>
      </c>
      <c r="Y288" s="10" t="s">
        <v>68</v>
      </c>
      <c r="Z288" s="94" t="s">
        <v>125</v>
      </c>
      <c r="AA288" s="94" t="s">
        <v>90</v>
      </c>
      <c r="AB288" s="9" t="s">
        <v>71</v>
      </c>
      <c r="AC288" s="10" t="s">
        <v>85</v>
      </c>
      <c r="AD288" s="10" t="s">
        <v>208</v>
      </c>
      <c r="AE288" s="65" t="s">
        <v>137</v>
      </c>
      <c r="AF288" s="39" t="s">
        <v>395</v>
      </c>
      <c r="AG288" s="10" t="s">
        <v>127</v>
      </c>
      <c r="AH288" s="4">
        <v>650</v>
      </c>
      <c r="AI288" s="11" t="s">
        <v>128</v>
      </c>
      <c r="AJ288" s="4" t="s">
        <v>77</v>
      </c>
      <c r="AK288" s="36">
        <v>1980</v>
      </c>
      <c r="AL288" s="30">
        <v>552420000</v>
      </c>
      <c r="AM288" s="30">
        <v>111</v>
      </c>
      <c r="AN288" s="30">
        <v>30715400</v>
      </c>
      <c r="AO288" s="30">
        <v>504</v>
      </c>
      <c r="AP288" s="30">
        <v>138740220</v>
      </c>
      <c r="AQ288" s="30">
        <v>1021</v>
      </c>
      <c r="AR288" s="30">
        <v>279651535</v>
      </c>
      <c r="AS288" s="52">
        <f t="shared" si="43"/>
        <v>0.5156565656565657</v>
      </c>
    </row>
    <row r="289" spans="2:45" x14ac:dyDescent="0.3">
      <c r="B289" s="32" t="s">
        <v>393</v>
      </c>
      <c r="C289" s="10" t="str">
        <f t="shared" si="41"/>
        <v>DJ8D0</v>
      </c>
      <c r="D289" s="10" t="s">
        <v>148</v>
      </c>
      <c r="E289" s="10" t="str">
        <f t="shared" si="39"/>
        <v>W</v>
      </c>
      <c r="F289" s="10" t="str">
        <f t="shared" si="40"/>
        <v>DJ</v>
      </c>
      <c r="G289" s="10" t="s">
        <v>56</v>
      </c>
      <c r="H289" s="4" t="s">
        <v>397</v>
      </c>
      <c r="I289" s="10" t="s">
        <v>176</v>
      </c>
      <c r="J289" s="4" t="str">
        <f t="shared" si="42"/>
        <v/>
      </c>
      <c r="K289" s="4">
        <v>1</v>
      </c>
      <c r="L289" s="30">
        <v>279000</v>
      </c>
      <c r="M289" s="78" t="s">
        <v>217</v>
      </c>
      <c r="N289" s="98" t="s">
        <v>218</v>
      </c>
      <c r="O289" s="10" t="s">
        <v>61</v>
      </c>
      <c r="P289" s="63">
        <v>100</v>
      </c>
      <c r="Q289" s="94" t="s">
        <v>219</v>
      </c>
      <c r="R289" s="63" t="s">
        <v>220</v>
      </c>
      <c r="S289" s="96" t="s">
        <v>221</v>
      </c>
      <c r="T289" s="10" t="s">
        <v>65</v>
      </c>
      <c r="U289" s="10"/>
      <c r="V289" s="10" t="s">
        <v>222</v>
      </c>
      <c r="W289" s="10"/>
      <c r="X289" s="9" t="s">
        <v>67</v>
      </c>
      <c r="Y289" s="10" t="s">
        <v>68</v>
      </c>
      <c r="Z289" s="94" t="s">
        <v>154</v>
      </c>
      <c r="AA289" s="94" t="s">
        <v>185</v>
      </c>
      <c r="AB289" s="9" t="s">
        <v>71</v>
      </c>
      <c r="AC289" s="10" t="s">
        <v>85</v>
      </c>
      <c r="AD289" s="10" t="s">
        <v>208</v>
      </c>
      <c r="AE289" s="65" t="s">
        <v>137</v>
      </c>
      <c r="AF289" s="39" t="s">
        <v>395</v>
      </c>
      <c r="AG289" s="10" t="s">
        <v>127</v>
      </c>
      <c r="AH289" s="4">
        <v>650</v>
      </c>
      <c r="AI289" s="11" t="s">
        <v>128</v>
      </c>
      <c r="AJ289" s="4" t="s">
        <v>77</v>
      </c>
      <c r="AK289" s="36">
        <v>606</v>
      </c>
      <c r="AL289" s="30">
        <v>169074000</v>
      </c>
      <c r="AM289" s="30">
        <v>33</v>
      </c>
      <c r="AN289" s="30">
        <v>9177000</v>
      </c>
      <c r="AO289" s="30">
        <v>180</v>
      </c>
      <c r="AP289" s="30">
        <v>49994760</v>
      </c>
      <c r="AQ289" s="30">
        <v>250</v>
      </c>
      <c r="AR289" s="30">
        <v>69053660</v>
      </c>
      <c r="AS289" s="52">
        <f t="shared" si="43"/>
        <v>0.41254125412541254</v>
      </c>
    </row>
    <row r="290" spans="2:45" x14ac:dyDescent="0.3">
      <c r="B290" s="32" t="s">
        <v>398</v>
      </c>
      <c r="C290" s="10" t="str">
        <f t="shared" si="41"/>
        <v>DJ8D0</v>
      </c>
      <c r="D290" s="10" t="s">
        <v>148</v>
      </c>
      <c r="E290" s="10" t="str">
        <f t="shared" si="39"/>
        <v>W</v>
      </c>
      <c r="F290" s="10" t="str">
        <f t="shared" si="40"/>
        <v>DJ</v>
      </c>
      <c r="G290" s="10" t="s">
        <v>56</v>
      </c>
      <c r="H290" s="4" t="s">
        <v>394</v>
      </c>
      <c r="I290" s="10" t="s">
        <v>399</v>
      </c>
      <c r="J290" s="4" t="str">
        <f t="shared" si="42"/>
        <v/>
      </c>
      <c r="K290" s="4">
        <v>1</v>
      </c>
      <c r="L290" s="30">
        <v>279000</v>
      </c>
      <c r="M290" s="78" t="s">
        <v>390</v>
      </c>
      <c r="N290" s="98" t="s">
        <v>391</v>
      </c>
      <c r="O290" s="10" t="s">
        <v>61</v>
      </c>
      <c r="P290" s="63">
        <v>100</v>
      </c>
      <c r="Q290" s="94" t="s">
        <v>62</v>
      </c>
      <c r="R290" s="63" t="s">
        <v>392</v>
      </c>
      <c r="S290" s="96" t="s">
        <v>72</v>
      </c>
      <c r="T290" s="10" t="s">
        <v>65</v>
      </c>
      <c r="U290" s="10"/>
      <c r="V290" s="10" t="s">
        <v>222</v>
      </c>
      <c r="W290" s="10"/>
      <c r="X290" s="9" t="s">
        <v>67</v>
      </c>
      <c r="Y290" s="10" t="s">
        <v>68</v>
      </c>
      <c r="Z290" s="94" t="s">
        <v>154</v>
      </c>
      <c r="AA290" s="94" t="s">
        <v>185</v>
      </c>
      <c r="AB290" s="9" t="s">
        <v>71</v>
      </c>
      <c r="AC290" s="10" t="s">
        <v>85</v>
      </c>
      <c r="AD290" s="10" t="s">
        <v>208</v>
      </c>
      <c r="AE290" s="65" t="s">
        <v>137</v>
      </c>
      <c r="AF290" s="39" t="s">
        <v>395</v>
      </c>
      <c r="AG290" s="10" t="s">
        <v>127</v>
      </c>
      <c r="AH290" s="4">
        <v>650</v>
      </c>
      <c r="AI290" s="11" t="s">
        <v>128</v>
      </c>
      <c r="AJ290" s="4" t="s">
        <v>77</v>
      </c>
      <c r="AK290" s="36">
        <v>809</v>
      </c>
      <c r="AL290" s="30">
        <v>225711000</v>
      </c>
      <c r="AM290" s="30">
        <v>0</v>
      </c>
      <c r="AN290" s="30">
        <v>0</v>
      </c>
      <c r="AO290" s="30">
        <v>0</v>
      </c>
      <c r="AP290" s="30">
        <v>0</v>
      </c>
      <c r="AQ290" s="30">
        <v>24</v>
      </c>
      <c r="AR290" s="30">
        <v>6274800</v>
      </c>
      <c r="AS290" s="52">
        <f t="shared" si="43"/>
        <v>2.9666254635352288E-2</v>
      </c>
    </row>
    <row r="291" spans="2:45" x14ac:dyDescent="0.3">
      <c r="B291" s="32" t="s">
        <v>400</v>
      </c>
      <c r="C291" s="10" t="str">
        <f t="shared" si="41"/>
        <v>DJ8E0</v>
      </c>
      <c r="D291" s="10" t="s">
        <v>55</v>
      </c>
      <c r="E291" s="10" t="str">
        <f t="shared" si="39"/>
        <v>M</v>
      </c>
      <c r="F291" s="10" t="str">
        <f t="shared" si="40"/>
        <v>DJ</v>
      </c>
      <c r="G291" s="10" t="s">
        <v>56</v>
      </c>
      <c r="H291" s="4" t="s">
        <v>401</v>
      </c>
      <c r="I291" s="10" t="s">
        <v>215</v>
      </c>
      <c r="J291" s="4">
        <f t="shared" si="42"/>
        <v>1</v>
      </c>
      <c r="K291" s="4">
        <v>1</v>
      </c>
      <c r="L291" s="30">
        <v>359000</v>
      </c>
      <c r="M291" s="78" t="s">
        <v>217</v>
      </c>
      <c r="N291" s="98" t="s">
        <v>329</v>
      </c>
      <c r="O291" s="10" t="s">
        <v>61</v>
      </c>
      <c r="P291" s="63">
        <v>100</v>
      </c>
      <c r="Q291" s="94" t="s">
        <v>330</v>
      </c>
      <c r="R291" s="63" t="s">
        <v>246</v>
      </c>
      <c r="S291" s="96" t="s">
        <v>331</v>
      </c>
      <c r="T291" s="10" t="s">
        <v>122</v>
      </c>
      <c r="U291" s="10" t="s">
        <v>332</v>
      </c>
      <c r="V291" s="10" t="s">
        <v>66</v>
      </c>
      <c r="W291" s="10"/>
      <c r="X291" s="9" t="s">
        <v>67</v>
      </c>
      <c r="Y291" s="10" t="s">
        <v>68</v>
      </c>
      <c r="Z291" s="94" t="s">
        <v>125</v>
      </c>
      <c r="AA291" s="94" t="s">
        <v>90</v>
      </c>
      <c r="AB291" s="9" t="s">
        <v>71</v>
      </c>
      <c r="AC291" s="10" t="s">
        <v>85</v>
      </c>
      <c r="AD291" s="10" t="s">
        <v>208</v>
      </c>
      <c r="AE291" s="65" t="s">
        <v>137</v>
      </c>
      <c r="AF291" s="39" t="s">
        <v>402</v>
      </c>
      <c r="AG291" s="10" t="s">
        <v>127</v>
      </c>
      <c r="AH291" s="4">
        <v>650</v>
      </c>
      <c r="AI291" s="11" t="s">
        <v>107</v>
      </c>
      <c r="AJ291" s="4" t="s">
        <v>108</v>
      </c>
      <c r="AK291" s="36">
        <v>1198</v>
      </c>
      <c r="AL291" s="30">
        <v>430082000</v>
      </c>
      <c r="AM291" s="30">
        <v>14</v>
      </c>
      <c r="AN291" s="30">
        <v>5016000</v>
      </c>
      <c r="AO291" s="30">
        <v>57</v>
      </c>
      <c r="AP291" s="30">
        <v>20252982</v>
      </c>
      <c r="AQ291" s="30">
        <v>376</v>
      </c>
      <c r="AR291" s="30">
        <v>109686717</v>
      </c>
      <c r="AS291" s="52">
        <f t="shared" si="43"/>
        <v>0.31385642737896496</v>
      </c>
    </row>
    <row r="292" spans="2:45" x14ac:dyDescent="0.3">
      <c r="B292" s="32" t="s">
        <v>400</v>
      </c>
      <c r="C292" s="10" t="str">
        <f t="shared" si="41"/>
        <v>DJ8E0</v>
      </c>
      <c r="D292" s="10" t="s">
        <v>55</v>
      </c>
      <c r="E292" s="10" t="str">
        <f t="shared" si="39"/>
        <v>M</v>
      </c>
      <c r="F292" s="10" t="str">
        <f t="shared" si="40"/>
        <v>DJ</v>
      </c>
      <c r="G292" s="10" t="s">
        <v>56</v>
      </c>
      <c r="H292" s="4" t="s">
        <v>401</v>
      </c>
      <c r="I292" s="10" t="s">
        <v>78</v>
      </c>
      <c r="J292" s="4" t="str">
        <f t="shared" si="42"/>
        <v/>
      </c>
      <c r="K292" s="4">
        <v>1</v>
      </c>
      <c r="L292" s="30">
        <v>359000</v>
      </c>
      <c r="M292" s="78" t="s">
        <v>217</v>
      </c>
      <c r="N292" s="98" t="s">
        <v>329</v>
      </c>
      <c r="O292" s="10" t="s">
        <v>61</v>
      </c>
      <c r="P292" s="63">
        <v>100</v>
      </c>
      <c r="Q292" s="94" t="s">
        <v>330</v>
      </c>
      <c r="R292" s="63" t="s">
        <v>246</v>
      </c>
      <c r="S292" s="96" t="s">
        <v>331</v>
      </c>
      <c r="T292" s="10" t="s">
        <v>122</v>
      </c>
      <c r="U292" s="10" t="s">
        <v>332</v>
      </c>
      <c r="V292" s="10" t="s">
        <v>66</v>
      </c>
      <c r="W292" s="10"/>
      <c r="X292" s="9" t="s">
        <v>67</v>
      </c>
      <c r="Y292" s="10" t="s">
        <v>68</v>
      </c>
      <c r="Z292" s="94" t="s">
        <v>125</v>
      </c>
      <c r="AA292" s="94" t="s">
        <v>90</v>
      </c>
      <c r="AB292" s="9" t="s">
        <v>71</v>
      </c>
      <c r="AC292" s="10" t="s">
        <v>85</v>
      </c>
      <c r="AD292" s="10" t="s">
        <v>208</v>
      </c>
      <c r="AE292" s="65" t="s">
        <v>137</v>
      </c>
      <c r="AF292" s="39" t="s">
        <v>402</v>
      </c>
      <c r="AG292" s="10" t="s">
        <v>127</v>
      </c>
      <c r="AH292" s="4">
        <v>650</v>
      </c>
      <c r="AI292" s="11" t="s">
        <v>107</v>
      </c>
      <c r="AJ292" s="4" t="s">
        <v>108</v>
      </c>
      <c r="AK292" s="36">
        <v>5006</v>
      </c>
      <c r="AL292" s="30">
        <v>1797154000</v>
      </c>
      <c r="AM292" s="30">
        <v>97</v>
      </c>
      <c r="AN292" s="30">
        <v>34398265</v>
      </c>
      <c r="AO292" s="30">
        <v>437</v>
      </c>
      <c r="AP292" s="30">
        <v>154481325</v>
      </c>
      <c r="AQ292" s="30">
        <v>3173</v>
      </c>
      <c r="AR292" s="30">
        <v>893437875</v>
      </c>
      <c r="AS292" s="52">
        <f t="shared" si="43"/>
        <v>0.63383939272872558</v>
      </c>
    </row>
    <row r="293" spans="2:45" x14ac:dyDescent="0.3">
      <c r="B293" s="32" t="s">
        <v>400</v>
      </c>
      <c r="C293" s="10" t="str">
        <f t="shared" si="41"/>
        <v>DJ8E0</v>
      </c>
      <c r="D293" s="10" t="s">
        <v>55</v>
      </c>
      <c r="E293" s="10" t="str">
        <f t="shared" si="39"/>
        <v>M</v>
      </c>
      <c r="F293" s="10" t="str">
        <f t="shared" si="40"/>
        <v>DJ</v>
      </c>
      <c r="G293" s="10" t="s">
        <v>56</v>
      </c>
      <c r="H293" s="4" t="s">
        <v>401</v>
      </c>
      <c r="I293" s="10" t="s">
        <v>260</v>
      </c>
      <c r="J293" s="4" t="str">
        <f t="shared" si="42"/>
        <v/>
      </c>
      <c r="K293" s="4">
        <v>1</v>
      </c>
      <c r="L293" s="30">
        <v>359000</v>
      </c>
      <c r="M293" s="78" t="s">
        <v>217</v>
      </c>
      <c r="N293" s="98" t="s">
        <v>329</v>
      </c>
      <c r="O293" s="10" t="s">
        <v>61</v>
      </c>
      <c r="P293" s="63">
        <v>100</v>
      </c>
      <c r="Q293" s="94" t="s">
        <v>330</v>
      </c>
      <c r="R293" s="63" t="s">
        <v>246</v>
      </c>
      <c r="S293" s="96" t="s">
        <v>331</v>
      </c>
      <c r="T293" s="10" t="s">
        <v>122</v>
      </c>
      <c r="U293" s="10" t="s">
        <v>332</v>
      </c>
      <c r="V293" s="10" t="s">
        <v>66</v>
      </c>
      <c r="W293" s="10"/>
      <c r="X293" s="9" t="s">
        <v>67</v>
      </c>
      <c r="Y293" s="10" t="s">
        <v>68</v>
      </c>
      <c r="Z293" s="94" t="s">
        <v>125</v>
      </c>
      <c r="AA293" s="94" t="s">
        <v>90</v>
      </c>
      <c r="AB293" s="9" t="s">
        <v>71</v>
      </c>
      <c r="AC293" s="10" t="s">
        <v>85</v>
      </c>
      <c r="AD293" s="10" t="s">
        <v>208</v>
      </c>
      <c r="AE293" s="65" t="s">
        <v>137</v>
      </c>
      <c r="AF293" s="39" t="s">
        <v>402</v>
      </c>
      <c r="AG293" s="10" t="s">
        <v>127</v>
      </c>
      <c r="AH293" s="4">
        <v>650</v>
      </c>
      <c r="AI293" s="11" t="s">
        <v>107</v>
      </c>
      <c r="AJ293" s="4" t="s">
        <v>108</v>
      </c>
      <c r="AK293" s="36">
        <v>1009</v>
      </c>
      <c r="AL293" s="30">
        <v>362231000</v>
      </c>
      <c r="AM293" s="30">
        <v>7</v>
      </c>
      <c r="AN293" s="30">
        <v>2503000</v>
      </c>
      <c r="AO293" s="30">
        <v>24</v>
      </c>
      <c r="AP293" s="30">
        <v>8524645</v>
      </c>
      <c r="AQ293" s="30">
        <v>174</v>
      </c>
      <c r="AR293" s="30">
        <v>49945128</v>
      </c>
      <c r="AS293" s="52">
        <f t="shared" si="43"/>
        <v>0.17244796828543113</v>
      </c>
    </row>
    <row r="294" spans="2:45" x14ac:dyDescent="0.3">
      <c r="B294" s="32" t="s">
        <v>403</v>
      </c>
      <c r="C294" s="10" t="str">
        <f t="shared" si="41"/>
        <v>DJ8F0</v>
      </c>
      <c r="D294" s="10" t="s">
        <v>55</v>
      </c>
      <c r="E294" s="10" t="str">
        <f t="shared" si="39"/>
        <v>W</v>
      </c>
      <c r="F294" s="10" t="str">
        <f t="shared" si="40"/>
        <v>DJ</v>
      </c>
      <c r="G294" s="10" t="s">
        <v>56</v>
      </c>
      <c r="H294" s="4" t="s">
        <v>404</v>
      </c>
      <c r="I294" s="10" t="s">
        <v>78</v>
      </c>
      <c r="J294" s="4">
        <f t="shared" si="42"/>
        <v>1</v>
      </c>
      <c r="K294" s="4">
        <v>1</v>
      </c>
      <c r="L294" s="30">
        <v>359000</v>
      </c>
      <c r="M294" s="78" t="s">
        <v>217</v>
      </c>
      <c r="N294" s="98" t="s">
        <v>249</v>
      </c>
      <c r="O294" s="10" t="s">
        <v>61</v>
      </c>
      <c r="P294" s="63">
        <v>100</v>
      </c>
      <c r="Q294" s="94" t="s">
        <v>119</v>
      </c>
      <c r="R294" s="63" t="s">
        <v>246</v>
      </c>
      <c r="S294" s="96" t="s">
        <v>121</v>
      </c>
      <c r="T294" s="10" t="s">
        <v>122</v>
      </c>
      <c r="U294" s="10" t="s">
        <v>250</v>
      </c>
      <c r="V294" s="10" t="s">
        <v>66</v>
      </c>
      <c r="W294" s="10"/>
      <c r="X294" s="9" t="s">
        <v>67</v>
      </c>
      <c r="Y294" s="10" t="s">
        <v>68</v>
      </c>
      <c r="Z294" s="94" t="s">
        <v>125</v>
      </c>
      <c r="AA294" s="94" t="s">
        <v>90</v>
      </c>
      <c r="AB294" s="9" t="s">
        <v>71</v>
      </c>
      <c r="AC294" s="10" t="s">
        <v>85</v>
      </c>
      <c r="AD294" s="10" t="s">
        <v>208</v>
      </c>
      <c r="AE294" s="65" t="s">
        <v>137</v>
      </c>
      <c r="AF294" s="39" t="s">
        <v>405</v>
      </c>
      <c r="AG294" s="10" t="s">
        <v>127</v>
      </c>
      <c r="AH294" s="4">
        <v>650</v>
      </c>
      <c r="AI294" s="11" t="s">
        <v>107</v>
      </c>
      <c r="AJ294" s="4" t="s">
        <v>108</v>
      </c>
      <c r="AK294" s="36">
        <v>6997</v>
      </c>
      <c r="AL294" s="30">
        <v>2511923000</v>
      </c>
      <c r="AM294" s="30">
        <v>229</v>
      </c>
      <c r="AN294" s="30">
        <v>80936698</v>
      </c>
      <c r="AO294" s="30">
        <v>982</v>
      </c>
      <c r="AP294" s="30">
        <v>348423459</v>
      </c>
      <c r="AQ294" s="30">
        <v>5386</v>
      </c>
      <c r="AR294" s="30">
        <v>1547352770</v>
      </c>
      <c r="AS294" s="52">
        <f t="shared" si="43"/>
        <v>0.76975846791482061</v>
      </c>
    </row>
    <row r="295" spans="2:45" x14ac:dyDescent="0.3">
      <c r="B295" s="32" t="s">
        <v>403</v>
      </c>
      <c r="C295" s="10" t="str">
        <f t="shared" si="41"/>
        <v>DJ8F0</v>
      </c>
      <c r="D295" s="10" t="s">
        <v>55</v>
      </c>
      <c r="E295" s="10" t="str">
        <f t="shared" si="39"/>
        <v>W</v>
      </c>
      <c r="F295" s="10" t="str">
        <f t="shared" si="40"/>
        <v>DJ</v>
      </c>
      <c r="G295" s="10" t="s">
        <v>56</v>
      </c>
      <c r="H295" s="4" t="s">
        <v>404</v>
      </c>
      <c r="I295" s="10" t="s">
        <v>215</v>
      </c>
      <c r="J295" s="4" t="str">
        <f t="shared" si="42"/>
        <v/>
      </c>
      <c r="K295" s="4">
        <v>1</v>
      </c>
      <c r="L295" s="30">
        <v>359000</v>
      </c>
      <c r="M295" s="78" t="s">
        <v>217</v>
      </c>
      <c r="N295" s="98" t="s">
        <v>249</v>
      </c>
      <c r="O295" s="10" t="s">
        <v>61</v>
      </c>
      <c r="P295" s="63">
        <v>100</v>
      </c>
      <c r="Q295" s="94" t="s">
        <v>119</v>
      </c>
      <c r="R295" s="63" t="s">
        <v>246</v>
      </c>
      <c r="S295" s="96" t="s">
        <v>121</v>
      </c>
      <c r="T295" s="10" t="s">
        <v>122</v>
      </c>
      <c r="U295" s="10" t="s">
        <v>250</v>
      </c>
      <c r="V295" s="10" t="s">
        <v>66</v>
      </c>
      <c r="W295" s="10"/>
      <c r="X295" s="9" t="s">
        <v>67</v>
      </c>
      <c r="Y295" s="10" t="s">
        <v>68</v>
      </c>
      <c r="Z295" s="94" t="s">
        <v>125</v>
      </c>
      <c r="AA295" s="94" t="s">
        <v>90</v>
      </c>
      <c r="AB295" s="9" t="s">
        <v>71</v>
      </c>
      <c r="AC295" s="10" t="s">
        <v>85</v>
      </c>
      <c r="AD295" s="10" t="s">
        <v>208</v>
      </c>
      <c r="AE295" s="65" t="s">
        <v>137</v>
      </c>
      <c r="AF295" s="39" t="s">
        <v>405</v>
      </c>
      <c r="AG295" s="10" t="s">
        <v>127</v>
      </c>
      <c r="AH295" s="4">
        <v>650</v>
      </c>
      <c r="AI295" s="11" t="s">
        <v>107</v>
      </c>
      <c r="AJ295" s="4" t="s">
        <v>108</v>
      </c>
      <c r="AK295" s="36">
        <v>1407</v>
      </c>
      <c r="AL295" s="30">
        <v>505113000</v>
      </c>
      <c r="AM295" s="30">
        <v>8</v>
      </c>
      <c r="AN295" s="30">
        <v>2872000</v>
      </c>
      <c r="AO295" s="30">
        <v>38</v>
      </c>
      <c r="AP295" s="30">
        <v>13515370</v>
      </c>
      <c r="AQ295" s="30">
        <v>215</v>
      </c>
      <c r="AR295" s="30">
        <v>61439128</v>
      </c>
      <c r="AS295" s="52">
        <f t="shared" si="43"/>
        <v>0.15280739161336176</v>
      </c>
    </row>
    <row r="296" spans="2:45" x14ac:dyDescent="0.3">
      <c r="B296" s="32" t="s">
        <v>403</v>
      </c>
      <c r="C296" s="10" t="str">
        <f t="shared" si="41"/>
        <v>DJ8F0</v>
      </c>
      <c r="D296" s="10" t="s">
        <v>55</v>
      </c>
      <c r="E296" s="10" t="str">
        <f t="shared" si="39"/>
        <v>W</v>
      </c>
      <c r="F296" s="10" t="str">
        <f t="shared" si="40"/>
        <v>DJ</v>
      </c>
      <c r="G296" s="10" t="s">
        <v>56</v>
      </c>
      <c r="H296" s="4" t="s">
        <v>404</v>
      </c>
      <c r="I296" s="10" t="s">
        <v>163</v>
      </c>
      <c r="J296" s="4" t="str">
        <f t="shared" si="42"/>
        <v/>
      </c>
      <c r="K296" s="4">
        <v>1</v>
      </c>
      <c r="L296" s="30">
        <v>359000</v>
      </c>
      <c r="M296" s="78" t="s">
        <v>217</v>
      </c>
      <c r="N296" s="98" t="s">
        <v>249</v>
      </c>
      <c r="O296" s="10" t="s">
        <v>61</v>
      </c>
      <c r="P296" s="63">
        <v>100</v>
      </c>
      <c r="Q296" s="94" t="s">
        <v>119</v>
      </c>
      <c r="R296" s="63" t="s">
        <v>246</v>
      </c>
      <c r="S296" s="96" t="s">
        <v>121</v>
      </c>
      <c r="T296" s="10" t="s">
        <v>122</v>
      </c>
      <c r="U296" s="10" t="s">
        <v>250</v>
      </c>
      <c r="V296" s="10" t="s">
        <v>66</v>
      </c>
      <c r="W296" s="10"/>
      <c r="X296" s="9" t="s">
        <v>67</v>
      </c>
      <c r="Y296" s="10" t="s">
        <v>68</v>
      </c>
      <c r="Z296" s="94" t="s">
        <v>125</v>
      </c>
      <c r="AA296" s="94" t="s">
        <v>90</v>
      </c>
      <c r="AB296" s="9" t="s">
        <v>71</v>
      </c>
      <c r="AC296" s="10" t="s">
        <v>85</v>
      </c>
      <c r="AD296" s="10" t="s">
        <v>208</v>
      </c>
      <c r="AE296" s="65" t="s">
        <v>137</v>
      </c>
      <c r="AF296" s="39" t="s">
        <v>405</v>
      </c>
      <c r="AG296" s="10" t="s">
        <v>127</v>
      </c>
      <c r="AH296" s="4">
        <v>650</v>
      </c>
      <c r="AI296" s="11" t="s">
        <v>107</v>
      </c>
      <c r="AJ296" s="4" t="s">
        <v>108</v>
      </c>
      <c r="AK296" s="36">
        <v>1602</v>
      </c>
      <c r="AL296" s="30">
        <v>575118000</v>
      </c>
      <c r="AM296" s="30">
        <v>46</v>
      </c>
      <c r="AN296" s="30">
        <v>16322500</v>
      </c>
      <c r="AO296" s="30">
        <v>161</v>
      </c>
      <c r="AP296" s="30">
        <v>57029954</v>
      </c>
      <c r="AQ296" s="30">
        <v>861</v>
      </c>
      <c r="AR296" s="30">
        <v>252988525</v>
      </c>
      <c r="AS296" s="52">
        <f t="shared" si="43"/>
        <v>0.53745318352059923</v>
      </c>
    </row>
    <row r="297" spans="2:45" x14ac:dyDescent="0.3">
      <c r="B297" s="32" t="s">
        <v>403</v>
      </c>
      <c r="C297" s="10" t="str">
        <f t="shared" si="41"/>
        <v>DJ8F0</v>
      </c>
      <c r="D297" s="10" t="s">
        <v>55</v>
      </c>
      <c r="E297" s="10" t="str">
        <f t="shared" si="39"/>
        <v>W</v>
      </c>
      <c r="F297" s="10" t="str">
        <f t="shared" si="40"/>
        <v>DJ</v>
      </c>
      <c r="G297" s="10" t="s">
        <v>56</v>
      </c>
      <c r="H297" s="4" t="s">
        <v>404</v>
      </c>
      <c r="I297" s="10" t="s">
        <v>111</v>
      </c>
      <c r="J297" s="4" t="str">
        <f t="shared" si="42"/>
        <v/>
      </c>
      <c r="K297" s="4">
        <v>1</v>
      </c>
      <c r="L297" s="30">
        <v>359000</v>
      </c>
      <c r="M297" s="78" t="s">
        <v>217</v>
      </c>
      <c r="N297" s="98" t="s">
        <v>249</v>
      </c>
      <c r="O297" s="10" t="s">
        <v>61</v>
      </c>
      <c r="P297" s="63">
        <v>100</v>
      </c>
      <c r="Q297" s="94" t="s">
        <v>119</v>
      </c>
      <c r="R297" s="63" t="s">
        <v>246</v>
      </c>
      <c r="S297" s="96" t="s">
        <v>121</v>
      </c>
      <c r="T297" s="10" t="s">
        <v>122</v>
      </c>
      <c r="U297" s="10" t="s">
        <v>250</v>
      </c>
      <c r="V297" s="10" t="s">
        <v>66</v>
      </c>
      <c r="W297" s="10"/>
      <c r="X297" s="9" t="s">
        <v>67</v>
      </c>
      <c r="Y297" s="10" t="s">
        <v>68</v>
      </c>
      <c r="Z297" s="94" t="s">
        <v>125</v>
      </c>
      <c r="AA297" s="94" t="s">
        <v>90</v>
      </c>
      <c r="AB297" s="9" t="s">
        <v>71</v>
      </c>
      <c r="AC297" s="10" t="s">
        <v>85</v>
      </c>
      <c r="AD297" s="10" t="s">
        <v>208</v>
      </c>
      <c r="AE297" s="65" t="s">
        <v>137</v>
      </c>
      <c r="AF297" s="39" t="s">
        <v>405</v>
      </c>
      <c r="AG297" s="10" t="s">
        <v>127</v>
      </c>
      <c r="AH297" s="4">
        <v>650</v>
      </c>
      <c r="AI297" s="11" t="s">
        <v>107</v>
      </c>
      <c r="AJ297" s="4" t="s">
        <v>108</v>
      </c>
      <c r="AK297" s="36">
        <v>2011</v>
      </c>
      <c r="AL297" s="30">
        <v>721949000</v>
      </c>
      <c r="AM297" s="30">
        <v>59</v>
      </c>
      <c r="AN297" s="30">
        <v>21161000</v>
      </c>
      <c r="AO297" s="30">
        <v>213</v>
      </c>
      <c r="AP297" s="30">
        <v>76058240</v>
      </c>
      <c r="AQ297" s="30">
        <v>879</v>
      </c>
      <c r="AR297" s="30">
        <v>269006476</v>
      </c>
      <c r="AS297" s="52">
        <f t="shared" si="43"/>
        <v>0.43709597215315765</v>
      </c>
    </row>
    <row r="298" spans="2:45" x14ac:dyDescent="0.3">
      <c r="B298" s="32" t="s">
        <v>406</v>
      </c>
      <c r="C298" s="10" t="str">
        <f t="shared" si="41"/>
        <v>DJ8K0</v>
      </c>
      <c r="D298" s="10" t="s">
        <v>55</v>
      </c>
      <c r="E298" s="10" t="str">
        <f t="shared" si="39"/>
        <v>M</v>
      </c>
      <c r="F298" s="10" t="str">
        <f t="shared" si="40"/>
        <v>DJ</v>
      </c>
      <c r="G298" s="10" t="s">
        <v>56</v>
      </c>
      <c r="H298" s="4" t="s">
        <v>407</v>
      </c>
      <c r="I298" s="10" t="s">
        <v>102</v>
      </c>
      <c r="J298" s="4">
        <f t="shared" si="42"/>
        <v>1</v>
      </c>
      <c r="K298" s="4">
        <v>1</v>
      </c>
      <c r="L298" s="30">
        <v>359000</v>
      </c>
      <c r="M298" s="78" t="s">
        <v>408</v>
      </c>
      <c r="N298" s="98" t="s">
        <v>409</v>
      </c>
      <c r="O298" s="10" t="s">
        <v>143</v>
      </c>
      <c r="P298" s="63">
        <v>100</v>
      </c>
      <c r="Q298" s="94" t="s">
        <v>62</v>
      </c>
      <c r="R298" s="63" t="s">
        <v>410</v>
      </c>
      <c r="S298" s="96" t="s">
        <v>411</v>
      </c>
      <c r="T298" s="10" t="s">
        <v>65</v>
      </c>
      <c r="U298" s="10"/>
      <c r="V298" s="10" t="s">
        <v>412</v>
      </c>
      <c r="W298" s="10" t="s">
        <v>408</v>
      </c>
      <c r="X298" s="9" t="s">
        <v>67</v>
      </c>
      <c r="Y298" s="10" t="s">
        <v>340</v>
      </c>
      <c r="Z298" s="94" t="s">
        <v>125</v>
      </c>
      <c r="AA298" s="94" t="s">
        <v>341</v>
      </c>
      <c r="AB298" s="9" t="s">
        <v>71</v>
      </c>
      <c r="AC298" s="10" t="s">
        <v>62</v>
      </c>
      <c r="AD298" s="10" t="s">
        <v>72</v>
      </c>
      <c r="AE298" s="65" t="s">
        <v>73</v>
      </c>
      <c r="AF298" s="39" t="s">
        <v>362</v>
      </c>
      <c r="AG298" s="10" t="s">
        <v>127</v>
      </c>
      <c r="AH298" s="4">
        <v>650</v>
      </c>
      <c r="AI298" s="11" t="s">
        <v>264</v>
      </c>
      <c r="AJ298" s="4" t="s">
        <v>241</v>
      </c>
      <c r="AK298" s="36">
        <v>1700</v>
      </c>
      <c r="AL298" s="30">
        <v>610300000</v>
      </c>
      <c r="AM298" s="30">
        <v>14</v>
      </c>
      <c r="AN298" s="30">
        <v>4865955</v>
      </c>
      <c r="AO298" s="30">
        <v>76</v>
      </c>
      <c r="AP298" s="30">
        <v>26554391</v>
      </c>
      <c r="AQ298" s="30">
        <v>306</v>
      </c>
      <c r="AR298" s="30">
        <v>91137011</v>
      </c>
      <c r="AS298" s="52">
        <f t="shared" si="43"/>
        <v>0.18</v>
      </c>
    </row>
    <row r="299" spans="2:45" x14ac:dyDescent="0.3">
      <c r="B299" s="32" t="s">
        <v>406</v>
      </c>
      <c r="C299" s="10" t="str">
        <f t="shared" si="41"/>
        <v>DJ8K0</v>
      </c>
      <c r="D299" s="10" t="s">
        <v>55</v>
      </c>
      <c r="E299" s="10" t="str">
        <f t="shared" si="39"/>
        <v>M</v>
      </c>
      <c r="F299" s="10" t="str">
        <f t="shared" si="40"/>
        <v>DJ</v>
      </c>
      <c r="G299" s="10" t="s">
        <v>56</v>
      </c>
      <c r="H299" s="4" t="s">
        <v>407</v>
      </c>
      <c r="I299" s="10" t="s">
        <v>78</v>
      </c>
      <c r="J299" s="4" t="str">
        <f t="shared" si="42"/>
        <v/>
      </c>
      <c r="K299" s="4">
        <v>1</v>
      </c>
      <c r="L299" s="30">
        <v>359000</v>
      </c>
      <c r="M299" s="78" t="s">
        <v>194</v>
      </c>
      <c r="N299" s="98" t="s">
        <v>413</v>
      </c>
      <c r="O299" s="10" t="s">
        <v>143</v>
      </c>
      <c r="P299" s="63">
        <v>100</v>
      </c>
      <c r="Q299" s="94" t="s">
        <v>62</v>
      </c>
      <c r="R299" s="63" t="s">
        <v>392</v>
      </c>
      <c r="S299" s="96" t="s">
        <v>72</v>
      </c>
      <c r="T299" s="10" t="s">
        <v>65</v>
      </c>
      <c r="U299" s="10"/>
      <c r="V299" s="10" t="s">
        <v>66</v>
      </c>
      <c r="W299" s="10"/>
      <c r="X299" s="9" t="s">
        <v>67</v>
      </c>
      <c r="Y299" s="10" t="s">
        <v>68</v>
      </c>
      <c r="Z299" s="94" t="s">
        <v>125</v>
      </c>
      <c r="AA299" s="94" t="s">
        <v>90</v>
      </c>
      <c r="AB299" s="9" t="s">
        <v>71</v>
      </c>
      <c r="AC299" s="10" t="s">
        <v>62</v>
      </c>
      <c r="AD299" s="10" t="s">
        <v>72</v>
      </c>
      <c r="AE299" s="65" t="s">
        <v>73</v>
      </c>
      <c r="AF299" s="39" t="s">
        <v>362</v>
      </c>
      <c r="AG299" s="10" t="s">
        <v>127</v>
      </c>
      <c r="AH299" s="4">
        <v>650</v>
      </c>
      <c r="AI299" s="11" t="s">
        <v>264</v>
      </c>
      <c r="AJ299" s="4" t="s">
        <v>241</v>
      </c>
      <c r="AK299" s="36">
        <v>5988</v>
      </c>
      <c r="AL299" s="30">
        <v>2149692000</v>
      </c>
      <c r="AM299" s="30">
        <v>71</v>
      </c>
      <c r="AN299" s="30">
        <v>24711880</v>
      </c>
      <c r="AO299" s="30">
        <v>299</v>
      </c>
      <c r="AP299" s="30">
        <v>104734813</v>
      </c>
      <c r="AQ299" s="30">
        <v>1722</v>
      </c>
      <c r="AR299" s="30">
        <v>500545986</v>
      </c>
      <c r="AS299" s="52">
        <f t="shared" si="43"/>
        <v>0.28757515030060121</v>
      </c>
    </row>
    <row r="300" spans="2:45" x14ac:dyDescent="0.3">
      <c r="B300" s="32" t="s">
        <v>406</v>
      </c>
      <c r="C300" s="10" t="str">
        <f t="shared" si="41"/>
        <v>DJ8K0</v>
      </c>
      <c r="D300" s="10" t="s">
        <v>55</v>
      </c>
      <c r="E300" s="10" t="str">
        <f t="shared" si="39"/>
        <v>M</v>
      </c>
      <c r="F300" s="10" t="str">
        <f t="shared" si="40"/>
        <v>DJ</v>
      </c>
      <c r="G300" s="10" t="s">
        <v>56</v>
      </c>
      <c r="H300" s="4" t="s">
        <v>407</v>
      </c>
      <c r="I300" s="10" t="s">
        <v>414</v>
      </c>
      <c r="J300" s="4" t="str">
        <f t="shared" si="42"/>
        <v/>
      </c>
      <c r="K300" s="4">
        <v>1</v>
      </c>
      <c r="L300" s="30">
        <v>359000</v>
      </c>
      <c r="M300" s="78" t="s">
        <v>408</v>
      </c>
      <c r="N300" s="98" t="s">
        <v>409</v>
      </c>
      <c r="O300" s="10" t="s">
        <v>143</v>
      </c>
      <c r="P300" s="63">
        <v>100</v>
      </c>
      <c r="Q300" s="94" t="s">
        <v>62</v>
      </c>
      <c r="R300" s="63" t="s">
        <v>410</v>
      </c>
      <c r="S300" s="96" t="s">
        <v>411</v>
      </c>
      <c r="T300" s="10" t="s">
        <v>65</v>
      </c>
      <c r="U300" s="10"/>
      <c r="V300" s="10" t="s">
        <v>412</v>
      </c>
      <c r="W300" s="10" t="s">
        <v>408</v>
      </c>
      <c r="X300" s="9" t="s">
        <v>67</v>
      </c>
      <c r="Y300" s="10" t="s">
        <v>340</v>
      </c>
      <c r="Z300" s="94" t="s">
        <v>125</v>
      </c>
      <c r="AA300" s="94" t="s">
        <v>341</v>
      </c>
      <c r="AB300" s="9" t="s">
        <v>71</v>
      </c>
      <c r="AC300" s="10" t="s">
        <v>62</v>
      </c>
      <c r="AD300" s="10" t="s">
        <v>72</v>
      </c>
      <c r="AE300" s="65" t="s">
        <v>73</v>
      </c>
      <c r="AF300" s="39" t="s">
        <v>362</v>
      </c>
      <c r="AG300" s="10" t="s">
        <v>127</v>
      </c>
      <c r="AH300" s="4">
        <v>650</v>
      </c>
      <c r="AI300" s="11" t="s">
        <v>264</v>
      </c>
      <c r="AJ300" s="4" t="s">
        <v>241</v>
      </c>
      <c r="AK300" s="36">
        <v>3377</v>
      </c>
      <c r="AL300" s="30">
        <v>1212343000</v>
      </c>
      <c r="AM300" s="30">
        <v>19</v>
      </c>
      <c r="AN300" s="30">
        <v>6689200</v>
      </c>
      <c r="AO300" s="30">
        <v>134</v>
      </c>
      <c r="AP300" s="30">
        <v>47126760</v>
      </c>
      <c r="AQ300" s="30">
        <v>437</v>
      </c>
      <c r="AR300" s="30">
        <v>133076106</v>
      </c>
      <c r="AS300" s="52">
        <f t="shared" si="43"/>
        <v>0.12940479715724015</v>
      </c>
    </row>
    <row r="301" spans="2:45" x14ac:dyDescent="0.3">
      <c r="B301" s="32" t="s">
        <v>406</v>
      </c>
      <c r="C301" s="10" t="str">
        <f t="shared" si="41"/>
        <v>DJ8K0</v>
      </c>
      <c r="D301" s="10" t="s">
        <v>55</v>
      </c>
      <c r="E301" s="10" t="str">
        <f t="shared" si="39"/>
        <v>M</v>
      </c>
      <c r="F301" s="10" t="str">
        <f t="shared" si="40"/>
        <v>DJ</v>
      </c>
      <c r="G301" s="10" t="s">
        <v>56</v>
      </c>
      <c r="H301" s="4" t="s">
        <v>407</v>
      </c>
      <c r="I301" s="10" t="s">
        <v>233</v>
      </c>
      <c r="J301" s="4" t="str">
        <f t="shared" si="42"/>
        <v/>
      </c>
      <c r="K301" s="4">
        <v>1</v>
      </c>
      <c r="L301" s="30">
        <v>359000</v>
      </c>
      <c r="M301" s="78" t="s">
        <v>408</v>
      </c>
      <c r="N301" s="98" t="s">
        <v>409</v>
      </c>
      <c r="O301" s="10" t="s">
        <v>143</v>
      </c>
      <c r="P301" s="63">
        <v>100</v>
      </c>
      <c r="Q301" s="94" t="s">
        <v>62</v>
      </c>
      <c r="R301" s="63" t="s">
        <v>410</v>
      </c>
      <c r="S301" s="96" t="s">
        <v>411</v>
      </c>
      <c r="T301" s="10" t="s">
        <v>65</v>
      </c>
      <c r="U301" s="10"/>
      <c r="V301" s="10" t="s">
        <v>412</v>
      </c>
      <c r="W301" s="10" t="s">
        <v>408</v>
      </c>
      <c r="X301" s="9" t="s">
        <v>67</v>
      </c>
      <c r="Y301" s="10" t="s">
        <v>340</v>
      </c>
      <c r="Z301" s="94" t="s">
        <v>125</v>
      </c>
      <c r="AA301" s="94" t="s">
        <v>341</v>
      </c>
      <c r="AB301" s="9" t="s">
        <v>71</v>
      </c>
      <c r="AC301" s="10" t="s">
        <v>62</v>
      </c>
      <c r="AD301" s="10" t="s">
        <v>72</v>
      </c>
      <c r="AE301" s="65" t="s">
        <v>73</v>
      </c>
      <c r="AF301" s="39" t="s">
        <v>362</v>
      </c>
      <c r="AG301" s="10" t="s">
        <v>127</v>
      </c>
      <c r="AH301" s="4">
        <v>650</v>
      </c>
      <c r="AI301" s="11" t="s">
        <v>264</v>
      </c>
      <c r="AJ301" s="4" t="s">
        <v>241</v>
      </c>
      <c r="AK301" s="36">
        <v>2298</v>
      </c>
      <c r="AL301" s="30">
        <v>824982000</v>
      </c>
      <c r="AM301" s="30">
        <v>26</v>
      </c>
      <c r="AN301" s="30">
        <v>9136680</v>
      </c>
      <c r="AO301" s="30">
        <v>152</v>
      </c>
      <c r="AP301" s="30">
        <v>52987506</v>
      </c>
      <c r="AQ301" s="30">
        <v>576</v>
      </c>
      <c r="AR301" s="30">
        <v>170279935</v>
      </c>
      <c r="AS301" s="52">
        <f t="shared" si="43"/>
        <v>0.25065274151436029</v>
      </c>
    </row>
    <row r="302" spans="2:45" x14ac:dyDescent="0.3">
      <c r="B302" s="32" t="s">
        <v>415</v>
      </c>
      <c r="C302" s="10" t="str">
        <f t="shared" si="41"/>
        <v>DJ8L0</v>
      </c>
      <c r="D302" s="10" t="s">
        <v>55</v>
      </c>
      <c r="E302" s="10" t="str">
        <f t="shared" si="39"/>
        <v>W</v>
      </c>
      <c r="F302" s="10" t="str">
        <f t="shared" si="40"/>
        <v>DJ</v>
      </c>
      <c r="G302" s="10" t="s">
        <v>56</v>
      </c>
      <c r="H302" s="4" t="s">
        <v>416</v>
      </c>
      <c r="I302" s="10" t="s">
        <v>233</v>
      </c>
      <c r="J302" s="4">
        <f t="shared" si="42"/>
        <v>1</v>
      </c>
      <c r="K302" s="4">
        <v>1</v>
      </c>
      <c r="L302" s="30">
        <v>359000</v>
      </c>
      <c r="M302" s="78" t="s">
        <v>408</v>
      </c>
      <c r="N302" s="98" t="s">
        <v>409</v>
      </c>
      <c r="O302" s="10" t="s">
        <v>143</v>
      </c>
      <c r="P302" s="63">
        <v>100</v>
      </c>
      <c r="Q302" s="94" t="s">
        <v>62</v>
      </c>
      <c r="R302" s="63" t="s">
        <v>410</v>
      </c>
      <c r="S302" s="96" t="s">
        <v>411</v>
      </c>
      <c r="T302" s="10" t="s">
        <v>65</v>
      </c>
      <c r="U302" s="10"/>
      <c r="V302" s="10" t="s">
        <v>412</v>
      </c>
      <c r="W302" s="10" t="s">
        <v>408</v>
      </c>
      <c r="X302" s="9" t="s">
        <v>67</v>
      </c>
      <c r="Y302" s="10" t="s">
        <v>340</v>
      </c>
      <c r="Z302" s="94" t="s">
        <v>125</v>
      </c>
      <c r="AA302" s="94" t="s">
        <v>341</v>
      </c>
      <c r="AB302" s="9" t="s">
        <v>71</v>
      </c>
      <c r="AC302" s="10" t="s">
        <v>62</v>
      </c>
      <c r="AD302" s="10" t="s">
        <v>72</v>
      </c>
      <c r="AE302" s="65" t="s">
        <v>73</v>
      </c>
      <c r="AF302" s="39" t="s">
        <v>417</v>
      </c>
      <c r="AG302" s="10" t="s">
        <v>127</v>
      </c>
      <c r="AH302" s="4">
        <v>650</v>
      </c>
      <c r="AI302" s="11" t="s">
        <v>128</v>
      </c>
      <c r="AJ302" s="4" t="s">
        <v>77</v>
      </c>
      <c r="AK302" s="36">
        <v>2377</v>
      </c>
      <c r="AL302" s="30">
        <v>853343000</v>
      </c>
      <c r="AM302" s="30">
        <v>23</v>
      </c>
      <c r="AN302" s="30">
        <v>8230320</v>
      </c>
      <c r="AO302" s="30">
        <v>159</v>
      </c>
      <c r="AP302" s="30">
        <v>56239669</v>
      </c>
      <c r="AQ302" s="30">
        <v>571</v>
      </c>
      <c r="AR302" s="30">
        <v>175997840</v>
      </c>
      <c r="AS302" s="52">
        <f t="shared" si="43"/>
        <v>0.24021876314682372</v>
      </c>
    </row>
    <row r="303" spans="2:45" x14ac:dyDescent="0.3">
      <c r="B303" s="32" t="s">
        <v>415</v>
      </c>
      <c r="C303" s="10" t="str">
        <f t="shared" si="41"/>
        <v>DJ8L0</v>
      </c>
      <c r="D303" s="10" t="s">
        <v>55</v>
      </c>
      <c r="E303" s="10" t="str">
        <f t="shared" si="39"/>
        <v>W</v>
      </c>
      <c r="F303" s="10" t="str">
        <f t="shared" si="40"/>
        <v>DJ</v>
      </c>
      <c r="G303" s="10" t="s">
        <v>56</v>
      </c>
      <c r="H303" s="4" t="s">
        <v>416</v>
      </c>
      <c r="I303" s="10" t="s">
        <v>78</v>
      </c>
      <c r="J303" s="4" t="str">
        <f t="shared" si="42"/>
        <v/>
      </c>
      <c r="K303" s="4">
        <v>1</v>
      </c>
      <c r="L303" s="30">
        <v>359000</v>
      </c>
      <c r="M303" s="78" t="s">
        <v>408</v>
      </c>
      <c r="N303" s="98" t="s">
        <v>409</v>
      </c>
      <c r="O303" s="10" t="s">
        <v>143</v>
      </c>
      <c r="P303" s="63">
        <v>100</v>
      </c>
      <c r="Q303" s="94" t="s">
        <v>62</v>
      </c>
      <c r="R303" s="63" t="s">
        <v>410</v>
      </c>
      <c r="S303" s="96" t="s">
        <v>411</v>
      </c>
      <c r="T303" s="10" t="s">
        <v>65</v>
      </c>
      <c r="U303" s="10"/>
      <c r="V303" s="10" t="s">
        <v>412</v>
      </c>
      <c r="W303" s="10" t="s">
        <v>408</v>
      </c>
      <c r="X303" s="9" t="s">
        <v>67</v>
      </c>
      <c r="Y303" s="10" t="s">
        <v>340</v>
      </c>
      <c r="Z303" s="94" t="s">
        <v>125</v>
      </c>
      <c r="AA303" s="94" t="s">
        <v>341</v>
      </c>
      <c r="AB303" s="9" t="s">
        <v>71</v>
      </c>
      <c r="AC303" s="10" t="s">
        <v>62</v>
      </c>
      <c r="AD303" s="10" t="s">
        <v>72</v>
      </c>
      <c r="AE303" s="65" t="s">
        <v>73</v>
      </c>
      <c r="AF303" s="39" t="s">
        <v>417</v>
      </c>
      <c r="AG303" s="10" t="s">
        <v>127</v>
      </c>
      <c r="AH303" s="4">
        <v>650</v>
      </c>
      <c r="AI303" s="11" t="s">
        <v>128</v>
      </c>
      <c r="AJ303" s="4" t="s">
        <v>77</v>
      </c>
      <c r="AK303" s="36">
        <v>2751</v>
      </c>
      <c r="AL303" s="30">
        <v>987609000</v>
      </c>
      <c r="AM303" s="30">
        <v>29</v>
      </c>
      <c r="AN303" s="30">
        <v>10299200</v>
      </c>
      <c r="AO303" s="30">
        <v>146</v>
      </c>
      <c r="AP303" s="30">
        <v>51634005</v>
      </c>
      <c r="AQ303" s="30">
        <v>748</v>
      </c>
      <c r="AR303" s="30">
        <v>218839436</v>
      </c>
      <c r="AS303" s="52">
        <f t="shared" si="43"/>
        <v>0.27190112686295892</v>
      </c>
    </row>
    <row r="304" spans="2:45" x14ac:dyDescent="0.3">
      <c r="B304" s="32" t="s">
        <v>415</v>
      </c>
      <c r="C304" s="10" t="str">
        <f t="shared" si="41"/>
        <v>DJ8L0</v>
      </c>
      <c r="D304" s="10" t="s">
        <v>55</v>
      </c>
      <c r="E304" s="10" t="str">
        <f t="shared" si="39"/>
        <v>W</v>
      </c>
      <c r="F304" s="10" t="str">
        <f t="shared" si="40"/>
        <v>DJ</v>
      </c>
      <c r="G304" s="10" t="s">
        <v>56</v>
      </c>
      <c r="H304" s="4" t="s">
        <v>416</v>
      </c>
      <c r="I304" s="10" t="s">
        <v>79</v>
      </c>
      <c r="J304" s="4" t="str">
        <f t="shared" si="42"/>
        <v/>
      </c>
      <c r="K304" s="4">
        <v>1</v>
      </c>
      <c r="L304" s="30">
        <v>359000</v>
      </c>
      <c r="M304" s="78" t="s">
        <v>408</v>
      </c>
      <c r="N304" s="98" t="s">
        <v>409</v>
      </c>
      <c r="O304" s="10" t="s">
        <v>143</v>
      </c>
      <c r="P304" s="63">
        <v>100</v>
      </c>
      <c r="Q304" s="94" t="s">
        <v>62</v>
      </c>
      <c r="R304" s="63" t="s">
        <v>410</v>
      </c>
      <c r="S304" s="96" t="s">
        <v>411</v>
      </c>
      <c r="T304" s="10" t="s">
        <v>65</v>
      </c>
      <c r="U304" s="10"/>
      <c r="V304" s="10" t="s">
        <v>412</v>
      </c>
      <c r="W304" s="10" t="s">
        <v>408</v>
      </c>
      <c r="X304" s="9" t="s">
        <v>67</v>
      </c>
      <c r="Y304" s="10" t="s">
        <v>340</v>
      </c>
      <c r="Z304" s="94" t="s">
        <v>125</v>
      </c>
      <c r="AA304" s="94" t="s">
        <v>341</v>
      </c>
      <c r="AB304" s="9" t="s">
        <v>71</v>
      </c>
      <c r="AC304" s="10" t="s">
        <v>62</v>
      </c>
      <c r="AD304" s="10" t="s">
        <v>72</v>
      </c>
      <c r="AE304" s="65" t="s">
        <v>73</v>
      </c>
      <c r="AF304" s="39" t="s">
        <v>417</v>
      </c>
      <c r="AG304" s="10" t="s">
        <v>127</v>
      </c>
      <c r="AH304" s="4">
        <v>650</v>
      </c>
      <c r="AI304" s="11" t="s">
        <v>128</v>
      </c>
      <c r="AJ304" s="4" t="s">
        <v>77</v>
      </c>
      <c r="AK304" s="36">
        <v>2404</v>
      </c>
      <c r="AL304" s="30">
        <v>863036000</v>
      </c>
      <c r="AM304" s="30">
        <v>29</v>
      </c>
      <c r="AN304" s="30">
        <v>10182908</v>
      </c>
      <c r="AO304" s="30">
        <v>81</v>
      </c>
      <c r="AP304" s="30">
        <v>28482042</v>
      </c>
      <c r="AQ304" s="30">
        <v>364</v>
      </c>
      <c r="AR304" s="30">
        <v>107210464</v>
      </c>
      <c r="AS304" s="52">
        <f t="shared" si="43"/>
        <v>0.15141430948419302</v>
      </c>
    </row>
    <row r="305" spans="2:45" x14ac:dyDescent="0.3">
      <c r="B305" s="32" t="s">
        <v>415</v>
      </c>
      <c r="C305" s="10" t="str">
        <f t="shared" si="41"/>
        <v>DJ8L0</v>
      </c>
      <c r="D305" s="10" t="s">
        <v>55</v>
      </c>
      <c r="E305" s="10" t="str">
        <f t="shared" si="39"/>
        <v>W</v>
      </c>
      <c r="F305" s="10" t="str">
        <f t="shared" si="40"/>
        <v>DJ</v>
      </c>
      <c r="G305" s="10" t="s">
        <v>56</v>
      </c>
      <c r="H305" s="4" t="s">
        <v>416</v>
      </c>
      <c r="I305" s="10" t="s">
        <v>345</v>
      </c>
      <c r="J305" s="4" t="str">
        <f t="shared" si="42"/>
        <v/>
      </c>
      <c r="K305" s="4">
        <v>1</v>
      </c>
      <c r="L305" s="30">
        <v>359000</v>
      </c>
      <c r="M305" s="78" t="s">
        <v>408</v>
      </c>
      <c r="N305" s="98" t="s">
        <v>409</v>
      </c>
      <c r="O305" s="10" t="s">
        <v>143</v>
      </c>
      <c r="P305" s="63">
        <v>100</v>
      </c>
      <c r="Q305" s="94" t="s">
        <v>62</v>
      </c>
      <c r="R305" s="63" t="s">
        <v>410</v>
      </c>
      <c r="S305" s="96" t="s">
        <v>411</v>
      </c>
      <c r="T305" s="10" t="s">
        <v>65</v>
      </c>
      <c r="U305" s="10"/>
      <c r="V305" s="10" t="s">
        <v>412</v>
      </c>
      <c r="W305" s="10" t="s">
        <v>408</v>
      </c>
      <c r="X305" s="9" t="s">
        <v>67</v>
      </c>
      <c r="Y305" s="10" t="s">
        <v>340</v>
      </c>
      <c r="Z305" s="94" t="s">
        <v>125</v>
      </c>
      <c r="AA305" s="94" t="s">
        <v>341</v>
      </c>
      <c r="AB305" s="9" t="s">
        <v>71</v>
      </c>
      <c r="AC305" s="10" t="s">
        <v>62</v>
      </c>
      <c r="AD305" s="10" t="s">
        <v>72</v>
      </c>
      <c r="AE305" s="65" t="s">
        <v>73</v>
      </c>
      <c r="AF305" s="39" t="s">
        <v>417</v>
      </c>
      <c r="AG305" s="10" t="s">
        <v>127</v>
      </c>
      <c r="AH305" s="4">
        <v>650</v>
      </c>
      <c r="AI305" s="11" t="s">
        <v>128</v>
      </c>
      <c r="AJ305" s="4" t="s">
        <v>77</v>
      </c>
      <c r="AK305" s="36">
        <v>1400</v>
      </c>
      <c r="AL305" s="30">
        <v>502600000</v>
      </c>
      <c r="AM305" s="30">
        <v>12</v>
      </c>
      <c r="AN305" s="30">
        <v>4144490</v>
      </c>
      <c r="AO305" s="30">
        <v>57</v>
      </c>
      <c r="AP305" s="30">
        <v>20170464</v>
      </c>
      <c r="AQ305" s="30">
        <v>253</v>
      </c>
      <c r="AR305" s="30">
        <v>74659804</v>
      </c>
      <c r="AS305" s="52">
        <f t="shared" si="43"/>
        <v>0.18071428571428572</v>
      </c>
    </row>
    <row r="306" spans="2:45" x14ac:dyDescent="0.3">
      <c r="B306" s="32" t="s">
        <v>418</v>
      </c>
      <c r="C306" s="10" t="str">
        <f t="shared" si="41"/>
        <v>DJ8i0</v>
      </c>
      <c r="D306" s="10" t="s">
        <v>148</v>
      </c>
      <c r="E306" s="10" t="str">
        <f t="shared" si="39"/>
        <v>M</v>
      </c>
      <c r="F306" s="10" t="str">
        <f t="shared" si="40"/>
        <v>DJ</v>
      </c>
      <c r="G306" s="10" t="s">
        <v>56</v>
      </c>
      <c r="H306" s="4" t="s">
        <v>419</v>
      </c>
      <c r="I306" s="10" t="s">
        <v>414</v>
      </c>
      <c r="J306" s="4">
        <f t="shared" si="42"/>
        <v>1</v>
      </c>
      <c r="K306" s="4">
        <v>1</v>
      </c>
      <c r="L306" s="30">
        <v>359000</v>
      </c>
      <c r="M306" s="78" t="s">
        <v>194</v>
      </c>
      <c r="N306" s="98" t="s">
        <v>413</v>
      </c>
      <c r="O306" s="10" t="s">
        <v>143</v>
      </c>
      <c r="P306" s="63">
        <v>100</v>
      </c>
      <c r="Q306" s="94" t="s">
        <v>62</v>
      </c>
      <c r="R306" s="63" t="s">
        <v>392</v>
      </c>
      <c r="S306" s="96" t="s">
        <v>72</v>
      </c>
      <c r="T306" s="10" t="s">
        <v>65</v>
      </c>
      <c r="U306" s="10"/>
      <c r="V306" s="10" t="s">
        <v>66</v>
      </c>
      <c r="W306" s="10"/>
      <c r="X306" s="9" t="s">
        <v>67</v>
      </c>
      <c r="Y306" s="10" t="s">
        <v>68</v>
      </c>
      <c r="Z306" s="94" t="s">
        <v>125</v>
      </c>
      <c r="AA306" s="94" t="s">
        <v>90</v>
      </c>
      <c r="AB306" s="9" t="s">
        <v>71</v>
      </c>
      <c r="AC306" s="10" t="s">
        <v>62</v>
      </c>
      <c r="AD306" s="10" t="s">
        <v>72</v>
      </c>
      <c r="AE306" s="65" t="s">
        <v>73</v>
      </c>
      <c r="AF306" s="39" t="s">
        <v>362</v>
      </c>
      <c r="AG306" s="10" t="s">
        <v>127</v>
      </c>
      <c r="AH306" s="4">
        <v>650</v>
      </c>
      <c r="AI306" s="11" t="s">
        <v>264</v>
      </c>
      <c r="AJ306" s="4" t="s">
        <v>241</v>
      </c>
      <c r="AK306" s="36">
        <v>1519</v>
      </c>
      <c r="AL306" s="30">
        <v>545321000</v>
      </c>
      <c r="AM306" s="30">
        <v>17</v>
      </c>
      <c r="AN306" s="30">
        <v>6037100</v>
      </c>
      <c r="AO306" s="30">
        <v>32</v>
      </c>
      <c r="AP306" s="30">
        <v>11320756</v>
      </c>
      <c r="AQ306" s="30">
        <v>91</v>
      </c>
      <c r="AR306" s="30">
        <v>29000766</v>
      </c>
      <c r="AS306" s="52">
        <f t="shared" si="43"/>
        <v>5.9907834101382486E-2</v>
      </c>
    </row>
    <row r="307" spans="2:45" x14ac:dyDescent="0.3">
      <c r="B307" s="32" t="s">
        <v>420</v>
      </c>
      <c r="C307" s="10" t="str">
        <f t="shared" si="41"/>
        <v>DJ8M0</v>
      </c>
      <c r="D307" s="10" t="s">
        <v>55</v>
      </c>
      <c r="E307" s="10" t="str">
        <f t="shared" si="39"/>
        <v>M</v>
      </c>
      <c r="F307" s="10" t="str">
        <f t="shared" si="40"/>
        <v>DJ</v>
      </c>
      <c r="G307" s="10" t="s">
        <v>56</v>
      </c>
      <c r="H307" s="4" t="s">
        <v>421</v>
      </c>
      <c r="I307" s="10" t="s">
        <v>78</v>
      </c>
      <c r="J307" s="4">
        <f t="shared" si="42"/>
        <v>1</v>
      </c>
      <c r="K307" s="4">
        <v>1</v>
      </c>
      <c r="L307" s="30">
        <v>690000</v>
      </c>
      <c r="M307" s="78" t="s">
        <v>225</v>
      </c>
      <c r="N307" s="98" t="s">
        <v>226</v>
      </c>
      <c r="O307" s="10" t="s">
        <v>61</v>
      </c>
      <c r="P307" s="63">
        <v>100</v>
      </c>
      <c r="Q307" s="94" t="s">
        <v>119</v>
      </c>
      <c r="R307" s="63" t="s">
        <v>126</v>
      </c>
      <c r="S307" s="96" t="s">
        <v>227</v>
      </c>
      <c r="T307" s="10" t="s">
        <v>228</v>
      </c>
      <c r="U307" s="10" t="s">
        <v>198</v>
      </c>
      <c r="V307" s="10" t="s">
        <v>66</v>
      </c>
      <c r="W307" s="10" t="s">
        <v>229</v>
      </c>
      <c r="X307" s="9" t="s">
        <v>67</v>
      </c>
      <c r="Y307" s="10" t="s">
        <v>68</v>
      </c>
      <c r="Z307" s="94" t="s">
        <v>125</v>
      </c>
      <c r="AA307" s="94" t="s">
        <v>90</v>
      </c>
      <c r="AB307" s="9" t="s">
        <v>71</v>
      </c>
      <c r="AC307" s="10" t="s">
        <v>144</v>
      </c>
      <c r="AD307" s="10" t="s">
        <v>279</v>
      </c>
      <c r="AE307" s="65" t="s">
        <v>73</v>
      </c>
      <c r="AF307" s="39" t="s">
        <v>422</v>
      </c>
      <c r="AG307" s="10" t="s">
        <v>127</v>
      </c>
      <c r="AH307" s="4">
        <v>650</v>
      </c>
      <c r="AI307" s="11" t="s">
        <v>99</v>
      </c>
      <c r="AJ307" s="4" t="s">
        <v>100</v>
      </c>
      <c r="AK307" s="36">
        <v>1499</v>
      </c>
      <c r="AL307" s="30">
        <v>1034310000</v>
      </c>
      <c r="AM307" s="30">
        <v>91</v>
      </c>
      <c r="AN307" s="30">
        <v>61822703</v>
      </c>
      <c r="AO307" s="30">
        <v>452</v>
      </c>
      <c r="AP307" s="30">
        <v>296152992</v>
      </c>
      <c r="AQ307" s="30">
        <v>1095</v>
      </c>
      <c r="AR307" s="30">
        <v>717573212</v>
      </c>
      <c r="AS307" s="52">
        <f t="shared" si="43"/>
        <v>0.73048699132755168</v>
      </c>
    </row>
    <row r="308" spans="2:45" x14ac:dyDescent="0.3">
      <c r="B308" s="32" t="s">
        <v>420</v>
      </c>
      <c r="C308" s="10" t="str">
        <f t="shared" si="41"/>
        <v>DJ8M0</v>
      </c>
      <c r="D308" s="10" t="s">
        <v>55</v>
      </c>
      <c r="E308" s="10" t="str">
        <f t="shared" si="39"/>
        <v>M</v>
      </c>
      <c r="F308" s="10" t="str">
        <f t="shared" si="40"/>
        <v>DJ</v>
      </c>
      <c r="G308" s="10" t="s">
        <v>56</v>
      </c>
      <c r="H308" s="4" t="s">
        <v>421</v>
      </c>
      <c r="I308" s="10" t="s">
        <v>260</v>
      </c>
      <c r="J308" s="4" t="str">
        <f t="shared" si="42"/>
        <v/>
      </c>
      <c r="K308" s="4">
        <v>1</v>
      </c>
      <c r="L308" s="30">
        <v>690000</v>
      </c>
      <c r="M308" s="78" t="s">
        <v>225</v>
      </c>
      <c r="N308" s="98" t="s">
        <v>226</v>
      </c>
      <c r="O308" s="10" t="s">
        <v>61</v>
      </c>
      <c r="P308" s="63">
        <v>100</v>
      </c>
      <c r="Q308" s="94" t="s">
        <v>119</v>
      </c>
      <c r="R308" s="63" t="s">
        <v>126</v>
      </c>
      <c r="S308" s="96" t="s">
        <v>227</v>
      </c>
      <c r="T308" s="10" t="s">
        <v>228</v>
      </c>
      <c r="U308" s="10" t="s">
        <v>198</v>
      </c>
      <c r="V308" s="10" t="s">
        <v>66</v>
      </c>
      <c r="W308" s="10" t="s">
        <v>229</v>
      </c>
      <c r="X308" s="9" t="s">
        <v>67</v>
      </c>
      <c r="Y308" s="10" t="s">
        <v>68</v>
      </c>
      <c r="Z308" s="94" t="s">
        <v>125</v>
      </c>
      <c r="AA308" s="94" t="s">
        <v>90</v>
      </c>
      <c r="AB308" s="9" t="s">
        <v>71</v>
      </c>
      <c r="AC308" s="10" t="s">
        <v>144</v>
      </c>
      <c r="AD308" s="10" t="s">
        <v>279</v>
      </c>
      <c r="AE308" s="65" t="s">
        <v>73</v>
      </c>
      <c r="AF308" s="39" t="s">
        <v>422</v>
      </c>
      <c r="AG308" s="10" t="s">
        <v>127</v>
      </c>
      <c r="AH308" s="4">
        <v>650</v>
      </c>
      <c r="AI308" s="11" t="s">
        <v>99</v>
      </c>
      <c r="AJ308" s="4" t="s">
        <v>100</v>
      </c>
      <c r="AK308" s="36">
        <v>780</v>
      </c>
      <c r="AL308" s="30">
        <v>538200000</v>
      </c>
      <c r="AM308" s="30">
        <v>40</v>
      </c>
      <c r="AN308" s="30">
        <v>24903418</v>
      </c>
      <c r="AO308" s="30">
        <v>141</v>
      </c>
      <c r="AP308" s="30">
        <v>89733083</v>
      </c>
      <c r="AQ308" s="30">
        <v>289</v>
      </c>
      <c r="AR308" s="30">
        <v>187234679</v>
      </c>
      <c r="AS308" s="52">
        <f t="shared" si="43"/>
        <v>0.37051282051282053</v>
      </c>
    </row>
    <row r="309" spans="2:45" x14ac:dyDescent="0.3">
      <c r="B309" s="32" t="s">
        <v>423</v>
      </c>
      <c r="C309" s="10" t="str">
        <f t="shared" si="41"/>
        <v>DJ6A0</v>
      </c>
      <c r="D309" s="10" t="s">
        <v>55</v>
      </c>
      <c r="E309" s="10" t="str">
        <f t="shared" si="39"/>
        <v>M</v>
      </c>
      <c r="F309" s="10" t="str">
        <f t="shared" si="40"/>
        <v>DJ</v>
      </c>
      <c r="G309" s="10" t="s">
        <v>56</v>
      </c>
      <c r="H309" s="54" t="s">
        <v>424</v>
      </c>
      <c r="I309" s="10" t="s">
        <v>101</v>
      </c>
      <c r="J309" s="4">
        <f t="shared" si="42"/>
        <v>1</v>
      </c>
      <c r="K309" s="4">
        <v>1</v>
      </c>
      <c r="L309" s="30">
        <v>379000</v>
      </c>
      <c r="M309" s="78" t="s">
        <v>217</v>
      </c>
      <c r="N309" s="98" t="s">
        <v>425</v>
      </c>
      <c r="O309" s="10" t="s">
        <v>61</v>
      </c>
      <c r="P309" s="63">
        <v>100</v>
      </c>
      <c r="Q309" s="94" t="s">
        <v>219</v>
      </c>
      <c r="R309" s="63" t="s">
        <v>220</v>
      </c>
      <c r="S309" s="96" t="s">
        <v>221</v>
      </c>
      <c r="T309" s="10" t="s">
        <v>65</v>
      </c>
      <c r="U309" s="10"/>
      <c r="V309" s="10" t="s">
        <v>222</v>
      </c>
      <c r="W309" s="10"/>
      <c r="X309" s="9" t="s">
        <v>67</v>
      </c>
      <c r="Y309" s="10" t="s">
        <v>68</v>
      </c>
      <c r="Z309" s="94" t="s">
        <v>154</v>
      </c>
      <c r="AA309" s="94" t="s">
        <v>426</v>
      </c>
      <c r="AB309" s="9" t="s">
        <v>71</v>
      </c>
      <c r="AC309" s="10" t="s">
        <v>62</v>
      </c>
      <c r="AD309" s="10" t="s">
        <v>72</v>
      </c>
      <c r="AE309" s="65" t="s">
        <v>73</v>
      </c>
      <c r="AF309" s="39" t="s">
        <v>427</v>
      </c>
      <c r="AG309" s="10" t="s">
        <v>127</v>
      </c>
      <c r="AH309" s="4">
        <v>650</v>
      </c>
      <c r="AI309" s="11" t="s">
        <v>264</v>
      </c>
      <c r="AJ309" s="4" t="s">
        <v>241</v>
      </c>
      <c r="AK309" s="36">
        <v>1002</v>
      </c>
      <c r="AL309" s="30">
        <v>379758000</v>
      </c>
      <c r="AM309" s="30">
        <v>34</v>
      </c>
      <c r="AN309" s="30">
        <v>12718731</v>
      </c>
      <c r="AO309" s="30">
        <v>135</v>
      </c>
      <c r="AP309" s="30">
        <v>49185174</v>
      </c>
      <c r="AQ309" s="30">
        <v>297</v>
      </c>
      <c r="AR309" s="30">
        <v>108414732</v>
      </c>
      <c r="AS309" s="52">
        <f t="shared" si="43"/>
        <v>0.29640718562874252</v>
      </c>
    </row>
    <row r="310" spans="2:45" x14ac:dyDescent="0.3">
      <c r="B310" s="32" t="s">
        <v>423</v>
      </c>
      <c r="C310" s="10" t="str">
        <f t="shared" si="41"/>
        <v>DJ6A0</v>
      </c>
      <c r="D310" s="10" t="s">
        <v>55</v>
      </c>
      <c r="E310" s="10" t="str">
        <f t="shared" si="39"/>
        <v>M</v>
      </c>
      <c r="F310" s="10" t="str">
        <f t="shared" si="40"/>
        <v>DJ</v>
      </c>
      <c r="G310" s="10" t="s">
        <v>56</v>
      </c>
      <c r="H310" s="54" t="s">
        <v>424</v>
      </c>
      <c r="I310" s="10" t="s">
        <v>78</v>
      </c>
      <c r="J310" s="4" t="str">
        <f t="shared" si="42"/>
        <v/>
      </c>
      <c r="K310" s="4">
        <v>1</v>
      </c>
      <c r="L310" s="30">
        <v>379000</v>
      </c>
      <c r="M310" s="78" t="s">
        <v>217</v>
      </c>
      <c r="N310" s="98" t="s">
        <v>425</v>
      </c>
      <c r="O310" s="10" t="s">
        <v>61</v>
      </c>
      <c r="P310" s="63">
        <v>100</v>
      </c>
      <c r="Q310" s="94" t="s">
        <v>219</v>
      </c>
      <c r="R310" s="63" t="s">
        <v>220</v>
      </c>
      <c r="S310" s="96" t="s">
        <v>221</v>
      </c>
      <c r="T310" s="10" t="s">
        <v>65</v>
      </c>
      <c r="U310" s="10"/>
      <c r="V310" s="10" t="s">
        <v>222</v>
      </c>
      <c r="W310" s="10"/>
      <c r="X310" s="9" t="s">
        <v>67</v>
      </c>
      <c r="Y310" s="10" t="s">
        <v>68</v>
      </c>
      <c r="Z310" s="94" t="s">
        <v>154</v>
      </c>
      <c r="AA310" s="94" t="s">
        <v>426</v>
      </c>
      <c r="AB310" s="9" t="s">
        <v>71</v>
      </c>
      <c r="AC310" s="10" t="s">
        <v>62</v>
      </c>
      <c r="AD310" s="10" t="s">
        <v>72</v>
      </c>
      <c r="AE310" s="65" t="s">
        <v>73</v>
      </c>
      <c r="AF310" s="39" t="s">
        <v>427</v>
      </c>
      <c r="AG310" s="10" t="s">
        <v>127</v>
      </c>
      <c r="AH310" s="4">
        <v>650</v>
      </c>
      <c r="AI310" s="11" t="s">
        <v>264</v>
      </c>
      <c r="AJ310" s="4" t="s">
        <v>241</v>
      </c>
      <c r="AK310" s="36">
        <v>5960</v>
      </c>
      <c r="AL310" s="30">
        <v>2258840000</v>
      </c>
      <c r="AM310" s="30">
        <v>262</v>
      </c>
      <c r="AN310" s="30">
        <v>98139240</v>
      </c>
      <c r="AO310" s="30">
        <v>1142</v>
      </c>
      <c r="AP310" s="30">
        <v>414281322</v>
      </c>
      <c r="AQ310" s="30">
        <v>3296</v>
      </c>
      <c r="AR310" s="30">
        <v>1206388114</v>
      </c>
      <c r="AS310" s="52">
        <f t="shared" si="43"/>
        <v>0.55302013422818797</v>
      </c>
    </row>
    <row r="311" spans="2:45" x14ac:dyDescent="0.3">
      <c r="B311" s="32" t="s">
        <v>423</v>
      </c>
      <c r="C311" s="10" t="str">
        <f t="shared" si="41"/>
        <v>DJ6A0</v>
      </c>
      <c r="D311" s="10" t="s">
        <v>55</v>
      </c>
      <c r="E311" s="10" t="str">
        <f t="shared" si="39"/>
        <v>M</v>
      </c>
      <c r="F311" s="10" t="str">
        <f t="shared" si="40"/>
        <v>DJ</v>
      </c>
      <c r="G311" s="10" t="s">
        <v>56</v>
      </c>
      <c r="H311" s="54" t="s">
        <v>424</v>
      </c>
      <c r="I311" s="10" t="s">
        <v>179</v>
      </c>
      <c r="J311" s="4" t="str">
        <f t="shared" si="42"/>
        <v/>
      </c>
      <c r="K311" s="4">
        <v>1</v>
      </c>
      <c r="L311" s="30">
        <v>379000</v>
      </c>
      <c r="M311" s="78" t="s">
        <v>217</v>
      </c>
      <c r="N311" s="98" t="s">
        <v>425</v>
      </c>
      <c r="O311" s="10" t="s">
        <v>61</v>
      </c>
      <c r="P311" s="63">
        <v>100</v>
      </c>
      <c r="Q311" s="94" t="s">
        <v>219</v>
      </c>
      <c r="R311" s="63" t="s">
        <v>220</v>
      </c>
      <c r="S311" s="96" t="s">
        <v>221</v>
      </c>
      <c r="T311" s="10" t="s">
        <v>65</v>
      </c>
      <c r="U311" s="10"/>
      <c r="V311" s="10" t="s">
        <v>222</v>
      </c>
      <c r="W311" s="10"/>
      <c r="X311" s="9" t="s">
        <v>67</v>
      </c>
      <c r="Y311" s="10" t="s">
        <v>68</v>
      </c>
      <c r="Z311" s="94" t="s">
        <v>154</v>
      </c>
      <c r="AA311" s="94" t="s">
        <v>426</v>
      </c>
      <c r="AB311" s="9" t="s">
        <v>71</v>
      </c>
      <c r="AC311" s="10" t="s">
        <v>62</v>
      </c>
      <c r="AD311" s="10" t="s">
        <v>72</v>
      </c>
      <c r="AE311" s="65" t="s">
        <v>73</v>
      </c>
      <c r="AF311" s="39" t="s">
        <v>427</v>
      </c>
      <c r="AG311" s="10" t="s">
        <v>127</v>
      </c>
      <c r="AH311" s="4">
        <v>650</v>
      </c>
      <c r="AI311" s="11" t="s">
        <v>264</v>
      </c>
      <c r="AJ311" s="4" t="s">
        <v>241</v>
      </c>
      <c r="AK311" s="36">
        <v>2003</v>
      </c>
      <c r="AL311" s="30">
        <v>759137000</v>
      </c>
      <c r="AM311" s="30">
        <v>88</v>
      </c>
      <c r="AN311" s="30">
        <v>32964208</v>
      </c>
      <c r="AO311" s="30">
        <v>277</v>
      </c>
      <c r="AP311" s="30">
        <v>99643759</v>
      </c>
      <c r="AQ311" s="30">
        <v>815</v>
      </c>
      <c r="AR311" s="30">
        <v>289324908</v>
      </c>
      <c r="AS311" s="52">
        <f t="shared" si="43"/>
        <v>0.40688966550174738</v>
      </c>
    </row>
    <row r="312" spans="2:45" x14ac:dyDescent="0.3">
      <c r="B312" s="32" t="s">
        <v>423</v>
      </c>
      <c r="C312" s="10" t="str">
        <f t="shared" si="41"/>
        <v>DJ6A0</v>
      </c>
      <c r="D312" s="10" t="s">
        <v>55</v>
      </c>
      <c r="E312" s="10" t="str">
        <f t="shared" ref="E312:E375" si="44">MID($B312,2,1)</f>
        <v>M</v>
      </c>
      <c r="F312" s="10" t="str">
        <f t="shared" ref="F312:F375" si="45">MID($B312,3,2)</f>
        <v>DJ</v>
      </c>
      <c r="G312" s="10" t="s">
        <v>56</v>
      </c>
      <c r="H312" s="54" t="s">
        <v>424</v>
      </c>
      <c r="I312" s="10" t="s">
        <v>178</v>
      </c>
      <c r="J312" s="4" t="str">
        <f t="shared" si="42"/>
        <v/>
      </c>
      <c r="K312" s="4">
        <v>1</v>
      </c>
      <c r="L312" s="30">
        <v>379000</v>
      </c>
      <c r="M312" s="78" t="s">
        <v>217</v>
      </c>
      <c r="N312" s="98" t="s">
        <v>425</v>
      </c>
      <c r="O312" s="10" t="s">
        <v>61</v>
      </c>
      <c r="P312" s="63">
        <v>100</v>
      </c>
      <c r="Q312" s="94" t="s">
        <v>219</v>
      </c>
      <c r="R312" s="63" t="s">
        <v>220</v>
      </c>
      <c r="S312" s="96" t="s">
        <v>221</v>
      </c>
      <c r="T312" s="10" t="s">
        <v>65</v>
      </c>
      <c r="U312" s="10"/>
      <c r="V312" s="10" t="s">
        <v>222</v>
      </c>
      <c r="W312" s="10"/>
      <c r="X312" s="9" t="s">
        <v>67</v>
      </c>
      <c r="Y312" s="10" t="s">
        <v>68</v>
      </c>
      <c r="Z312" s="94" t="s">
        <v>154</v>
      </c>
      <c r="AA312" s="94" t="s">
        <v>426</v>
      </c>
      <c r="AB312" s="9" t="s">
        <v>71</v>
      </c>
      <c r="AC312" s="10" t="s">
        <v>62</v>
      </c>
      <c r="AD312" s="10" t="s">
        <v>72</v>
      </c>
      <c r="AE312" s="65" t="s">
        <v>73</v>
      </c>
      <c r="AF312" s="39" t="s">
        <v>427</v>
      </c>
      <c r="AG312" s="10" t="s">
        <v>127</v>
      </c>
      <c r="AH312" s="4">
        <v>650</v>
      </c>
      <c r="AI312" s="11" t="s">
        <v>264</v>
      </c>
      <c r="AJ312" s="4" t="s">
        <v>241</v>
      </c>
      <c r="AK312" s="36">
        <v>1761</v>
      </c>
      <c r="AL312" s="30">
        <v>667419000</v>
      </c>
      <c r="AM312" s="30">
        <v>37</v>
      </c>
      <c r="AN312" s="30">
        <v>13837400</v>
      </c>
      <c r="AO312" s="30">
        <v>165</v>
      </c>
      <c r="AP312" s="30">
        <v>59689130</v>
      </c>
      <c r="AQ312" s="30">
        <v>379</v>
      </c>
      <c r="AR312" s="30">
        <v>138115627</v>
      </c>
      <c r="AS312" s="52">
        <f t="shared" si="43"/>
        <v>0.21521862578080636</v>
      </c>
    </row>
    <row r="313" spans="2:45" x14ac:dyDescent="0.3">
      <c r="B313" s="32" t="s">
        <v>428</v>
      </c>
      <c r="C313" s="10" t="str">
        <f t="shared" si="41"/>
        <v>DJ6C0</v>
      </c>
      <c r="D313" s="10" t="s">
        <v>55</v>
      </c>
      <c r="E313" s="10" t="str">
        <f t="shared" si="44"/>
        <v>M</v>
      </c>
      <c r="F313" s="10" t="str">
        <f t="shared" si="45"/>
        <v>DJ</v>
      </c>
      <c r="G313" s="10" t="s">
        <v>56</v>
      </c>
      <c r="H313" s="4" t="s">
        <v>429</v>
      </c>
      <c r="I313" s="10" t="s">
        <v>78</v>
      </c>
      <c r="J313" s="4">
        <f t="shared" si="42"/>
        <v>1</v>
      </c>
      <c r="K313" s="4">
        <v>1</v>
      </c>
      <c r="L313" s="30">
        <v>410000</v>
      </c>
      <c r="M313" s="78" t="s">
        <v>217</v>
      </c>
      <c r="N313" s="98" t="s">
        <v>425</v>
      </c>
      <c r="O313" s="10" t="s">
        <v>61</v>
      </c>
      <c r="P313" s="63">
        <v>100</v>
      </c>
      <c r="Q313" s="94" t="s">
        <v>219</v>
      </c>
      <c r="R313" s="63" t="s">
        <v>220</v>
      </c>
      <c r="S313" s="96" t="s">
        <v>221</v>
      </c>
      <c r="T313" s="10" t="s">
        <v>65</v>
      </c>
      <c r="U313" s="10"/>
      <c r="V313" s="10" t="s">
        <v>222</v>
      </c>
      <c r="W313" s="10"/>
      <c r="X313" s="9" t="s">
        <v>67</v>
      </c>
      <c r="Y313" s="10" t="s">
        <v>68</v>
      </c>
      <c r="Z313" s="94" t="s">
        <v>154</v>
      </c>
      <c r="AA313" s="94" t="s">
        <v>426</v>
      </c>
      <c r="AB313" s="9" t="s">
        <v>71</v>
      </c>
      <c r="AC313" s="10" t="s">
        <v>62</v>
      </c>
      <c r="AD313" s="10" t="s">
        <v>72</v>
      </c>
      <c r="AE313" s="65" t="s">
        <v>73</v>
      </c>
      <c r="AF313" s="39" t="s">
        <v>430</v>
      </c>
      <c r="AG313" s="10" t="s">
        <v>127</v>
      </c>
      <c r="AH313" s="4">
        <v>650</v>
      </c>
      <c r="AI313" s="11" t="s">
        <v>107</v>
      </c>
      <c r="AJ313" s="4" t="s">
        <v>108</v>
      </c>
      <c r="AK313" s="36">
        <v>3006</v>
      </c>
      <c r="AL313" s="30">
        <v>1232460000</v>
      </c>
      <c r="AM313" s="30">
        <v>80</v>
      </c>
      <c r="AN313" s="30">
        <v>32119144</v>
      </c>
      <c r="AO313" s="30">
        <v>316</v>
      </c>
      <c r="AP313" s="30">
        <v>126590205</v>
      </c>
      <c r="AQ313" s="30">
        <v>1647</v>
      </c>
      <c r="AR313" s="30">
        <v>552315344</v>
      </c>
      <c r="AS313" s="52">
        <f t="shared" si="43"/>
        <v>0.54790419161676651</v>
      </c>
    </row>
    <row r="314" spans="2:45" x14ac:dyDescent="0.3">
      <c r="B314" s="32" t="s">
        <v>428</v>
      </c>
      <c r="C314" s="10" t="str">
        <f t="shared" si="41"/>
        <v>DJ6C0</v>
      </c>
      <c r="D314" s="10" t="s">
        <v>55</v>
      </c>
      <c r="E314" s="10" t="str">
        <f t="shared" si="44"/>
        <v>M</v>
      </c>
      <c r="F314" s="10" t="str">
        <f t="shared" si="45"/>
        <v>DJ</v>
      </c>
      <c r="G314" s="10" t="s">
        <v>56</v>
      </c>
      <c r="H314" s="4" t="s">
        <v>429</v>
      </c>
      <c r="I314" s="10" t="s">
        <v>179</v>
      </c>
      <c r="J314" s="4" t="str">
        <f t="shared" si="42"/>
        <v/>
      </c>
      <c r="K314" s="4">
        <v>1</v>
      </c>
      <c r="L314" s="30">
        <v>410000</v>
      </c>
      <c r="M314" s="78" t="s">
        <v>217</v>
      </c>
      <c r="N314" s="98" t="s">
        <v>425</v>
      </c>
      <c r="O314" s="10" t="s">
        <v>61</v>
      </c>
      <c r="P314" s="63">
        <v>100</v>
      </c>
      <c r="Q314" s="94" t="s">
        <v>219</v>
      </c>
      <c r="R314" s="63" t="s">
        <v>220</v>
      </c>
      <c r="S314" s="96" t="s">
        <v>221</v>
      </c>
      <c r="T314" s="10" t="s">
        <v>65</v>
      </c>
      <c r="U314" s="10"/>
      <c r="V314" s="10" t="s">
        <v>222</v>
      </c>
      <c r="W314" s="10"/>
      <c r="X314" s="9" t="s">
        <v>67</v>
      </c>
      <c r="Y314" s="10" t="s">
        <v>68</v>
      </c>
      <c r="Z314" s="94" t="s">
        <v>154</v>
      </c>
      <c r="AA314" s="94" t="s">
        <v>426</v>
      </c>
      <c r="AB314" s="9" t="s">
        <v>71</v>
      </c>
      <c r="AC314" s="10" t="s">
        <v>62</v>
      </c>
      <c r="AD314" s="10" t="s">
        <v>72</v>
      </c>
      <c r="AE314" s="65" t="s">
        <v>73</v>
      </c>
      <c r="AF314" s="39" t="s">
        <v>430</v>
      </c>
      <c r="AG314" s="10" t="s">
        <v>127</v>
      </c>
      <c r="AH314" s="4">
        <v>650</v>
      </c>
      <c r="AI314" s="11" t="s">
        <v>107</v>
      </c>
      <c r="AJ314" s="4" t="s">
        <v>108</v>
      </c>
      <c r="AK314" s="36">
        <v>986</v>
      </c>
      <c r="AL314" s="30">
        <v>404260000</v>
      </c>
      <c r="AM314" s="30">
        <v>8</v>
      </c>
      <c r="AN314" s="30">
        <v>3143852</v>
      </c>
      <c r="AO314" s="30">
        <v>29</v>
      </c>
      <c r="AP314" s="30">
        <v>11320352</v>
      </c>
      <c r="AQ314" s="30">
        <v>165</v>
      </c>
      <c r="AR314" s="30">
        <v>54693572</v>
      </c>
      <c r="AS314" s="52">
        <f t="shared" si="43"/>
        <v>0.16734279918864098</v>
      </c>
    </row>
    <row r="315" spans="2:45" x14ac:dyDescent="0.3">
      <c r="B315" s="32" t="s">
        <v>428</v>
      </c>
      <c r="C315" s="10" t="str">
        <f t="shared" si="41"/>
        <v>DJ6C0</v>
      </c>
      <c r="D315" s="10" t="s">
        <v>55</v>
      </c>
      <c r="E315" s="10" t="str">
        <f t="shared" si="44"/>
        <v>M</v>
      </c>
      <c r="F315" s="10" t="str">
        <f t="shared" si="45"/>
        <v>DJ</v>
      </c>
      <c r="G315" s="10" t="s">
        <v>56</v>
      </c>
      <c r="H315" s="4" t="s">
        <v>429</v>
      </c>
      <c r="I315" s="10" t="s">
        <v>215</v>
      </c>
      <c r="J315" s="4" t="str">
        <f t="shared" si="42"/>
        <v/>
      </c>
      <c r="K315" s="4">
        <v>1</v>
      </c>
      <c r="L315" s="30">
        <v>410000</v>
      </c>
      <c r="M315" s="78" t="s">
        <v>217</v>
      </c>
      <c r="N315" s="98" t="s">
        <v>425</v>
      </c>
      <c r="O315" s="10" t="s">
        <v>61</v>
      </c>
      <c r="P315" s="63">
        <v>100</v>
      </c>
      <c r="Q315" s="94" t="s">
        <v>219</v>
      </c>
      <c r="R315" s="63" t="s">
        <v>220</v>
      </c>
      <c r="S315" s="96" t="s">
        <v>221</v>
      </c>
      <c r="T315" s="10" t="s">
        <v>65</v>
      </c>
      <c r="U315" s="10"/>
      <c r="V315" s="10" t="s">
        <v>222</v>
      </c>
      <c r="W315" s="10"/>
      <c r="X315" s="9" t="s">
        <v>67</v>
      </c>
      <c r="Y315" s="10" t="s">
        <v>68</v>
      </c>
      <c r="Z315" s="94" t="s">
        <v>154</v>
      </c>
      <c r="AA315" s="94" t="s">
        <v>426</v>
      </c>
      <c r="AB315" s="9" t="s">
        <v>71</v>
      </c>
      <c r="AC315" s="10" t="s">
        <v>62</v>
      </c>
      <c r="AD315" s="10" t="s">
        <v>72</v>
      </c>
      <c r="AE315" s="65" t="s">
        <v>73</v>
      </c>
      <c r="AF315" s="39" t="s">
        <v>430</v>
      </c>
      <c r="AG315" s="10" t="s">
        <v>127</v>
      </c>
      <c r="AH315" s="4">
        <v>650</v>
      </c>
      <c r="AI315" s="11" t="s">
        <v>107</v>
      </c>
      <c r="AJ315" s="4" t="s">
        <v>108</v>
      </c>
      <c r="AK315" s="36">
        <v>1200</v>
      </c>
      <c r="AL315" s="30">
        <v>492000000</v>
      </c>
      <c r="AM315" s="30">
        <v>31</v>
      </c>
      <c r="AN315" s="30">
        <v>12311280</v>
      </c>
      <c r="AO315" s="30">
        <v>81</v>
      </c>
      <c r="AP315" s="30">
        <v>32440266</v>
      </c>
      <c r="AQ315" s="30">
        <v>443</v>
      </c>
      <c r="AR315" s="30">
        <v>148599056</v>
      </c>
      <c r="AS315" s="52">
        <f t="shared" si="43"/>
        <v>0.36916666666666664</v>
      </c>
    </row>
    <row r="316" spans="2:45" x14ac:dyDescent="0.3">
      <c r="B316" s="32" t="s">
        <v>423</v>
      </c>
      <c r="C316" s="10" t="str">
        <f t="shared" si="41"/>
        <v>DJ6A0</v>
      </c>
      <c r="D316" s="10" t="s">
        <v>148</v>
      </c>
      <c r="E316" s="10" t="str">
        <f t="shared" si="44"/>
        <v>M</v>
      </c>
      <c r="F316" s="10" t="str">
        <f t="shared" si="45"/>
        <v>DJ</v>
      </c>
      <c r="G316" s="10" t="s">
        <v>56</v>
      </c>
      <c r="H316" s="4" t="s">
        <v>431</v>
      </c>
      <c r="I316" s="10" t="s">
        <v>432</v>
      </c>
      <c r="J316" s="4">
        <f t="shared" si="42"/>
        <v>1</v>
      </c>
      <c r="K316" s="4">
        <v>1</v>
      </c>
      <c r="L316" s="30">
        <v>379000</v>
      </c>
      <c r="M316" s="78" t="s">
        <v>217</v>
      </c>
      <c r="N316" s="98" t="s">
        <v>425</v>
      </c>
      <c r="O316" s="10" t="s">
        <v>61</v>
      </c>
      <c r="P316" s="63">
        <v>100</v>
      </c>
      <c r="Q316" s="94" t="s">
        <v>219</v>
      </c>
      <c r="R316" s="63" t="s">
        <v>220</v>
      </c>
      <c r="S316" s="96" t="s">
        <v>221</v>
      </c>
      <c r="T316" s="10" t="s">
        <v>65</v>
      </c>
      <c r="U316" s="10"/>
      <c r="V316" s="10" t="s">
        <v>222</v>
      </c>
      <c r="W316" s="10"/>
      <c r="X316" s="9" t="s">
        <v>67</v>
      </c>
      <c r="Y316" s="10" t="s">
        <v>68</v>
      </c>
      <c r="Z316" s="94" t="s">
        <v>154</v>
      </c>
      <c r="AA316" s="94" t="s">
        <v>426</v>
      </c>
      <c r="AB316" s="9" t="s">
        <v>71</v>
      </c>
      <c r="AC316" s="10" t="s">
        <v>62</v>
      </c>
      <c r="AD316" s="10" t="s">
        <v>72</v>
      </c>
      <c r="AE316" s="65" t="s">
        <v>73</v>
      </c>
      <c r="AF316" s="39" t="s">
        <v>427</v>
      </c>
      <c r="AG316" s="10" t="s">
        <v>127</v>
      </c>
      <c r="AH316" s="4">
        <v>650</v>
      </c>
      <c r="AI316" s="11" t="s">
        <v>264</v>
      </c>
      <c r="AJ316" s="4" t="s">
        <v>241</v>
      </c>
      <c r="AK316" s="36">
        <v>1000</v>
      </c>
      <c r="AL316" s="30">
        <v>379000000</v>
      </c>
      <c r="AM316" s="30">
        <v>0</v>
      </c>
      <c r="AN316" s="30">
        <v>0</v>
      </c>
      <c r="AO316" s="30">
        <v>0</v>
      </c>
      <c r="AP316" s="30">
        <v>0</v>
      </c>
      <c r="AQ316" s="30">
        <v>75</v>
      </c>
      <c r="AR316" s="30">
        <v>26877315</v>
      </c>
      <c r="AS316" s="52">
        <f t="shared" si="43"/>
        <v>7.4999999999999997E-2</v>
      </c>
    </row>
    <row r="317" spans="2:45" x14ac:dyDescent="0.3">
      <c r="B317" s="32" t="s">
        <v>433</v>
      </c>
      <c r="C317" s="10" t="str">
        <f t="shared" si="41"/>
        <v>DJ6E0</v>
      </c>
      <c r="D317" s="10" t="s">
        <v>55</v>
      </c>
      <c r="E317" s="10" t="str">
        <f t="shared" si="44"/>
        <v>M</v>
      </c>
      <c r="F317" s="10" t="str">
        <f t="shared" si="45"/>
        <v>DJ</v>
      </c>
      <c r="G317" s="10" t="s">
        <v>56</v>
      </c>
      <c r="H317" s="4" t="s">
        <v>434</v>
      </c>
      <c r="I317" s="10" t="s">
        <v>435</v>
      </c>
      <c r="J317" s="4">
        <f t="shared" si="42"/>
        <v>1</v>
      </c>
      <c r="K317" s="4">
        <v>1</v>
      </c>
      <c r="L317" s="30">
        <v>399000</v>
      </c>
      <c r="M317" s="78" t="s">
        <v>436</v>
      </c>
      <c r="N317" s="98" t="s">
        <v>437</v>
      </c>
      <c r="O317" s="10" t="s">
        <v>143</v>
      </c>
      <c r="P317" s="63">
        <v>100</v>
      </c>
      <c r="Q317" s="94" t="s">
        <v>144</v>
      </c>
      <c r="R317" s="63" t="s">
        <v>438</v>
      </c>
      <c r="S317" s="96" t="s">
        <v>439</v>
      </c>
      <c r="T317" s="10" t="s">
        <v>122</v>
      </c>
      <c r="U317" s="10" t="s">
        <v>123</v>
      </c>
      <c r="V317" s="10" t="s">
        <v>66</v>
      </c>
      <c r="W317" s="10"/>
      <c r="X317" s="9" t="s">
        <v>67</v>
      </c>
      <c r="Y317" s="10" t="s">
        <v>440</v>
      </c>
      <c r="Z317" s="94" t="s">
        <v>441</v>
      </c>
      <c r="AA317" s="94" t="s">
        <v>90</v>
      </c>
      <c r="AB317" s="9" t="s">
        <v>71</v>
      </c>
      <c r="AC317" s="10" t="s">
        <v>85</v>
      </c>
      <c r="AD317" s="10" t="s">
        <v>208</v>
      </c>
      <c r="AE317" s="65" t="s">
        <v>73</v>
      </c>
      <c r="AF317" s="39" t="s">
        <v>442</v>
      </c>
      <c r="AG317" s="10" t="s">
        <v>127</v>
      </c>
      <c r="AH317" s="4">
        <v>650</v>
      </c>
      <c r="AI317" s="11" t="s">
        <v>264</v>
      </c>
      <c r="AJ317" s="4" t="s">
        <v>241</v>
      </c>
      <c r="AK317" s="36">
        <v>786</v>
      </c>
      <c r="AL317" s="30">
        <v>313614000</v>
      </c>
      <c r="AM317" s="30">
        <v>51</v>
      </c>
      <c r="AN317" s="30">
        <v>20311735</v>
      </c>
      <c r="AO317" s="30">
        <v>189</v>
      </c>
      <c r="AP317" s="30">
        <v>74058177</v>
      </c>
      <c r="AQ317" s="30">
        <v>478</v>
      </c>
      <c r="AR317" s="30">
        <v>184689854</v>
      </c>
      <c r="AS317" s="52">
        <f t="shared" si="43"/>
        <v>0.6081424936386769</v>
      </c>
    </row>
    <row r="318" spans="2:45" x14ac:dyDescent="0.3">
      <c r="B318" s="32" t="s">
        <v>433</v>
      </c>
      <c r="C318" s="10" t="str">
        <f t="shared" si="41"/>
        <v>DJ6E0</v>
      </c>
      <c r="D318" s="10" t="s">
        <v>55</v>
      </c>
      <c r="E318" s="10" t="str">
        <f t="shared" si="44"/>
        <v>M</v>
      </c>
      <c r="F318" s="10" t="str">
        <f t="shared" si="45"/>
        <v>DJ</v>
      </c>
      <c r="G318" s="10" t="s">
        <v>56</v>
      </c>
      <c r="H318" s="4" t="s">
        <v>434</v>
      </c>
      <c r="I318" s="10" t="s">
        <v>78</v>
      </c>
      <c r="J318" s="4" t="str">
        <f t="shared" si="42"/>
        <v/>
      </c>
      <c r="K318" s="4">
        <v>1</v>
      </c>
      <c r="L318" s="30">
        <v>399000</v>
      </c>
      <c r="M318" s="78" t="s">
        <v>436</v>
      </c>
      <c r="N318" s="98" t="s">
        <v>437</v>
      </c>
      <c r="O318" s="10" t="s">
        <v>143</v>
      </c>
      <c r="P318" s="63">
        <v>100</v>
      </c>
      <c r="Q318" s="94" t="s">
        <v>144</v>
      </c>
      <c r="R318" s="63" t="s">
        <v>438</v>
      </c>
      <c r="S318" s="96" t="s">
        <v>439</v>
      </c>
      <c r="T318" s="10" t="s">
        <v>122</v>
      </c>
      <c r="U318" s="10" t="s">
        <v>123</v>
      </c>
      <c r="V318" s="10" t="s">
        <v>66</v>
      </c>
      <c r="W318" s="10"/>
      <c r="X318" s="9" t="s">
        <v>67</v>
      </c>
      <c r="Y318" s="10" t="s">
        <v>440</v>
      </c>
      <c r="Z318" s="94" t="s">
        <v>441</v>
      </c>
      <c r="AA318" s="94" t="s">
        <v>90</v>
      </c>
      <c r="AB318" s="9" t="s">
        <v>71</v>
      </c>
      <c r="AC318" s="10" t="s">
        <v>85</v>
      </c>
      <c r="AD318" s="10" t="s">
        <v>208</v>
      </c>
      <c r="AE318" s="65" t="s">
        <v>73</v>
      </c>
      <c r="AF318" s="39" t="s">
        <v>442</v>
      </c>
      <c r="AG318" s="10" t="s">
        <v>127</v>
      </c>
      <c r="AH318" s="4">
        <v>650</v>
      </c>
      <c r="AI318" s="11" t="s">
        <v>264</v>
      </c>
      <c r="AJ318" s="4" t="s">
        <v>241</v>
      </c>
      <c r="AK318" s="36">
        <v>1668</v>
      </c>
      <c r="AL318" s="30">
        <v>665532000</v>
      </c>
      <c r="AM318" s="30">
        <v>111</v>
      </c>
      <c r="AN318" s="30">
        <v>43381220</v>
      </c>
      <c r="AO318" s="30">
        <v>530</v>
      </c>
      <c r="AP318" s="30">
        <v>207382315</v>
      </c>
      <c r="AQ318" s="30">
        <v>1114</v>
      </c>
      <c r="AR318" s="30">
        <v>431731436</v>
      </c>
      <c r="AS318" s="52">
        <f t="shared" si="43"/>
        <v>0.66786570743405271</v>
      </c>
    </row>
    <row r="319" spans="2:45" x14ac:dyDescent="0.3">
      <c r="B319" s="32" t="s">
        <v>443</v>
      </c>
      <c r="C319" s="10" t="str">
        <f t="shared" si="41"/>
        <v>DJG10</v>
      </c>
      <c r="D319" s="10" t="s">
        <v>55</v>
      </c>
      <c r="E319" s="10" t="str">
        <f t="shared" si="44"/>
        <v>M</v>
      </c>
      <c r="F319" s="10" t="str">
        <f t="shared" si="45"/>
        <v>DJ</v>
      </c>
      <c r="G319" s="10" t="s">
        <v>56</v>
      </c>
      <c r="H319" s="4" t="s">
        <v>444</v>
      </c>
      <c r="I319" s="10" t="s">
        <v>385</v>
      </c>
      <c r="J319" s="4">
        <f t="shared" si="42"/>
        <v>1</v>
      </c>
      <c r="K319" s="4">
        <v>1</v>
      </c>
      <c r="L319" s="30">
        <v>239000</v>
      </c>
      <c r="M319" s="78" t="s">
        <v>217</v>
      </c>
      <c r="N319" s="98" t="s">
        <v>329</v>
      </c>
      <c r="O319" s="10" t="s">
        <v>61</v>
      </c>
      <c r="P319" s="63">
        <v>100</v>
      </c>
      <c r="Q319" s="94" t="s">
        <v>330</v>
      </c>
      <c r="R319" s="63" t="s">
        <v>246</v>
      </c>
      <c r="S319" s="96" t="s">
        <v>331</v>
      </c>
      <c r="T319" s="10" t="s">
        <v>122</v>
      </c>
      <c r="U319" s="10" t="s">
        <v>332</v>
      </c>
      <c r="V319" s="10" t="s">
        <v>66</v>
      </c>
      <c r="W319" s="10"/>
      <c r="X319" s="9" t="s">
        <v>67</v>
      </c>
      <c r="Y319" s="10" t="s">
        <v>68</v>
      </c>
      <c r="Z319" s="94" t="s">
        <v>125</v>
      </c>
      <c r="AA319" s="94" t="s">
        <v>90</v>
      </c>
      <c r="AB319" s="9" t="s">
        <v>71</v>
      </c>
      <c r="AC319" s="10" t="s">
        <v>62</v>
      </c>
      <c r="AD319" s="10" t="s">
        <v>72</v>
      </c>
      <c r="AE319" s="65" t="s">
        <v>73</v>
      </c>
      <c r="AF319" s="39" t="s">
        <v>333</v>
      </c>
      <c r="AG319" s="10" t="s">
        <v>240</v>
      </c>
      <c r="AH319" s="4">
        <v>650</v>
      </c>
      <c r="AI319" s="11" t="s">
        <v>76</v>
      </c>
      <c r="AJ319" s="4" t="s">
        <v>241</v>
      </c>
      <c r="AK319" s="36">
        <v>1012</v>
      </c>
      <c r="AL319" s="30">
        <v>241868000</v>
      </c>
      <c r="AM319" s="30">
        <v>97</v>
      </c>
      <c r="AN319" s="30">
        <v>16218100</v>
      </c>
      <c r="AO319" s="30">
        <v>777</v>
      </c>
      <c r="AP319" s="30">
        <v>132258868</v>
      </c>
      <c r="AQ319" s="30">
        <v>981</v>
      </c>
      <c r="AR319" s="30">
        <v>166274928</v>
      </c>
      <c r="AS319" s="52">
        <f t="shared" si="43"/>
        <v>0.96936758893280628</v>
      </c>
    </row>
    <row r="320" spans="2:45" x14ac:dyDescent="0.3">
      <c r="B320" s="32" t="s">
        <v>443</v>
      </c>
      <c r="C320" s="10" t="str">
        <f t="shared" si="41"/>
        <v>DJG10</v>
      </c>
      <c r="D320" s="10" t="s">
        <v>55</v>
      </c>
      <c r="E320" s="10" t="str">
        <f t="shared" si="44"/>
        <v>M</v>
      </c>
      <c r="F320" s="10" t="str">
        <f t="shared" si="45"/>
        <v>DJ</v>
      </c>
      <c r="G320" s="10" t="s">
        <v>56</v>
      </c>
      <c r="H320" s="4" t="s">
        <v>444</v>
      </c>
      <c r="I320" s="10" t="s">
        <v>113</v>
      </c>
      <c r="J320" s="4" t="str">
        <f t="shared" si="42"/>
        <v/>
      </c>
      <c r="K320" s="4">
        <v>1</v>
      </c>
      <c r="L320" s="30">
        <v>239000</v>
      </c>
      <c r="M320" s="78" t="s">
        <v>217</v>
      </c>
      <c r="N320" s="98" t="s">
        <v>329</v>
      </c>
      <c r="O320" s="10" t="s">
        <v>61</v>
      </c>
      <c r="P320" s="63">
        <v>100</v>
      </c>
      <c r="Q320" s="94" t="s">
        <v>330</v>
      </c>
      <c r="R320" s="63" t="s">
        <v>246</v>
      </c>
      <c r="S320" s="96" t="s">
        <v>331</v>
      </c>
      <c r="T320" s="10" t="s">
        <v>122</v>
      </c>
      <c r="U320" s="10" t="s">
        <v>332</v>
      </c>
      <c r="V320" s="10" t="s">
        <v>66</v>
      </c>
      <c r="W320" s="10"/>
      <c r="X320" s="9" t="s">
        <v>67</v>
      </c>
      <c r="Y320" s="10" t="s">
        <v>68</v>
      </c>
      <c r="Z320" s="94" t="s">
        <v>125</v>
      </c>
      <c r="AA320" s="94" t="s">
        <v>90</v>
      </c>
      <c r="AB320" s="9" t="s">
        <v>71</v>
      </c>
      <c r="AC320" s="10" t="s">
        <v>62</v>
      </c>
      <c r="AD320" s="10" t="s">
        <v>72</v>
      </c>
      <c r="AE320" s="65" t="s">
        <v>73</v>
      </c>
      <c r="AF320" s="39" t="s">
        <v>333</v>
      </c>
      <c r="AG320" s="10" t="s">
        <v>240</v>
      </c>
      <c r="AH320" s="4">
        <v>650</v>
      </c>
      <c r="AI320" s="11" t="s">
        <v>76</v>
      </c>
      <c r="AJ320" s="4" t="s">
        <v>241</v>
      </c>
      <c r="AK320" s="36">
        <v>807</v>
      </c>
      <c r="AL320" s="30">
        <v>192873000</v>
      </c>
      <c r="AM320" s="30">
        <v>47</v>
      </c>
      <c r="AN320" s="30">
        <v>7796440</v>
      </c>
      <c r="AO320" s="30">
        <v>727</v>
      </c>
      <c r="AP320" s="30">
        <v>123395544</v>
      </c>
      <c r="AQ320" s="30">
        <v>784</v>
      </c>
      <c r="AR320" s="30">
        <v>132921644</v>
      </c>
      <c r="AS320" s="52">
        <f t="shared" si="43"/>
        <v>0.97149938042131345</v>
      </c>
    </row>
    <row r="321" spans="2:45" x14ac:dyDescent="0.3">
      <c r="B321" s="32" t="s">
        <v>443</v>
      </c>
      <c r="C321" s="10" t="str">
        <f t="shared" si="41"/>
        <v>DJG10</v>
      </c>
      <c r="D321" s="10" t="s">
        <v>55</v>
      </c>
      <c r="E321" s="10" t="str">
        <f t="shared" si="44"/>
        <v>M</v>
      </c>
      <c r="F321" s="10" t="str">
        <f t="shared" si="45"/>
        <v>DJ</v>
      </c>
      <c r="G321" s="10" t="s">
        <v>56</v>
      </c>
      <c r="H321" s="4" t="s">
        <v>444</v>
      </c>
      <c r="I321" s="10" t="s">
        <v>78</v>
      </c>
      <c r="J321" s="4" t="str">
        <f t="shared" si="42"/>
        <v/>
      </c>
      <c r="K321" s="4">
        <v>1</v>
      </c>
      <c r="L321" s="30">
        <v>239000</v>
      </c>
      <c r="M321" s="78" t="s">
        <v>217</v>
      </c>
      <c r="N321" s="98" t="s">
        <v>329</v>
      </c>
      <c r="O321" s="10" t="s">
        <v>61</v>
      </c>
      <c r="P321" s="63">
        <v>100</v>
      </c>
      <c r="Q321" s="94" t="s">
        <v>330</v>
      </c>
      <c r="R321" s="63" t="s">
        <v>246</v>
      </c>
      <c r="S321" s="96" t="s">
        <v>331</v>
      </c>
      <c r="T321" s="10" t="s">
        <v>122</v>
      </c>
      <c r="U321" s="10" t="s">
        <v>332</v>
      </c>
      <c r="V321" s="10" t="s">
        <v>66</v>
      </c>
      <c r="W321" s="10"/>
      <c r="X321" s="9" t="s">
        <v>67</v>
      </c>
      <c r="Y321" s="10" t="s">
        <v>68</v>
      </c>
      <c r="Z321" s="94" t="s">
        <v>125</v>
      </c>
      <c r="AA321" s="94" t="s">
        <v>90</v>
      </c>
      <c r="AB321" s="9" t="s">
        <v>71</v>
      </c>
      <c r="AC321" s="10" t="s">
        <v>62</v>
      </c>
      <c r="AD321" s="10" t="s">
        <v>72</v>
      </c>
      <c r="AE321" s="65" t="s">
        <v>73</v>
      </c>
      <c r="AF321" s="39" t="s">
        <v>333</v>
      </c>
      <c r="AG321" s="10" t="s">
        <v>240</v>
      </c>
      <c r="AH321" s="4">
        <v>650</v>
      </c>
      <c r="AI321" s="11" t="s">
        <v>76</v>
      </c>
      <c r="AJ321" s="4" t="s">
        <v>241</v>
      </c>
      <c r="AK321" s="36">
        <v>2744</v>
      </c>
      <c r="AL321" s="30">
        <v>655816000</v>
      </c>
      <c r="AM321" s="30">
        <v>82</v>
      </c>
      <c r="AN321" s="30">
        <v>13711950</v>
      </c>
      <c r="AO321" s="30">
        <v>2683</v>
      </c>
      <c r="AP321" s="30">
        <v>474560168</v>
      </c>
      <c r="AQ321" s="30">
        <v>2709</v>
      </c>
      <c r="AR321" s="30">
        <v>478838268</v>
      </c>
      <c r="AS321" s="52">
        <f t="shared" si="43"/>
        <v>0.98724489795918369</v>
      </c>
    </row>
    <row r="322" spans="2:45" x14ac:dyDescent="0.3">
      <c r="B322" s="32" t="s">
        <v>445</v>
      </c>
      <c r="C322" s="10" t="str">
        <f t="shared" si="41"/>
        <v>DJG20</v>
      </c>
      <c r="D322" s="10" t="s">
        <v>55</v>
      </c>
      <c r="E322" s="10" t="str">
        <f t="shared" si="44"/>
        <v>W</v>
      </c>
      <c r="F322" s="10" t="str">
        <f t="shared" si="45"/>
        <v>DJ</v>
      </c>
      <c r="G322" s="10" t="s">
        <v>56</v>
      </c>
      <c r="H322" s="4" t="s">
        <v>446</v>
      </c>
      <c r="I322" s="10" t="s">
        <v>111</v>
      </c>
      <c r="J322" s="4">
        <f t="shared" si="42"/>
        <v>1</v>
      </c>
      <c r="K322" s="4">
        <v>1</v>
      </c>
      <c r="L322" s="30">
        <v>239000</v>
      </c>
      <c r="M322" s="78" t="s">
        <v>217</v>
      </c>
      <c r="N322" s="98" t="s">
        <v>249</v>
      </c>
      <c r="O322" s="10" t="s">
        <v>61</v>
      </c>
      <c r="P322" s="63">
        <v>100</v>
      </c>
      <c r="Q322" s="94" t="s">
        <v>119</v>
      </c>
      <c r="R322" s="63" t="s">
        <v>246</v>
      </c>
      <c r="S322" s="96" t="s">
        <v>121</v>
      </c>
      <c r="T322" s="10" t="s">
        <v>122</v>
      </c>
      <c r="U322" s="10" t="s">
        <v>250</v>
      </c>
      <c r="V322" s="10" t="s">
        <v>66</v>
      </c>
      <c r="W322" s="10"/>
      <c r="X322" s="9" t="s">
        <v>67</v>
      </c>
      <c r="Y322" s="10" t="s">
        <v>68</v>
      </c>
      <c r="Z322" s="94" t="s">
        <v>125</v>
      </c>
      <c r="AA322" s="94" t="s">
        <v>90</v>
      </c>
      <c r="AB322" s="9" t="s">
        <v>71</v>
      </c>
      <c r="AC322" s="10" t="s">
        <v>62</v>
      </c>
      <c r="AD322" s="10" t="s">
        <v>72</v>
      </c>
      <c r="AE322" s="65" t="s">
        <v>73</v>
      </c>
      <c r="AF322" s="39" t="s">
        <v>447</v>
      </c>
      <c r="AG322" s="10" t="s">
        <v>240</v>
      </c>
      <c r="AH322" s="4">
        <v>650</v>
      </c>
      <c r="AI322" s="11" t="s">
        <v>76</v>
      </c>
      <c r="AJ322" s="4" t="s">
        <v>77</v>
      </c>
      <c r="AK322" s="36">
        <v>1010</v>
      </c>
      <c r="AL322" s="30">
        <v>241390000</v>
      </c>
      <c r="AM322" s="30">
        <v>40</v>
      </c>
      <c r="AN322" s="30">
        <v>6768910</v>
      </c>
      <c r="AO322" s="30">
        <v>557</v>
      </c>
      <c r="AP322" s="30">
        <v>95882089</v>
      </c>
      <c r="AQ322" s="30">
        <v>792</v>
      </c>
      <c r="AR322" s="30">
        <v>134973749</v>
      </c>
      <c r="AS322" s="52">
        <f t="shared" si="43"/>
        <v>0.78415841584158419</v>
      </c>
    </row>
    <row r="323" spans="2:45" x14ac:dyDescent="0.3">
      <c r="B323" s="32" t="s">
        <v>445</v>
      </c>
      <c r="C323" s="10" t="str">
        <f t="shared" si="41"/>
        <v>DJG20</v>
      </c>
      <c r="D323" s="10" t="s">
        <v>55</v>
      </c>
      <c r="E323" s="10" t="str">
        <f t="shared" si="44"/>
        <v>W</v>
      </c>
      <c r="F323" s="10" t="str">
        <f t="shared" si="45"/>
        <v>DJ</v>
      </c>
      <c r="G323" s="10" t="s">
        <v>56</v>
      </c>
      <c r="H323" s="4" t="s">
        <v>446</v>
      </c>
      <c r="I323" s="10" t="s">
        <v>116</v>
      </c>
      <c r="J323" s="4" t="str">
        <f t="shared" si="42"/>
        <v/>
      </c>
      <c r="K323" s="4">
        <v>1</v>
      </c>
      <c r="L323" s="30">
        <v>239000</v>
      </c>
      <c r="M323" s="78" t="s">
        <v>217</v>
      </c>
      <c r="N323" s="98" t="s">
        <v>249</v>
      </c>
      <c r="O323" s="10" t="s">
        <v>61</v>
      </c>
      <c r="P323" s="63">
        <v>100</v>
      </c>
      <c r="Q323" s="94" t="s">
        <v>119</v>
      </c>
      <c r="R323" s="63" t="s">
        <v>246</v>
      </c>
      <c r="S323" s="96" t="s">
        <v>121</v>
      </c>
      <c r="T323" s="10" t="s">
        <v>122</v>
      </c>
      <c r="U323" s="10" t="s">
        <v>250</v>
      </c>
      <c r="V323" s="10" t="s">
        <v>66</v>
      </c>
      <c r="W323" s="10"/>
      <c r="X323" s="9" t="s">
        <v>67</v>
      </c>
      <c r="Y323" s="10" t="s">
        <v>68</v>
      </c>
      <c r="Z323" s="94" t="s">
        <v>125</v>
      </c>
      <c r="AA323" s="94" t="s">
        <v>90</v>
      </c>
      <c r="AB323" s="9" t="s">
        <v>71</v>
      </c>
      <c r="AC323" s="10" t="s">
        <v>62</v>
      </c>
      <c r="AD323" s="10" t="s">
        <v>72</v>
      </c>
      <c r="AE323" s="65" t="s">
        <v>73</v>
      </c>
      <c r="AF323" s="39" t="s">
        <v>447</v>
      </c>
      <c r="AG323" s="10" t="s">
        <v>240</v>
      </c>
      <c r="AH323" s="4">
        <v>650</v>
      </c>
      <c r="AI323" s="11" t="s">
        <v>76</v>
      </c>
      <c r="AJ323" s="4" t="s">
        <v>77</v>
      </c>
      <c r="AK323" s="36">
        <v>801</v>
      </c>
      <c r="AL323" s="30">
        <v>191439000</v>
      </c>
      <c r="AM323" s="30">
        <v>3</v>
      </c>
      <c r="AN323" s="30">
        <v>491900</v>
      </c>
      <c r="AO323" s="30">
        <v>70</v>
      </c>
      <c r="AP323" s="30">
        <v>11995020</v>
      </c>
      <c r="AQ323" s="30">
        <v>129</v>
      </c>
      <c r="AR323" s="30">
        <v>21766340</v>
      </c>
      <c r="AS323" s="52">
        <f t="shared" si="43"/>
        <v>0.16104868913857678</v>
      </c>
    </row>
    <row r="324" spans="2:45" x14ac:dyDescent="0.3">
      <c r="B324" s="32" t="s">
        <v>445</v>
      </c>
      <c r="C324" s="10" t="str">
        <f t="shared" si="41"/>
        <v>DJG20</v>
      </c>
      <c r="D324" s="10" t="s">
        <v>55</v>
      </c>
      <c r="E324" s="10" t="str">
        <f t="shared" si="44"/>
        <v>W</v>
      </c>
      <c r="F324" s="10" t="str">
        <f t="shared" si="45"/>
        <v>DJ</v>
      </c>
      <c r="G324" s="10" t="s">
        <v>56</v>
      </c>
      <c r="H324" s="4" t="s">
        <v>446</v>
      </c>
      <c r="I324" s="10" t="s">
        <v>78</v>
      </c>
      <c r="J324" s="4" t="str">
        <f t="shared" si="42"/>
        <v/>
      </c>
      <c r="K324" s="4">
        <v>1</v>
      </c>
      <c r="L324" s="30">
        <v>239000</v>
      </c>
      <c r="M324" s="78" t="s">
        <v>217</v>
      </c>
      <c r="N324" s="98" t="s">
        <v>249</v>
      </c>
      <c r="O324" s="10" t="s">
        <v>61</v>
      </c>
      <c r="P324" s="63">
        <v>100</v>
      </c>
      <c r="Q324" s="94" t="s">
        <v>119</v>
      </c>
      <c r="R324" s="63" t="s">
        <v>246</v>
      </c>
      <c r="S324" s="96" t="s">
        <v>121</v>
      </c>
      <c r="T324" s="10" t="s">
        <v>122</v>
      </c>
      <c r="U324" s="10" t="s">
        <v>250</v>
      </c>
      <c r="V324" s="10" t="s">
        <v>66</v>
      </c>
      <c r="W324" s="10"/>
      <c r="X324" s="9" t="s">
        <v>67</v>
      </c>
      <c r="Y324" s="10" t="s">
        <v>68</v>
      </c>
      <c r="Z324" s="94" t="s">
        <v>125</v>
      </c>
      <c r="AA324" s="94" t="s">
        <v>90</v>
      </c>
      <c r="AB324" s="9" t="s">
        <v>71</v>
      </c>
      <c r="AC324" s="10" t="s">
        <v>62</v>
      </c>
      <c r="AD324" s="10" t="s">
        <v>72</v>
      </c>
      <c r="AE324" s="65" t="s">
        <v>73</v>
      </c>
      <c r="AF324" s="39" t="s">
        <v>447</v>
      </c>
      <c r="AG324" s="10" t="s">
        <v>240</v>
      </c>
      <c r="AH324" s="4">
        <v>650</v>
      </c>
      <c r="AI324" s="11" t="s">
        <v>76</v>
      </c>
      <c r="AJ324" s="4" t="s">
        <v>77</v>
      </c>
      <c r="AK324" s="36">
        <v>1206</v>
      </c>
      <c r="AL324" s="30">
        <v>288234000</v>
      </c>
      <c r="AM324" s="30">
        <v>75</v>
      </c>
      <c r="AN324" s="30">
        <v>12401870</v>
      </c>
      <c r="AO324" s="30">
        <v>853</v>
      </c>
      <c r="AP324" s="30">
        <v>147438173</v>
      </c>
      <c r="AQ324" s="30">
        <v>1122</v>
      </c>
      <c r="AR324" s="30">
        <v>192273983</v>
      </c>
      <c r="AS324" s="52">
        <f t="shared" si="43"/>
        <v>0.93034825870646765</v>
      </c>
    </row>
    <row r="325" spans="2:45" x14ac:dyDescent="0.3">
      <c r="B325" s="32" t="s">
        <v>448</v>
      </c>
      <c r="C325" s="10" t="str">
        <f t="shared" si="41"/>
        <v>DV910</v>
      </c>
      <c r="D325" s="10" t="s">
        <v>55</v>
      </c>
      <c r="E325" s="10" t="str">
        <f t="shared" si="44"/>
        <v>W</v>
      </c>
      <c r="F325" s="10" t="str">
        <f t="shared" si="45"/>
        <v>DV</v>
      </c>
      <c r="G325" s="10" t="s">
        <v>56</v>
      </c>
      <c r="H325" s="4" t="s">
        <v>449</v>
      </c>
      <c r="I325" s="10" t="s">
        <v>78</v>
      </c>
      <c r="J325" s="4">
        <f t="shared" si="42"/>
        <v>1</v>
      </c>
      <c r="K325" s="4">
        <v>1</v>
      </c>
      <c r="L325" s="30">
        <v>179000</v>
      </c>
      <c r="M325" s="78" t="s">
        <v>132</v>
      </c>
      <c r="N325" s="98" t="s">
        <v>133</v>
      </c>
      <c r="O325" s="10" t="s">
        <v>61</v>
      </c>
      <c r="P325" s="63">
        <v>100</v>
      </c>
      <c r="Q325" s="94" t="s">
        <v>85</v>
      </c>
      <c r="R325" s="63" t="s">
        <v>134</v>
      </c>
      <c r="S325" s="96" t="s">
        <v>135</v>
      </c>
      <c r="T325" s="10" t="s">
        <v>122</v>
      </c>
      <c r="U325" s="10" t="s">
        <v>136</v>
      </c>
      <c r="V325" s="10" t="s">
        <v>66</v>
      </c>
      <c r="W325" s="10"/>
      <c r="X325" s="9" t="s">
        <v>67</v>
      </c>
      <c r="Y325" s="10" t="s">
        <v>68</v>
      </c>
      <c r="Z325" s="94" t="s">
        <v>125</v>
      </c>
      <c r="AA325" s="94" t="s">
        <v>90</v>
      </c>
      <c r="AB325" s="9" t="s">
        <v>71</v>
      </c>
      <c r="AC325" s="10" t="s">
        <v>62</v>
      </c>
      <c r="AD325" s="10" t="s">
        <v>72</v>
      </c>
      <c r="AE325" s="65" t="s">
        <v>137</v>
      </c>
      <c r="AF325" s="39" t="s">
        <v>239</v>
      </c>
      <c r="AG325" s="10" t="s">
        <v>127</v>
      </c>
      <c r="AH325" s="4">
        <v>650</v>
      </c>
      <c r="AI325" s="11" t="s">
        <v>450</v>
      </c>
      <c r="AJ325" s="4" t="s">
        <v>77</v>
      </c>
      <c r="AK325" s="36">
        <v>1522</v>
      </c>
      <c r="AL325" s="30">
        <v>272438000</v>
      </c>
      <c r="AM325" s="30">
        <v>46</v>
      </c>
      <c r="AN325" s="30">
        <v>8075452</v>
      </c>
      <c r="AO325" s="30">
        <v>626</v>
      </c>
      <c r="AP325" s="30">
        <v>109138965</v>
      </c>
      <c r="AQ325" s="30">
        <v>901</v>
      </c>
      <c r="AR325" s="30">
        <v>156167770</v>
      </c>
      <c r="AS325" s="52">
        <f t="shared" si="43"/>
        <v>0.59198423127463862</v>
      </c>
    </row>
    <row r="326" spans="2:45" x14ac:dyDescent="0.3">
      <c r="B326" s="32" t="s">
        <v>448</v>
      </c>
      <c r="C326" s="10" t="str">
        <f t="shared" si="41"/>
        <v>DV910</v>
      </c>
      <c r="D326" s="10" t="s">
        <v>55</v>
      </c>
      <c r="E326" s="10" t="str">
        <f t="shared" si="44"/>
        <v>W</v>
      </c>
      <c r="F326" s="10" t="str">
        <f t="shared" si="45"/>
        <v>DV</v>
      </c>
      <c r="G326" s="10" t="s">
        <v>56</v>
      </c>
      <c r="H326" s="4" t="s">
        <v>449</v>
      </c>
      <c r="I326" s="10" t="s">
        <v>79</v>
      </c>
      <c r="J326" s="4" t="str">
        <f t="shared" si="42"/>
        <v/>
      </c>
      <c r="K326" s="4">
        <v>1</v>
      </c>
      <c r="L326" s="30">
        <v>179000</v>
      </c>
      <c r="M326" s="78" t="s">
        <v>132</v>
      </c>
      <c r="N326" s="98" t="s">
        <v>133</v>
      </c>
      <c r="O326" s="10" t="s">
        <v>61</v>
      </c>
      <c r="P326" s="63">
        <v>100</v>
      </c>
      <c r="Q326" s="94" t="s">
        <v>85</v>
      </c>
      <c r="R326" s="63" t="s">
        <v>134</v>
      </c>
      <c r="S326" s="96" t="s">
        <v>135</v>
      </c>
      <c r="T326" s="10" t="s">
        <v>122</v>
      </c>
      <c r="U326" s="10" t="s">
        <v>136</v>
      </c>
      <c r="V326" s="10" t="s">
        <v>66</v>
      </c>
      <c r="W326" s="10"/>
      <c r="X326" s="9" t="s">
        <v>67</v>
      </c>
      <c r="Y326" s="10" t="s">
        <v>68</v>
      </c>
      <c r="Z326" s="94" t="s">
        <v>125</v>
      </c>
      <c r="AA326" s="94" t="s">
        <v>90</v>
      </c>
      <c r="AB326" s="9" t="s">
        <v>71</v>
      </c>
      <c r="AC326" s="10" t="s">
        <v>62</v>
      </c>
      <c r="AD326" s="10" t="s">
        <v>72</v>
      </c>
      <c r="AE326" s="65" t="s">
        <v>137</v>
      </c>
      <c r="AF326" s="39" t="s">
        <v>239</v>
      </c>
      <c r="AG326" s="10" t="s">
        <v>127</v>
      </c>
      <c r="AH326" s="4">
        <v>650</v>
      </c>
      <c r="AI326" s="11" t="s">
        <v>450</v>
      </c>
      <c r="AJ326" s="4" t="s">
        <v>77</v>
      </c>
      <c r="AK326" s="36">
        <v>1112</v>
      </c>
      <c r="AL326" s="30">
        <v>199048000</v>
      </c>
      <c r="AM326" s="30">
        <v>38</v>
      </c>
      <c r="AN326" s="30">
        <v>6616018</v>
      </c>
      <c r="AO326" s="30">
        <v>566</v>
      </c>
      <c r="AP326" s="30">
        <v>99422118</v>
      </c>
      <c r="AQ326" s="30">
        <v>750</v>
      </c>
      <c r="AR326" s="30">
        <v>131347644</v>
      </c>
      <c r="AS326" s="52">
        <f t="shared" si="43"/>
        <v>0.67446043165467628</v>
      </c>
    </row>
    <row r="327" spans="2:45" x14ac:dyDescent="0.3">
      <c r="B327" s="32" t="s">
        <v>448</v>
      </c>
      <c r="C327" s="10" t="str">
        <f t="shared" si="41"/>
        <v>DV910</v>
      </c>
      <c r="D327" s="10" t="s">
        <v>55</v>
      </c>
      <c r="E327" s="10" t="str">
        <f t="shared" si="44"/>
        <v>W</v>
      </c>
      <c r="F327" s="10" t="str">
        <f t="shared" si="45"/>
        <v>DV</v>
      </c>
      <c r="G327" s="10" t="s">
        <v>56</v>
      </c>
      <c r="H327" s="4" t="s">
        <v>449</v>
      </c>
      <c r="I327" s="10" t="s">
        <v>58</v>
      </c>
      <c r="J327" s="4" t="str">
        <f t="shared" si="42"/>
        <v/>
      </c>
      <c r="K327" s="4">
        <v>1</v>
      </c>
      <c r="L327" s="30">
        <v>179000</v>
      </c>
      <c r="M327" s="78" t="s">
        <v>132</v>
      </c>
      <c r="N327" s="98" t="s">
        <v>133</v>
      </c>
      <c r="O327" s="10" t="s">
        <v>61</v>
      </c>
      <c r="P327" s="63">
        <v>100</v>
      </c>
      <c r="Q327" s="94" t="s">
        <v>85</v>
      </c>
      <c r="R327" s="63" t="s">
        <v>134</v>
      </c>
      <c r="S327" s="96" t="s">
        <v>135</v>
      </c>
      <c r="T327" s="10" t="s">
        <v>122</v>
      </c>
      <c r="U327" s="10" t="s">
        <v>136</v>
      </c>
      <c r="V327" s="10" t="s">
        <v>66</v>
      </c>
      <c r="W327" s="10"/>
      <c r="X327" s="9" t="s">
        <v>67</v>
      </c>
      <c r="Y327" s="10" t="s">
        <v>68</v>
      </c>
      <c r="Z327" s="94" t="s">
        <v>125</v>
      </c>
      <c r="AA327" s="94" t="s">
        <v>90</v>
      </c>
      <c r="AB327" s="9" t="s">
        <v>71</v>
      </c>
      <c r="AC327" s="10" t="s">
        <v>62</v>
      </c>
      <c r="AD327" s="10" t="s">
        <v>72</v>
      </c>
      <c r="AE327" s="65" t="s">
        <v>137</v>
      </c>
      <c r="AF327" s="39" t="s">
        <v>239</v>
      </c>
      <c r="AG327" s="10" t="s">
        <v>127</v>
      </c>
      <c r="AH327" s="4">
        <v>650</v>
      </c>
      <c r="AI327" s="11" t="s">
        <v>450</v>
      </c>
      <c r="AJ327" s="4" t="s">
        <v>77</v>
      </c>
      <c r="AK327" s="36">
        <v>912</v>
      </c>
      <c r="AL327" s="30">
        <v>163248000</v>
      </c>
      <c r="AM327" s="30">
        <v>6</v>
      </c>
      <c r="AN327" s="30">
        <v>1044000</v>
      </c>
      <c r="AO327" s="30">
        <v>70</v>
      </c>
      <c r="AP327" s="30">
        <v>12147723</v>
      </c>
      <c r="AQ327" s="30">
        <v>101</v>
      </c>
      <c r="AR327" s="30">
        <v>17498613</v>
      </c>
      <c r="AS327" s="52">
        <f t="shared" si="43"/>
        <v>0.11074561403508772</v>
      </c>
    </row>
    <row r="328" spans="2:45" x14ac:dyDescent="0.3">
      <c r="B328" s="32" t="s">
        <v>451</v>
      </c>
      <c r="C328" s="10" t="str">
        <f t="shared" si="41"/>
        <v>DV710</v>
      </c>
      <c r="D328" s="10" t="s">
        <v>55</v>
      </c>
      <c r="E328" s="10" t="str">
        <f t="shared" si="44"/>
        <v>M</v>
      </c>
      <c r="F328" s="10" t="str">
        <f t="shared" si="45"/>
        <v>DV</v>
      </c>
      <c r="G328" s="10" t="s">
        <v>56</v>
      </c>
      <c r="H328" s="4" t="s">
        <v>452</v>
      </c>
      <c r="I328" s="10" t="s">
        <v>163</v>
      </c>
      <c r="J328" s="4">
        <f t="shared" si="42"/>
        <v>1</v>
      </c>
      <c r="K328" s="4">
        <v>1</v>
      </c>
      <c r="L328" s="30">
        <v>119000</v>
      </c>
      <c r="M328" s="78" t="s">
        <v>83</v>
      </c>
      <c r="N328" s="98" t="s">
        <v>290</v>
      </c>
      <c r="O328" s="10" t="s">
        <v>61</v>
      </c>
      <c r="P328" s="63">
        <v>100</v>
      </c>
      <c r="Q328" s="94" t="s">
        <v>85</v>
      </c>
      <c r="R328" s="63" t="s">
        <v>86</v>
      </c>
      <c r="S328" s="96" t="s">
        <v>87</v>
      </c>
      <c r="T328" s="10" t="s">
        <v>65</v>
      </c>
      <c r="U328" s="10"/>
      <c r="V328" s="10" t="s">
        <v>66</v>
      </c>
      <c r="W328" s="10"/>
      <c r="X328" s="9" t="s">
        <v>67</v>
      </c>
      <c r="Y328" s="10" t="s">
        <v>88</v>
      </c>
      <c r="Z328" s="94" t="s">
        <v>89</v>
      </c>
      <c r="AA328" s="94" t="s">
        <v>90</v>
      </c>
      <c r="AB328" s="9" t="s">
        <v>91</v>
      </c>
      <c r="AC328" s="68" t="s">
        <v>92</v>
      </c>
      <c r="AD328" s="69" t="str">
        <f t="shared" ref="AD328:AD337" si="46">AC328</f>
        <v>(다운백 없음)</v>
      </c>
      <c r="AE328" s="65" t="s">
        <v>73</v>
      </c>
      <c r="AF328" s="39" t="s">
        <v>214</v>
      </c>
      <c r="AG328" s="10" t="s">
        <v>240</v>
      </c>
      <c r="AH328" s="4">
        <v>650</v>
      </c>
      <c r="AI328" s="11" t="s">
        <v>450</v>
      </c>
      <c r="AJ328" s="4" t="s">
        <v>241</v>
      </c>
      <c r="AK328" s="36">
        <v>1100</v>
      </c>
      <c r="AL328" s="30">
        <v>130900000</v>
      </c>
      <c r="AM328" s="30">
        <v>207</v>
      </c>
      <c r="AN328" s="30">
        <v>17207050</v>
      </c>
      <c r="AO328" s="30">
        <v>654</v>
      </c>
      <c r="AP328" s="30">
        <v>58450886</v>
      </c>
      <c r="AQ328" s="30">
        <v>1015</v>
      </c>
      <c r="AR328" s="30">
        <v>87957936</v>
      </c>
      <c r="AS328" s="52">
        <f t="shared" si="43"/>
        <v>0.92272727272727273</v>
      </c>
    </row>
    <row r="329" spans="2:45" x14ac:dyDescent="0.3">
      <c r="B329" s="32" t="s">
        <v>451</v>
      </c>
      <c r="C329" s="10" t="str">
        <f t="shared" si="41"/>
        <v>DV710</v>
      </c>
      <c r="D329" s="10" t="s">
        <v>55</v>
      </c>
      <c r="E329" s="10" t="str">
        <f t="shared" si="44"/>
        <v>M</v>
      </c>
      <c r="F329" s="10" t="str">
        <f t="shared" si="45"/>
        <v>DV</v>
      </c>
      <c r="G329" s="10" t="s">
        <v>56</v>
      </c>
      <c r="H329" s="4" t="s">
        <v>452</v>
      </c>
      <c r="I329" s="10" t="s">
        <v>78</v>
      </c>
      <c r="J329" s="4" t="str">
        <f t="shared" si="42"/>
        <v/>
      </c>
      <c r="K329" s="4">
        <v>1</v>
      </c>
      <c r="L329" s="30">
        <v>119000</v>
      </c>
      <c r="M329" s="78" t="s">
        <v>83</v>
      </c>
      <c r="N329" s="98" t="s">
        <v>290</v>
      </c>
      <c r="O329" s="10" t="s">
        <v>61</v>
      </c>
      <c r="P329" s="63">
        <v>100</v>
      </c>
      <c r="Q329" s="94" t="s">
        <v>85</v>
      </c>
      <c r="R329" s="63" t="s">
        <v>86</v>
      </c>
      <c r="S329" s="96" t="s">
        <v>87</v>
      </c>
      <c r="T329" s="10" t="s">
        <v>65</v>
      </c>
      <c r="U329" s="10"/>
      <c r="V329" s="10" t="s">
        <v>66</v>
      </c>
      <c r="W329" s="10"/>
      <c r="X329" s="9" t="s">
        <v>67</v>
      </c>
      <c r="Y329" s="10" t="s">
        <v>88</v>
      </c>
      <c r="Z329" s="94" t="s">
        <v>89</v>
      </c>
      <c r="AA329" s="94" t="s">
        <v>90</v>
      </c>
      <c r="AB329" s="9" t="s">
        <v>91</v>
      </c>
      <c r="AC329" s="68" t="s">
        <v>92</v>
      </c>
      <c r="AD329" s="69" t="str">
        <f t="shared" si="46"/>
        <v>(다운백 없음)</v>
      </c>
      <c r="AE329" s="65" t="s">
        <v>73</v>
      </c>
      <c r="AF329" s="39" t="s">
        <v>214</v>
      </c>
      <c r="AG329" s="10" t="s">
        <v>240</v>
      </c>
      <c r="AH329" s="4">
        <v>650</v>
      </c>
      <c r="AI329" s="11" t="s">
        <v>450</v>
      </c>
      <c r="AJ329" s="4" t="s">
        <v>241</v>
      </c>
      <c r="AK329" s="36">
        <v>6400</v>
      </c>
      <c r="AL329" s="30">
        <v>761600000</v>
      </c>
      <c r="AM329" s="30">
        <v>571</v>
      </c>
      <c r="AN329" s="30">
        <v>47322370</v>
      </c>
      <c r="AO329" s="30">
        <v>2703</v>
      </c>
      <c r="AP329" s="30">
        <v>239225274</v>
      </c>
      <c r="AQ329" s="30">
        <v>5472</v>
      </c>
      <c r="AR329" s="30">
        <v>468009964</v>
      </c>
      <c r="AS329" s="52">
        <f t="shared" si="43"/>
        <v>0.85499999999999998</v>
      </c>
    </row>
    <row r="330" spans="2:45" x14ac:dyDescent="0.3">
      <c r="B330" s="32" t="s">
        <v>453</v>
      </c>
      <c r="C330" s="10" t="str">
        <f t="shared" si="41"/>
        <v>DV720</v>
      </c>
      <c r="D330" s="10" t="s">
        <v>55</v>
      </c>
      <c r="E330" s="10" t="str">
        <f t="shared" si="44"/>
        <v>W</v>
      </c>
      <c r="F330" s="10" t="str">
        <f t="shared" si="45"/>
        <v>DV</v>
      </c>
      <c r="G330" s="10" t="s">
        <v>56</v>
      </c>
      <c r="H330" s="4" t="s">
        <v>454</v>
      </c>
      <c r="I330" s="10" t="s">
        <v>79</v>
      </c>
      <c r="J330" s="4">
        <f t="shared" si="42"/>
        <v>1</v>
      </c>
      <c r="K330" s="4">
        <v>1</v>
      </c>
      <c r="L330" s="30">
        <v>119000</v>
      </c>
      <c r="M330" s="78" t="s">
        <v>83</v>
      </c>
      <c r="N330" s="98" t="s">
        <v>290</v>
      </c>
      <c r="O330" s="10" t="s">
        <v>61</v>
      </c>
      <c r="P330" s="63">
        <v>100</v>
      </c>
      <c r="Q330" s="94" t="s">
        <v>85</v>
      </c>
      <c r="R330" s="63" t="s">
        <v>86</v>
      </c>
      <c r="S330" s="96" t="s">
        <v>87</v>
      </c>
      <c r="T330" s="10" t="s">
        <v>65</v>
      </c>
      <c r="U330" s="10"/>
      <c r="V330" s="10" t="s">
        <v>66</v>
      </c>
      <c r="W330" s="10"/>
      <c r="X330" s="9" t="s">
        <v>67</v>
      </c>
      <c r="Y330" s="10" t="s">
        <v>88</v>
      </c>
      <c r="Z330" s="94" t="s">
        <v>89</v>
      </c>
      <c r="AA330" s="94" t="s">
        <v>90</v>
      </c>
      <c r="AB330" s="9" t="s">
        <v>91</v>
      </c>
      <c r="AC330" s="68" t="s">
        <v>92</v>
      </c>
      <c r="AD330" s="69" t="str">
        <f t="shared" si="46"/>
        <v>(다운백 없음)</v>
      </c>
      <c r="AE330" s="65" t="s">
        <v>73</v>
      </c>
      <c r="AF330" s="39" t="s">
        <v>455</v>
      </c>
      <c r="AG330" s="10" t="s">
        <v>240</v>
      </c>
      <c r="AH330" s="4">
        <v>650</v>
      </c>
      <c r="AI330" s="11" t="s">
        <v>450</v>
      </c>
      <c r="AJ330" s="4" t="s">
        <v>241</v>
      </c>
      <c r="AK330" s="36">
        <v>1300</v>
      </c>
      <c r="AL330" s="30">
        <v>154700000</v>
      </c>
      <c r="AM330" s="30">
        <v>102</v>
      </c>
      <c r="AN330" s="30">
        <v>8496600</v>
      </c>
      <c r="AO330" s="30">
        <v>446</v>
      </c>
      <c r="AP330" s="30">
        <v>40789303</v>
      </c>
      <c r="AQ330" s="30">
        <v>957</v>
      </c>
      <c r="AR330" s="30">
        <v>82100394</v>
      </c>
      <c r="AS330" s="52">
        <f t="shared" si="43"/>
        <v>0.73615384615384616</v>
      </c>
    </row>
    <row r="331" spans="2:45" x14ac:dyDescent="0.3">
      <c r="B331" s="32" t="s">
        <v>453</v>
      </c>
      <c r="C331" s="10" t="str">
        <f t="shared" si="41"/>
        <v>DV720</v>
      </c>
      <c r="D331" s="10" t="s">
        <v>55</v>
      </c>
      <c r="E331" s="10" t="str">
        <f t="shared" si="44"/>
        <v>W</v>
      </c>
      <c r="F331" s="10" t="str">
        <f t="shared" si="45"/>
        <v>DV</v>
      </c>
      <c r="G331" s="10" t="s">
        <v>56</v>
      </c>
      <c r="H331" s="4" t="s">
        <v>454</v>
      </c>
      <c r="I331" s="10" t="s">
        <v>163</v>
      </c>
      <c r="J331" s="4" t="str">
        <f t="shared" si="42"/>
        <v/>
      </c>
      <c r="K331" s="4">
        <v>1</v>
      </c>
      <c r="L331" s="30">
        <v>119000</v>
      </c>
      <c r="M331" s="78" t="s">
        <v>83</v>
      </c>
      <c r="N331" s="98" t="s">
        <v>290</v>
      </c>
      <c r="O331" s="10" t="s">
        <v>61</v>
      </c>
      <c r="P331" s="63">
        <v>100</v>
      </c>
      <c r="Q331" s="94" t="s">
        <v>85</v>
      </c>
      <c r="R331" s="63" t="s">
        <v>86</v>
      </c>
      <c r="S331" s="96" t="s">
        <v>87</v>
      </c>
      <c r="T331" s="10" t="s">
        <v>65</v>
      </c>
      <c r="U331" s="10"/>
      <c r="V331" s="10" t="s">
        <v>66</v>
      </c>
      <c r="W331" s="10"/>
      <c r="X331" s="9" t="s">
        <v>67</v>
      </c>
      <c r="Y331" s="10" t="s">
        <v>88</v>
      </c>
      <c r="Z331" s="94" t="s">
        <v>89</v>
      </c>
      <c r="AA331" s="94" t="s">
        <v>90</v>
      </c>
      <c r="AB331" s="9" t="s">
        <v>91</v>
      </c>
      <c r="AC331" s="68" t="s">
        <v>92</v>
      </c>
      <c r="AD331" s="69" t="str">
        <f t="shared" si="46"/>
        <v>(다운백 없음)</v>
      </c>
      <c r="AE331" s="65" t="s">
        <v>73</v>
      </c>
      <c r="AF331" s="39" t="s">
        <v>455</v>
      </c>
      <c r="AG331" s="10" t="s">
        <v>240</v>
      </c>
      <c r="AH331" s="4">
        <v>650</v>
      </c>
      <c r="AI331" s="11" t="s">
        <v>450</v>
      </c>
      <c r="AJ331" s="4" t="s">
        <v>241</v>
      </c>
      <c r="AK331" s="36">
        <v>1300</v>
      </c>
      <c r="AL331" s="30">
        <v>154700000</v>
      </c>
      <c r="AM331" s="30">
        <v>163</v>
      </c>
      <c r="AN331" s="30">
        <v>13507290</v>
      </c>
      <c r="AO331" s="30">
        <v>734</v>
      </c>
      <c r="AP331" s="30">
        <v>67385025</v>
      </c>
      <c r="AQ331" s="30">
        <v>1177</v>
      </c>
      <c r="AR331" s="30">
        <v>103623655</v>
      </c>
      <c r="AS331" s="52">
        <f t="shared" si="43"/>
        <v>0.90538461538461534</v>
      </c>
    </row>
    <row r="332" spans="2:45" x14ac:dyDescent="0.3">
      <c r="B332" s="32" t="s">
        <v>453</v>
      </c>
      <c r="C332" s="10" t="str">
        <f t="shared" si="41"/>
        <v>DV720</v>
      </c>
      <c r="D332" s="10" t="s">
        <v>55</v>
      </c>
      <c r="E332" s="10" t="str">
        <f t="shared" si="44"/>
        <v>W</v>
      </c>
      <c r="F332" s="10" t="str">
        <f t="shared" si="45"/>
        <v>DV</v>
      </c>
      <c r="G332" s="10" t="s">
        <v>56</v>
      </c>
      <c r="H332" s="4" t="s">
        <v>454</v>
      </c>
      <c r="I332" s="10" t="s">
        <v>78</v>
      </c>
      <c r="J332" s="4" t="str">
        <f t="shared" si="42"/>
        <v/>
      </c>
      <c r="K332" s="4">
        <v>1</v>
      </c>
      <c r="L332" s="30">
        <v>119000</v>
      </c>
      <c r="M332" s="78" t="s">
        <v>83</v>
      </c>
      <c r="N332" s="98" t="s">
        <v>290</v>
      </c>
      <c r="O332" s="10" t="s">
        <v>61</v>
      </c>
      <c r="P332" s="63">
        <v>100</v>
      </c>
      <c r="Q332" s="94" t="s">
        <v>85</v>
      </c>
      <c r="R332" s="63" t="s">
        <v>86</v>
      </c>
      <c r="S332" s="96" t="s">
        <v>87</v>
      </c>
      <c r="T332" s="10" t="s">
        <v>65</v>
      </c>
      <c r="U332" s="10"/>
      <c r="V332" s="10" t="s">
        <v>66</v>
      </c>
      <c r="W332" s="10"/>
      <c r="X332" s="9" t="s">
        <v>67</v>
      </c>
      <c r="Y332" s="10" t="s">
        <v>88</v>
      </c>
      <c r="Z332" s="94" t="s">
        <v>89</v>
      </c>
      <c r="AA332" s="94" t="s">
        <v>90</v>
      </c>
      <c r="AB332" s="9" t="s">
        <v>91</v>
      </c>
      <c r="AC332" s="68" t="s">
        <v>92</v>
      </c>
      <c r="AD332" s="69" t="str">
        <f t="shared" si="46"/>
        <v>(다운백 없음)</v>
      </c>
      <c r="AE332" s="65" t="s">
        <v>73</v>
      </c>
      <c r="AF332" s="39" t="s">
        <v>455</v>
      </c>
      <c r="AG332" s="10" t="s">
        <v>240</v>
      </c>
      <c r="AH332" s="4">
        <v>650</v>
      </c>
      <c r="AI332" s="11" t="s">
        <v>450</v>
      </c>
      <c r="AJ332" s="4" t="s">
        <v>241</v>
      </c>
      <c r="AK332" s="36">
        <v>2200</v>
      </c>
      <c r="AL332" s="30">
        <v>261800000</v>
      </c>
      <c r="AM332" s="30">
        <v>211</v>
      </c>
      <c r="AN332" s="30">
        <v>17514800</v>
      </c>
      <c r="AO332" s="30">
        <v>1444</v>
      </c>
      <c r="AP332" s="30">
        <v>130224876</v>
      </c>
      <c r="AQ332" s="30">
        <v>2167</v>
      </c>
      <c r="AR332" s="30">
        <v>189728516</v>
      </c>
      <c r="AS332" s="52">
        <f t="shared" si="43"/>
        <v>0.98499999999999999</v>
      </c>
    </row>
    <row r="333" spans="2:45" x14ac:dyDescent="0.3">
      <c r="B333" s="32" t="s">
        <v>456</v>
      </c>
      <c r="C333" s="10" t="str">
        <f t="shared" si="41"/>
        <v>DV730</v>
      </c>
      <c r="D333" s="10" t="s">
        <v>55</v>
      </c>
      <c r="E333" s="10" t="str">
        <f t="shared" si="44"/>
        <v>M</v>
      </c>
      <c r="F333" s="10" t="str">
        <f t="shared" si="45"/>
        <v>DV</v>
      </c>
      <c r="G333" s="10" t="s">
        <v>56</v>
      </c>
      <c r="H333" s="4" t="s">
        <v>457</v>
      </c>
      <c r="I333" s="10" t="s">
        <v>78</v>
      </c>
      <c r="J333" s="4">
        <f t="shared" si="42"/>
        <v>1</v>
      </c>
      <c r="K333" s="4">
        <v>1</v>
      </c>
      <c r="L333" s="30">
        <v>149000</v>
      </c>
      <c r="M333" s="78" t="s">
        <v>83</v>
      </c>
      <c r="N333" s="98" t="s">
        <v>304</v>
      </c>
      <c r="O333" s="10" t="s">
        <v>61</v>
      </c>
      <c r="P333" s="63">
        <v>100</v>
      </c>
      <c r="Q333" s="94" t="s">
        <v>119</v>
      </c>
      <c r="R333" s="63" t="s">
        <v>301</v>
      </c>
      <c r="S333" s="96" t="s">
        <v>302</v>
      </c>
      <c r="T333" s="10" t="s">
        <v>65</v>
      </c>
      <c r="U333" s="10"/>
      <c r="V333" s="10" t="s">
        <v>66</v>
      </c>
      <c r="W333" s="10"/>
      <c r="X333" s="9" t="s">
        <v>67</v>
      </c>
      <c r="Y333" s="10" t="s">
        <v>88</v>
      </c>
      <c r="Z333" s="94" t="s">
        <v>89</v>
      </c>
      <c r="AA333" s="94" t="s">
        <v>90</v>
      </c>
      <c r="AB333" s="9" t="s">
        <v>91</v>
      </c>
      <c r="AC333" s="68" t="s">
        <v>92</v>
      </c>
      <c r="AD333" s="69" t="str">
        <f t="shared" si="46"/>
        <v>(다운백 없음)</v>
      </c>
      <c r="AE333" s="65" t="s">
        <v>73</v>
      </c>
      <c r="AF333" s="39" t="s">
        <v>458</v>
      </c>
      <c r="AG333" s="10" t="s">
        <v>75</v>
      </c>
      <c r="AH333" s="4">
        <v>650</v>
      </c>
      <c r="AI333" s="11" t="s">
        <v>450</v>
      </c>
      <c r="AJ333" s="4" t="s">
        <v>241</v>
      </c>
      <c r="AK333" s="36">
        <v>4308</v>
      </c>
      <c r="AL333" s="30">
        <v>641892000</v>
      </c>
      <c r="AM333" s="30">
        <v>429</v>
      </c>
      <c r="AN333" s="30">
        <v>43459228</v>
      </c>
      <c r="AO333" s="30">
        <v>2374</v>
      </c>
      <c r="AP333" s="30">
        <v>264789137</v>
      </c>
      <c r="AQ333" s="30">
        <v>3632</v>
      </c>
      <c r="AR333" s="30">
        <v>394956997</v>
      </c>
      <c r="AS333" s="52">
        <f t="shared" si="43"/>
        <v>0.84308263695450325</v>
      </c>
    </row>
    <row r="334" spans="2:45" x14ac:dyDescent="0.3">
      <c r="B334" s="32" t="s">
        <v>456</v>
      </c>
      <c r="C334" s="10" t="str">
        <f t="shared" si="41"/>
        <v>DV730</v>
      </c>
      <c r="D334" s="10" t="s">
        <v>55</v>
      </c>
      <c r="E334" s="10" t="str">
        <f t="shared" si="44"/>
        <v>M</v>
      </c>
      <c r="F334" s="10" t="str">
        <f t="shared" si="45"/>
        <v>DV</v>
      </c>
      <c r="G334" s="10" t="s">
        <v>56</v>
      </c>
      <c r="H334" s="4" t="s">
        <v>457</v>
      </c>
      <c r="I334" s="10" t="s">
        <v>215</v>
      </c>
      <c r="J334" s="4" t="str">
        <f t="shared" si="42"/>
        <v/>
      </c>
      <c r="K334" s="4">
        <v>1</v>
      </c>
      <c r="L334" s="30">
        <v>149000</v>
      </c>
      <c r="M334" s="78" t="s">
        <v>83</v>
      </c>
      <c r="N334" s="98" t="s">
        <v>304</v>
      </c>
      <c r="O334" s="10" t="s">
        <v>61</v>
      </c>
      <c r="P334" s="63">
        <v>100</v>
      </c>
      <c r="Q334" s="94" t="s">
        <v>119</v>
      </c>
      <c r="R334" s="63" t="s">
        <v>301</v>
      </c>
      <c r="S334" s="96" t="s">
        <v>302</v>
      </c>
      <c r="T334" s="10" t="s">
        <v>65</v>
      </c>
      <c r="U334" s="10"/>
      <c r="V334" s="10" t="s">
        <v>66</v>
      </c>
      <c r="W334" s="10"/>
      <c r="X334" s="9" t="s">
        <v>67</v>
      </c>
      <c r="Y334" s="10" t="s">
        <v>88</v>
      </c>
      <c r="Z334" s="94" t="s">
        <v>89</v>
      </c>
      <c r="AA334" s="94" t="s">
        <v>90</v>
      </c>
      <c r="AB334" s="9" t="s">
        <v>91</v>
      </c>
      <c r="AC334" s="68" t="s">
        <v>92</v>
      </c>
      <c r="AD334" s="69" t="str">
        <f t="shared" si="46"/>
        <v>(다운백 없음)</v>
      </c>
      <c r="AE334" s="65" t="s">
        <v>73</v>
      </c>
      <c r="AF334" s="39" t="s">
        <v>458</v>
      </c>
      <c r="AG334" s="10" t="s">
        <v>75</v>
      </c>
      <c r="AH334" s="4">
        <v>650</v>
      </c>
      <c r="AI334" s="11" t="s">
        <v>450</v>
      </c>
      <c r="AJ334" s="4" t="s">
        <v>241</v>
      </c>
      <c r="AK334" s="36">
        <v>1203</v>
      </c>
      <c r="AL334" s="30">
        <v>179247000</v>
      </c>
      <c r="AM334" s="30">
        <v>114</v>
      </c>
      <c r="AN334" s="30">
        <v>11634350</v>
      </c>
      <c r="AO334" s="30">
        <v>753</v>
      </c>
      <c r="AP334" s="30">
        <v>86387787</v>
      </c>
      <c r="AQ334" s="30">
        <v>1039</v>
      </c>
      <c r="AR334" s="30">
        <v>115818317</v>
      </c>
      <c r="AS334" s="52">
        <f t="shared" si="43"/>
        <v>0.86367414796342479</v>
      </c>
    </row>
    <row r="335" spans="2:45" x14ac:dyDescent="0.3">
      <c r="B335" s="32" t="s">
        <v>459</v>
      </c>
      <c r="C335" s="10" t="str">
        <f t="shared" si="41"/>
        <v>DV740</v>
      </c>
      <c r="D335" s="10" t="s">
        <v>55</v>
      </c>
      <c r="E335" s="10" t="str">
        <f t="shared" si="44"/>
        <v>W</v>
      </c>
      <c r="F335" s="10" t="str">
        <f t="shared" si="45"/>
        <v>DV</v>
      </c>
      <c r="G335" s="10" t="s">
        <v>56</v>
      </c>
      <c r="H335" s="4" t="s">
        <v>460</v>
      </c>
      <c r="I335" s="10" t="s">
        <v>215</v>
      </c>
      <c r="J335" s="4">
        <f t="shared" si="42"/>
        <v>1</v>
      </c>
      <c r="K335" s="4">
        <v>1</v>
      </c>
      <c r="L335" s="30">
        <v>149000</v>
      </c>
      <c r="M335" s="78" t="s">
        <v>83</v>
      </c>
      <c r="N335" s="98" t="s">
        <v>307</v>
      </c>
      <c r="O335" s="10" t="s">
        <v>61</v>
      </c>
      <c r="P335" s="63">
        <v>100</v>
      </c>
      <c r="Q335" s="94" t="s">
        <v>119</v>
      </c>
      <c r="R335" s="63" t="s">
        <v>301</v>
      </c>
      <c r="S335" s="96" t="s">
        <v>302</v>
      </c>
      <c r="T335" s="10" t="s">
        <v>65</v>
      </c>
      <c r="U335" s="10"/>
      <c r="V335" s="10" t="s">
        <v>66</v>
      </c>
      <c r="W335" s="10"/>
      <c r="X335" s="9" t="s">
        <v>67</v>
      </c>
      <c r="Y335" s="10" t="s">
        <v>88</v>
      </c>
      <c r="Z335" s="94" t="s">
        <v>89</v>
      </c>
      <c r="AA335" s="94" t="s">
        <v>90</v>
      </c>
      <c r="AB335" s="9" t="s">
        <v>91</v>
      </c>
      <c r="AC335" s="68" t="s">
        <v>92</v>
      </c>
      <c r="AD335" s="69" t="str">
        <f t="shared" si="46"/>
        <v>(다운백 없음)</v>
      </c>
      <c r="AE335" s="65" t="s">
        <v>73</v>
      </c>
      <c r="AF335" s="39" t="s">
        <v>461</v>
      </c>
      <c r="AG335" s="10" t="s">
        <v>75</v>
      </c>
      <c r="AH335" s="4">
        <v>650</v>
      </c>
      <c r="AI335" s="11" t="s">
        <v>450</v>
      </c>
      <c r="AJ335" s="4" t="s">
        <v>241</v>
      </c>
      <c r="AK335" s="36">
        <v>994</v>
      </c>
      <c r="AL335" s="30">
        <v>148106000</v>
      </c>
      <c r="AM335" s="30">
        <v>77</v>
      </c>
      <c r="AN335" s="30">
        <v>7989380</v>
      </c>
      <c r="AO335" s="30">
        <v>550</v>
      </c>
      <c r="AP335" s="30">
        <v>64365453</v>
      </c>
      <c r="AQ335" s="30">
        <v>868</v>
      </c>
      <c r="AR335" s="30">
        <v>97460503</v>
      </c>
      <c r="AS335" s="52">
        <f t="shared" si="43"/>
        <v>0.87323943661971826</v>
      </c>
    </row>
    <row r="336" spans="2:45" x14ac:dyDescent="0.3">
      <c r="B336" s="32" t="s">
        <v>459</v>
      </c>
      <c r="C336" s="10" t="str">
        <f t="shared" si="41"/>
        <v>DV740</v>
      </c>
      <c r="D336" s="10" t="s">
        <v>55</v>
      </c>
      <c r="E336" s="10" t="str">
        <f t="shared" si="44"/>
        <v>W</v>
      </c>
      <c r="F336" s="10" t="str">
        <f t="shared" si="45"/>
        <v>DV</v>
      </c>
      <c r="G336" s="10" t="s">
        <v>56</v>
      </c>
      <c r="H336" s="4" t="s">
        <v>460</v>
      </c>
      <c r="I336" s="10" t="s">
        <v>78</v>
      </c>
      <c r="J336" s="4" t="str">
        <f t="shared" si="42"/>
        <v/>
      </c>
      <c r="K336" s="4">
        <v>1</v>
      </c>
      <c r="L336" s="30">
        <v>149000</v>
      </c>
      <c r="M336" s="78" t="s">
        <v>83</v>
      </c>
      <c r="N336" s="98" t="s">
        <v>307</v>
      </c>
      <c r="O336" s="10" t="s">
        <v>61</v>
      </c>
      <c r="P336" s="63">
        <v>100</v>
      </c>
      <c r="Q336" s="94" t="s">
        <v>119</v>
      </c>
      <c r="R336" s="63" t="s">
        <v>301</v>
      </c>
      <c r="S336" s="96" t="s">
        <v>302</v>
      </c>
      <c r="T336" s="10" t="s">
        <v>65</v>
      </c>
      <c r="U336" s="10"/>
      <c r="V336" s="10" t="s">
        <v>66</v>
      </c>
      <c r="W336" s="10"/>
      <c r="X336" s="9" t="s">
        <v>67</v>
      </c>
      <c r="Y336" s="10" t="s">
        <v>88</v>
      </c>
      <c r="Z336" s="94" t="s">
        <v>89</v>
      </c>
      <c r="AA336" s="94" t="s">
        <v>90</v>
      </c>
      <c r="AB336" s="9" t="s">
        <v>91</v>
      </c>
      <c r="AC336" s="68" t="s">
        <v>92</v>
      </c>
      <c r="AD336" s="69" t="str">
        <f t="shared" si="46"/>
        <v>(다운백 없음)</v>
      </c>
      <c r="AE336" s="65" t="s">
        <v>73</v>
      </c>
      <c r="AF336" s="39" t="s">
        <v>461</v>
      </c>
      <c r="AG336" s="10" t="s">
        <v>75</v>
      </c>
      <c r="AH336" s="4">
        <v>650</v>
      </c>
      <c r="AI336" s="11" t="s">
        <v>450</v>
      </c>
      <c r="AJ336" s="4" t="s">
        <v>241</v>
      </c>
      <c r="AK336" s="36">
        <v>2403</v>
      </c>
      <c r="AL336" s="30">
        <v>358047000</v>
      </c>
      <c r="AM336" s="30">
        <v>277</v>
      </c>
      <c r="AN336" s="30">
        <v>28362420</v>
      </c>
      <c r="AO336" s="30">
        <v>1875</v>
      </c>
      <c r="AP336" s="30">
        <v>215426997</v>
      </c>
      <c r="AQ336" s="30">
        <v>2349</v>
      </c>
      <c r="AR336" s="30">
        <v>264499920</v>
      </c>
      <c r="AS336" s="52">
        <f t="shared" si="43"/>
        <v>0.97752808988764039</v>
      </c>
    </row>
    <row r="337" spans="2:45" x14ac:dyDescent="0.3">
      <c r="B337" s="32" t="s">
        <v>459</v>
      </c>
      <c r="C337" s="10" t="str">
        <f t="shared" si="41"/>
        <v>DV740</v>
      </c>
      <c r="D337" s="10" t="s">
        <v>55</v>
      </c>
      <c r="E337" s="10" t="str">
        <f t="shared" si="44"/>
        <v>W</v>
      </c>
      <c r="F337" s="10" t="str">
        <f t="shared" si="45"/>
        <v>DV</v>
      </c>
      <c r="G337" s="10" t="s">
        <v>56</v>
      </c>
      <c r="H337" s="4" t="s">
        <v>460</v>
      </c>
      <c r="I337" s="10" t="s">
        <v>79</v>
      </c>
      <c r="J337" s="4" t="str">
        <f t="shared" si="42"/>
        <v/>
      </c>
      <c r="K337" s="4">
        <v>1</v>
      </c>
      <c r="L337" s="30">
        <v>149000</v>
      </c>
      <c r="M337" s="78" t="s">
        <v>83</v>
      </c>
      <c r="N337" s="98" t="s">
        <v>307</v>
      </c>
      <c r="O337" s="10" t="s">
        <v>61</v>
      </c>
      <c r="P337" s="63">
        <v>100</v>
      </c>
      <c r="Q337" s="94" t="s">
        <v>119</v>
      </c>
      <c r="R337" s="63" t="s">
        <v>301</v>
      </c>
      <c r="S337" s="96" t="s">
        <v>302</v>
      </c>
      <c r="T337" s="10" t="s">
        <v>65</v>
      </c>
      <c r="U337" s="10"/>
      <c r="V337" s="10" t="s">
        <v>66</v>
      </c>
      <c r="W337" s="10"/>
      <c r="X337" s="9" t="s">
        <v>67</v>
      </c>
      <c r="Y337" s="10" t="s">
        <v>88</v>
      </c>
      <c r="Z337" s="94" t="s">
        <v>89</v>
      </c>
      <c r="AA337" s="94" t="s">
        <v>90</v>
      </c>
      <c r="AB337" s="9" t="s">
        <v>91</v>
      </c>
      <c r="AC337" s="68" t="s">
        <v>92</v>
      </c>
      <c r="AD337" s="69" t="str">
        <f t="shared" si="46"/>
        <v>(다운백 없음)</v>
      </c>
      <c r="AE337" s="65" t="s">
        <v>73</v>
      </c>
      <c r="AF337" s="39" t="s">
        <v>461</v>
      </c>
      <c r="AG337" s="10" t="s">
        <v>75</v>
      </c>
      <c r="AH337" s="4">
        <v>650</v>
      </c>
      <c r="AI337" s="11" t="s">
        <v>450</v>
      </c>
      <c r="AJ337" s="4" t="s">
        <v>241</v>
      </c>
      <c r="AK337" s="36">
        <v>1405</v>
      </c>
      <c r="AL337" s="30">
        <v>209345000</v>
      </c>
      <c r="AM337" s="30">
        <v>94</v>
      </c>
      <c r="AN337" s="30">
        <v>9734830</v>
      </c>
      <c r="AO337" s="30">
        <v>928</v>
      </c>
      <c r="AP337" s="30">
        <v>108648714</v>
      </c>
      <c r="AQ337" s="30">
        <v>1284</v>
      </c>
      <c r="AR337" s="30">
        <v>145482224</v>
      </c>
      <c r="AS337" s="52">
        <f t="shared" si="43"/>
        <v>0.91387900355871887</v>
      </c>
    </row>
    <row r="338" spans="2:45" x14ac:dyDescent="0.3">
      <c r="B338" s="32" t="s">
        <v>462</v>
      </c>
      <c r="C338" s="10" t="str">
        <f t="shared" si="41"/>
        <v>DV750</v>
      </c>
      <c r="D338" s="10" t="s">
        <v>55</v>
      </c>
      <c r="E338" s="10" t="str">
        <f t="shared" si="44"/>
        <v>X</v>
      </c>
      <c r="F338" s="10" t="str">
        <f t="shared" si="45"/>
        <v>DV</v>
      </c>
      <c r="G338" s="10" t="s">
        <v>56</v>
      </c>
      <c r="H338" s="4" t="s">
        <v>463</v>
      </c>
      <c r="I338" s="10" t="s">
        <v>78</v>
      </c>
      <c r="J338" s="4">
        <f t="shared" si="42"/>
        <v>1</v>
      </c>
      <c r="K338" s="4">
        <v>1</v>
      </c>
      <c r="L338" s="30">
        <v>199000</v>
      </c>
      <c r="M338" s="78" t="s">
        <v>217</v>
      </c>
      <c r="N338" s="98" t="s">
        <v>329</v>
      </c>
      <c r="O338" s="10" t="s">
        <v>61</v>
      </c>
      <c r="P338" s="63">
        <v>100</v>
      </c>
      <c r="Q338" s="94" t="s">
        <v>330</v>
      </c>
      <c r="R338" s="63" t="s">
        <v>246</v>
      </c>
      <c r="S338" s="96" t="s">
        <v>331</v>
      </c>
      <c r="T338" s="10" t="s">
        <v>122</v>
      </c>
      <c r="U338" s="10" t="s">
        <v>332</v>
      </c>
      <c r="V338" s="10" t="s">
        <v>66</v>
      </c>
      <c r="W338" s="10"/>
      <c r="X338" s="9" t="s">
        <v>67</v>
      </c>
      <c r="Y338" s="10" t="s">
        <v>68</v>
      </c>
      <c r="Z338" s="94" t="s">
        <v>125</v>
      </c>
      <c r="AA338" s="94" t="s">
        <v>90</v>
      </c>
      <c r="AB338" s="9" t="s">
        <v>71</v>
      </c>
      <c r="AC338" s="10" t="s">
        <v>85</v>
      </c>
      <c r="AD338" s="10" t="s">
        <v>208</v>
      </c>
      <c r="AE338" s="65" t="s">
        <v>137</v>
      </c>
      <c r="AF338" s="39" t="s">
        <v>169</v>
      </c>
      <c r="AG338" s="10" t="s">
        <v>127</v>
      </c>
      <c r="AH338" s="4">
        <v>650</v>
      </c>
      <c r="AI338" s="11" t="s">
        <v>450</v>
      </c>
      <c r="AJ338" s="4" t="s">
        <v>241</v>
      </c>
      <c r="AK338" s="36">
        <v>4404</v>
      </c>
      <c r="AL338" s="30">
        <v>876396000</v>
      </c>
      <c r="AM338" s="30">
        <v>285</v>
      </c>
      <c r="AN338" s="30">
        <v>52611010</v>
      </c>
      <c r="AO338" s="30">
        <v>2295</v>
      </c>
      <c r="AP338" s="30">
        <v>446020377</v>
      </c>
      <c r="AQ338" s="30">
        <v>3698</v>
      </c>
      <c r="AR338" s="30">
        <v>693882480</v>
      </c>
      <c r="AS338" s="52">
        <f t="shared" si="43"/>
        <v>0.83969118982742963</v>
      </c>
    </row>
    <row r="339" spans="2:45" x14ac:dyDescent="0.3">
      <c r="B339" s="32" t="s">
        <v>462</v>
      </c>
      <c r="C339" s="10" t="str">
        <f t="shared" si="41"/>
        <v>DV750</v>
      </c>
      <c r="D339" s="10" t="s">
        <v>55</v>
      </c>
      <c r="E339" s="10" t="str">
        <f t="shared" si="44"/>
        <v>X</v>
      </c>
      <c r="F339" s="10" t="str">
        <f t="shared" si="45"/>
        <v>DV</v>
      </c>
      <c r="G339" s="10" t="s">
        <v>56</v>
      </c>
      <c r="H339" s="4" t="s">
        <v>463</v>
      </c>
      <c r="I339" s="10" t="s">
        <v>386</v>
      </c>
      <c r="J339" s="4" t="str">
        <f t="shared" si="42"/>
        <v/>
      </c>
      <c r="K339" s="4">
        <v>1</v>
      </c>
      <c r="L339" s="30">
        <v>199000</v>
      </c>
      <c r="M339" s="78" t="s">
        <v>217</v>
      </c>
      <c r="N339" s="98" t="s">
        <v>218</v>
      </c>
      <c r="O339" s="10" t="s">
        <v>61</v>
      </c>
      <c r="P339" s="63">
        <v>100</v>
      </c>
      <c r="Q339" s="94" t="s">
        <v>219</v>
      </c>
      <c r="R339" s="63" t="s">
        <v>220</v>
      </c>
      <c r="S339" s="96" t="s">
        <v>221</v>
      </c>
      <c r="T339" s="10" t="s">
        <v>65</v>
      </c>
      <c r="U339" s="10"/>
      <c r="V339" s="10" t="s">
        <v>222</v>
      </c>
      <c r="W339" s="10"/>
      <c r="X339" s="9" t="s">
        <v>67</v>
      </c>
      <c r="Y339" s="10" t="s">
        <v>68</v>
      </c>
      <c r="Z339" s="94" t="s">
        <v>154</v>
      </c>
      <c r="AA339" s="94" t="s">
        <v>185</v>
      </c>
      <c r="AB339" s="9" t="s">
        <v>71</v>
      </c>
      <c r="AC339" s="10" t="s">
        <v>85</v>
      </c>
      <c r="AD339" s="10" t="s">
        <v>208</v>
      </c>
      <c r="AE339" s="65" t="s">
        <v>137</v>
      </c>
      <c r="AF339" s="39" t="s">
        <v>93</v>
      </c>
      <c r="AG339" s="10" t="s">
        <v>127</v>
      </c>
      <c r="AH339" s="4">
        <v>650</v>
      </c>
      <c r="AI339" s="11" t="s">
        <v>450</v>
      </c>
      <c r="AJ339" s="4" t="s">
        <v>241</v>
      </c>
      <c r="AK339" s="36">
        <v>1000</v>
      </c>
      <c r="AL339" s="30">
        <v>199000000</v>
      </c>
      <c r="AM339" s="30">
        <v>26</v>
      </c>
      <c r="AN339" s="30">
        <v>5058600</v>
      </c>
      <c r="AO339" s="30">
        <v>146</v>
      </c>
      <c r="AP339" s="30">
        <v>28516956</v>
      </c>
      <c r="AQ339" s="30">
        <v>318</v>
      </c>
      <c r="AR339" s="30">
        <v>58580761</v>
      </c>
      <c r="AS339" s="52">
        <f t="shared" si="43"/>
        <v>0.318</v>
      </c>
    </row>
    <row r="340" spans="2:45" x14ac:dyDescent="0.3">
      <c r="B340" s="32" t="s">
        <v>462</v>
      </c>
      <c r="C340" s="10" t="str">
        <f t="shared" si="41"/>
        <v>DV750</v>
      </c>
      <c r="D340" s="10" t="s">
        <v>55</v>
      </c>
      <c r="E340" s="10" t="str">
        <f t="shared" si="44"/>
        <v>X</v>
      </c>
      <c r="F340" s="10" t="str">
        <f t="shared" si="45"/>
        <v>DV</v>
      </c>
      <c r="G340" s="10" t="s">
        <v>56</v>
      </c>
      <c r="H340" s="4" t="s">
        <v>463</v>
      </c>
      <c r="I340" s="10" t="s">
        <v>140</v>
      </c>
      <c r="J340" s="4" t="str">
        <f t="shared" si="42"/>
        <v/>
      </c>
      <c r="K340" s="4">
        <v>1</v>
      </c>
      <c r="L340" s="30">
        <v>199000</v>
      </c>
      <c r="M340" s="78" t="s">
        <v>217</v>
      </c>
      <c r="N340" s="98" t="s">
        <v>218</v>
      </c>
      <c r="O340" s="10" t="s">
        <v>61</v>
      </c>
      <c r="P340" s="63">
        <v>100</v>
      </c>
      <c r="Q340" s="94" t="s">
        <v>219</v>
      </c>
      <c r="R340" s="63" t="s">
        <v>220</v>
      </c>
      <c r="S340" s="96" t="s">
        <v>221</v>
      </c>
      <c r="T340" s="10" t="s">
        <v>65</v>
      </c>
      <c r="U340" s="10"/>
      <c r="V340" s="10" t="s">
        <v>222</v>
      </c>
      <c r="W340" s="10"/>
      <c r="X340" s="9" t="s">
        <v>67</v>
      </c>
      <c r="Y340" s="10" t="s">
        <v>68</v>
      </c>
      <c r="Z340" s="94" t="s">
        <v>154</v>
      </c>
      <c r="AA340" s="94" t="s">
        <v>185</v>
      </c>
      <c r="AB340" s="9" t="s">
        <v>71</v>
      </c>
      <c r="AC340" s="10" t="s">
        <v>85</v>
      </c>
      <c r="AD340" s="10" t="s">
        <v>208</v>
      </c>
      <c r="AE340" s="65" t="s">
        <v>137</v>
      </c>
      <c r="AF340" s="39" t="s">
        <v>93</v>
      </c>
      <c r="AG340" s="10" t="s">
        <v>127</v>
      </c>
      <c r="AH340" s="4">
        <v>650</v>
      </c>
      <c r="AI340" s="11" t="s">
        <v>450</v>
      </c>
      <c r="AJ340" s="4" t="s">
        <v>241</v>
      </c>
      <c r="AK340" s="36">
        <v>1402</v>
      </c>
      <c r="AL340" s="30">
        <v>278998000</v>
      </c>
      <c r="AM340" s="30">
        <v>86</v>
      </c>
      <c r="AN340" s="30">
        <v>16759271</v>
      </c>
      <c r="AO340" s="30">
        <v>636</v>
      </c>
      <c r="AP340" s="30">
        <v>123643831</v>
      </c>
      <c r="AQ340" s="30">
        <v>1032</v>
      </c>
      <c r="AR340" s="30">
        <v>199506090</v>
      </c>
      <c r="AS340" s="52">
        <f t="shared" si="43"/>
        <v>0.73609129814550645</v>
      </c>
    </row>
    <row r="341" spans="2:45" x14ac:dyDescent="0.3">
      <c r="B341" s="32" t="s">
        <v>462</v>
      </c>
      <c r="C341" s="10" t="str">
        <f t="shared" si="41"/>
        <v>DV750</v>
      </c>
      <c r="D341" s="10" t="s">
        <v>55</v>
      </c>
      <c r="E341" s="10" t="str">
        <f t="shared" si="44"/>
        <v>X</v>
      </c>
      <c r="F341" s="10" t="str">
        <f t="shared" si="45"/>
        <v>DV</v>
      </c>
      <c r="G341" s="10" t="s">
        <v>56</v>
      </c>
      <c r="H341" s="4" t="s">
        <v>463</v>
      </c>
      <c r="I341" s="10" t="s">
        <v>111</v>
      </c>
      <c r="J341" s="4" t="str">
        <f t="shared" si="42"/>
        <v/>
      </c>
      <c r="K341" s="4">
        <v>1</v>
      </c>
      <c r="L341" s="30">
        <v>199000</v>
      </c>
      <c r="M341" s="78" t="s">
        <v>217</v>
      </c>
      <c r="N341" s="98" t="s">
        <v>329</v>
      </c>
      <c r="O341" s="10" t="s">
        <v>61</v>
      </c>
      <c r="P341" s="63">
        <v>100</v>
      </c>
      <c r="Q341" s="94" t="s">
        <v>330</v>
      </c>
      <c r="R341" s="63" t="s">
        <v>246</v>
      </c>
      <c r="S341" s="96" t="s">
        <v>331</v>
      </c>
      <c r="T341" s="10" t="s">
        <v>122</v>
      </c>
      <c r="U341" s="10" t="s">
        <v>332</v>
      </c>
      <c r="V341" s="10" t="s">
        <v>66</v>
      </c>
      <c r="W341" s="10"/>
      <c r="X341" s="9" t="s">
        <v>67</v>
      </c>
      <c r="Y341" s="10" t="s">
        <v>68</v>
      </c>
      <c r="Z341" s="94" t="s">
        <v>125</v>
      </c>
      <c r="AA341" s="94" t="s">
        <v>90</v>
      </c>
      <c r="AB341" s="9" t="s">
        <v>71</v>
      </c>
      <c r="AC341" s="10" t="s">
        <v>85</v>
      </c>
      <c r="AD341" s="10" t="s">
        <v>208</v>
      </c>
      <c r="AE341" s="65" t="s">
        <v>137</v>
      </c>
      <c r="AF341" s="39" t="s">
        <v>169</v>
      </c>
      <c r="AG341" s="10" t="s">
        <v>127</v>
      </c>
      <c r="AH341" s="4">
        <v>650</v>
      </c>
      <c r="AI341" s="11" t="s">
        <v>450</v>
      </c>
      <c r="AJ341" s="4" t="s">
        <v>241</v>
      </c>
      <c r="AK341" s="36">
        <v>1404</v>
      </c>
      <c r="AL341" s="30">
        <v>279396000</v>
      </c>
      <c r="AM341" s="30">
        <v>76</v>
      </c>
      <c r="AN341" s="30">
        <v>13820734</v>
      </c>
      <c r="AO341" s="30">
        <v>622</v>
      </c>
      <c r="AP341" s="30">
        <v>120530217</v>
      </c>
      <c r="AQ341" s="30">
        <v>1018</v>
      </c>
      <c r="AR341" s="30">
        <v>189453632</v>
      </c>
      <c r="AS341" s="52">
        <f t="shared" si="43"/>
        <v>0.72507122507122512</v>
      </c>
    </row>
    <row r="342" spans="2:45" x14ac:dyDescent="0.3">
      <c r="B342" s="32" t="s">
        <v>464</v>
      </c>
      <c r="C342" s="10" t="str">
        <f t="shared" si="41"/>
        <v>DV770</v>
      </c>
      <c r="D342" s="10" t="s">
        <v>55</v>
      </c>
      <c r="E342" s="10" t="str">
        <f t="shared" si="44"/>
        <v>X</v>
      </c>
      <c r="F342" s="10" t="str">
        <f t="shared" si="45"/>
        <v>DV</v>
      </c>
      <c r="G342" s="10" t="s">
        <v>56</v>
      </c>
      <c r="H342" s="4" t="s">
        <v>465</v>
      </c>
      <c r="I342" s="10" t="s">
        <v>105</v>
      </c>
      <c r="J342" s="4">
        <f t="shared" si="42"/>
        <v>1</v>
      </c>
      <c r="K342" s="4">
        <v>1</v>
      </c>
      <c r="L342" s="30">
        <v>239000</v>
      </c>
      <c r="M342" s="78" t="s">
        <v>408</v>
      </c>
      <c r="N342" s="98" t="s">
        <v>466</v>
      </c>
      <c r="O342" s="10" t="s">
        <v>61</v>
      </c>
      <c r="P342" s="63">
        <v>100</v>
      </c>
      <c r="Q342" s="94" t="s">
        <v>119</v>
      </c>
      <c r="R342" s="63" t="s">
        <v>467</v>
      </c>
      <c r="S342" s="96" t="s">
        <v>468</v>
      </c>
      <c r="T342" s="10" t="s">
        <v>65</v>
      </c>
      <c r="U342" s="10"/>
      <c r="V342" s="10" t="s">
        <v>412</v>
      </c>
      <c r="W342" s="10" t="s">
        <v>408</v>
      </c>
      <c r="X342" s="9" t="s">
        <v>67</v>
      </c>
      <c r="Y342" s="10" t="s">
        <v>340</v>
      </c>
      <c r="Z342" s="94" t="s">
        <v>238</v>
      </c>
      <c r="AA342" s="94" t="s">
        <v>90</v>
      </c>
      <c r="AB342" s="9" t="s">
        <v>71</v>
      </c>
      <c r="AC342" s="10" t="s">
        <v>85</v>
      </c>
      <c r="AD342" s="10" t="s">
        <v>208</v>
      </c>
      <c r="AE342" s="65" t="s">
        <v>137</v>
      </c>
      <c r="AF342" s="39" t="s">
        <v>469</v>
      </c>
      <c r="AG342" s="10" t="s">
        <v>127</v>
      </c>
      <c r="AH342" s="4">
        <v>650</v>
      </c>
      <c r="AI342" s="11" t="s">
        <v>450</v>
      </c>
      <c r="AJ342" s="4" t="s">
        <v>241</v>
      </c>
      <c r="AK342" s="36">
        <v>982</v>
      </c>
      <c r="AL342" s="30">
        <v>234698000</v>
      </c>
      <c r="AM342" s="30">
        <v>57</v>
      </c>
      <c r="AN342" s="30">
        <v>9505940</v>
      </c>
      <c r="AO342" s="30">
        <v>481</v>
      </c>
      <c r="AP342" s="30">
        <v>86572087</v>
      </c>
      <c r="AQ342" s="30">
        <v>803</v>
      </c>
      <c r="AR342" s="30">
        <v>140373597</v>
      </c>
      <c r="AS342" s="52">
        <f t="shared" si="43"/>
        <v>0.81771894093686359</v>
      </c>
    </row>
    <row r="343" spans="2:45" x14ac:dyDescent="0.3">
      <c r="B343" s="32" t="s">
        <v>464</v>
      </c>
      <c r="C343" s="10" t="str">
        <f t="shared" si="41"/>
        <v>DV770</v>
      </c>
      <c r="D343" s="10" t="s">
        <v>55</v>
      </c>
      <c r="E343" s="10" t="str">
        <f t="shared" si="44"/>
        <v>X</v>
      </c>
      <c r="F343" s="10" t="str">
        <f t="shared" si="45"/>
        <v>DV</v>
      </c>
      <c r="G343" s="10" t="s">
        <v>56</v>
      </c>
      <c r="H343" s="4" t="s">
        <v>465</v>
      </c>
      <c r="I343" s="10" t="s">
        <v>78</v>
      </c>
      <c r="J343" s="4" t="str">
        <f t="shared" si="42"/>
        <v/>
      </c>
      <c r="K343" s="4">
        <v>1</v>
      </c>
      <c r="L343" s="30">
        <v>239000</v>
      </c>
      <c r="M343" s="78" t="s">
        <v>408</v>
      </c>
      <c r="N343" s="98" t="s">
        <v>466</v>
      </c>
      <c r="O343" s="10" t="s">
        <v>61</v>
      </c>
      <c r="P343" s="63">
        <v>100</v>
      </c>
      <c r="Q343" s="94" t="s">
        <v>119</v>
      </c>
      <c r="R343" s="63" t="s">
        <v>467</v>
      </c>
      <c r="S343" s="96" t="s">
        <v>468</v>
      </c>
      <c r="T343" s="10" t="s">
        <v>65</v>
      </c>
      <c r="U343" s="10"/>
      <c r="V343" s="10" t="s">
        <v>412</v>
      </c>
      <c r="W343" s="10" t="s">
        <v>408</v>
      </c>
      <c r="X343" s="9" t="s">
        <v>67</v>
      </c>
      <c r="Y343" s="10" t="s">
        <v>340</v>
      </c>
      <c r="Z343" s="94" t="s">
        <v>238</v>
      </c>
      <c r="AA343" s="94" t="s">
        <v>90</v>
      </c>
      <c r="AB343" s="9" t="s">
        <v>71</v>
      </c>
      <c r="AC343" s="10" t="s">
        <v>85</v>
      </c>
      <c r="AD343" s="10" t="s">
        <v>208</v>
      </c>
      <c r="AE343" s="65" t="s">
        <v>137</v>
      </c>
      <c r="AF343" s="39" t="s">
        <v>469</v>
      </c>
      <c r="AG343" s="10" t="s">
        <v>127</v>
      </c>
      <c r="AH343" s="4">
        <v>650</v>
      </c>
      <c r="AI343" s="11" t="s">
        <v>450</v>
      </c>
      <c r="AJ343" s="4" t="s">
        <v>241</v>
      </c>
      <c r="AK343" s="36">
        <v>2845</v>
      </c>
      <c r="AL343" s="30">
        <v>679955000</v>
      </c>
      <c r="AM343" s="30">
        <v>223</v>
      </c>
      <c r="AN343" s="30">
        <v>37097800</v>
      </c>
      <c r="AO343" s="30">
        <v>1995</v>
      </c>
      <c r="AP343" s="30">
        <v>353972776</v>
      </c>
      <c r="AQ343" s="30">
        <v>2746</v>
      </c>
      <c r="AR343" s="30">
        <v>478737186</v>
      </c>
      <c r="AS343" s="52">
        <f t="shared" si="43"/>
        <v>0.96520210896309311</v>
      </c>
    </row>
    <row r="344" spans="2:45" x14ac:dyDescent="0.3">
      <c r="B344" s="32" t="s">
        <v>464</v>
      </c>
      <c r="C344" s="10" t="str">
        <f t="shared" si="41"/>
        <v>DV770</v>
      </c>
      <c r="D344" s="10" t="s">
        <v>55</v>
      </c>
      <c r="E344" s="10" t="str">
        <f t="shared" si="44"/>
        <v>X</v>
      </c>
      <c r="F344" s="10" t="str">
        <f t="shared" si="45"/>
        <v>DV</v>
      </c>
      <c r="G344" s="10" t="s">
        <v>56</v>
      </c>
      <c r="H344" s="4" t="s">
        <v>465</v>
      </c>
      <c r="I344" s="10" t="s">
        <v>178</v>
      </c>
      <c r="J344" s="4" t="str">
        <f t="shared" si="42"/>
        <v/>
      </c>
      <c r="K344" s="4">
        <v>1</v>
      </c>
      <c r="L344" s="30">
        <v>239000</v>
      </c>
      <c r="M344" s="78" t="s">
        <v>408</v>
      </c>
      <c r="N344" s="98" t="s">
        <v>466</v>
      </c>
      <c r="O344" s="10" t="s">
        <v>61</v>
      </c>
      <c r="P344" s="63">
        <v>100</v>
      </c>
      <c r="Q344" s="94" t="s">
        <v>119</v>
      </c>
      <c r="R344" s="63" t="s">
        <v>467</v>
      </c>
      <c r="S344" s="96" t="s">
        <v>468</v>
      </c>
      <c r="T344" s="10" t="s">
        <v>65</v>
      </c>
      <c r="U344" s="10"/>
      <c r="V344" s="10" t="s">
        <v>412</v>
      </c>
      <c r="W344" s="10" t="s">
        <v>408</v>
      </c>
      <c r="X344" s="9" t="s">
        <v>67</v>
      </c>
      <c r="Y344" s="10" t="s">
        <v>340</v>
      </c>
      <c r="Z344" s="94" t="s">
        <v>238</v>
      </c>
      <c r="AA344" s="94" t="s">
        <v>90</v>
      </c>
      <c r="AB344" s="9" t="s">
        <v>71</v>
      </c>
      <c r="AC344" s="10" t="s">
        <v>85</v>
      </c>
      <c r="AD344" s="10" t="s">
        <v>208</v>
      </c>
      <c r="AE344" s="65" t="s">
        <v>137</v>
      </c>
      <c r="AF344" s="39" t="s">
        <v>469</v>
      </c>
      <c r="AG344" s="10" t="s">
        <v>127</v>
      </c>
      <c r="AH344" s="4">
        <v>650</v>
      </c>
      <c r="AI344" s="11" t="s">
        <v>450</v>
      </c>
      <c r="AJ344" s="4" t="s">
        <v>241</v>
      </c>
      <c r="AK344" s="36">
        <v>951</v>
      </c>
      <c r="AL344" s="30">
        <v>227289000</v>
      </c>
      <c r="AM344" s="30">
        <v>28</v>
      </c>
      <c r="AN344" s="30">
        <v>4684400</v>
      </c>
      <c r="AO344" s="30">
        <v>237</v>
      </c>
      <c r="AP344" s="30">
        <v>42111415</v>
      </c>
      <c r="AQ344" s="30">
        <v>414</v>
      </c>
      <c r="AR344" s="30">
        <v>71690515</v>
      </c>
      <c r="AS344" s="52">
        <f t="shared" si="43"/>
        <v>0.43533123028391169</v>
      </c>
    </row>
    <row r="345" spans="2:45" x14ac:dyDescent="0.3">
      <c r="B345" s="126" t="s">
        <v>475</v>
      </c>
      <c r="C345" s="98" t="str">
        <f>MID(B345,3,5)</f>
        <v>DJ9M0</v>
      </c>
      <c r="D345" s="98" t="s">
        <v>55</v>
      </c>
      <c r="E345" s="98" t="str">
        <f t="shared" si="44"/>
        <v>W</v>
      </c>
      <c r="F345" s="98" t="str">
        <f t="shared" si="45"/>
        <v>DJ</v>
      </c>
      <c r="G345" s="98" t="s">
        <v>56</v>
      </c>
      <c r="H345" s="115" t="s">
        <v>476</v>
      </c>
      <c r="I345" s="98" t="s">
        <v>113</v>
      </c>
      <c r="J345" s="115">
        <v>1</v>
      </c>
      <c r="K345" s="115">
        <v>1</v>
      </c>
      <c r="L345" s="116">
        <v>279000</v>
      </c>
      <c r="M345" s="78" t="s">
        <v>477</v>
      </c>
      <c r="N345" s="98" t="s">
        <v>478</v>
      </c>
      <c r="O345" s="98" t="s">
        <v>143</v>
      </c>
      <c r="P345" s="98">
        <v>100</v>
      </c>
      <c r="Q345" s="32" t="s">
        <v>479</v>
      </c>
      <c r="R345" s="98" t="s">
        <v>480</v>
      </c>
      <c r="S345" s="32" t="s">
        <v>481</v>
      </c>
      <c r="T345" s="98" t="s">
        <v>65</v>
      </c>
      <c r="U345" s="98"/>
      <c r="V345" s="98" t="s">
        <v>66</v>
      </c>
      <c r="W345" s="98"/>
      <c r="X345" s="78" t="s">
        <v>67</v>
      </c>
      <c r="Y345" s="98" t="s">
        <v>340</v>
      </c>
      <c r="Z345" s="32" t="s">
        <v>125</v>
      </c>
      <c r="AA345" s="32" t="s">
        <v>70</v>
      </c>
      <c r="AB345" s="78" t="s">
        <v>71</v>
      </c>
      <c r="AC345" s="98" t="s">
        <v>62</v>
      </c>
      <c r="AD345" s="98" t="s">
        <v>72</v>
      </c>
      <c r="AE345" s="65" t="s">
        <v>73</v>
      </c>
      <c r="AF345" s="39" t="s">
        <v>311</v>
      </c>
      <c r="AG345" s="98" t="s">
        <v>240</v>
      </c>
      <c r="AH345" s="115">
        <v>650</v>
      </c>
      <c r="AI345" s="117" t="s">
        <v>289</v>
      </c>
      <c r="AJ345" s="115" t="s">
        <v>77</v>
      </c>
      <c r="AK345" s="72">
        <f>997+1200</f>
        <v>2197</v>
      </c>
      <c r="AL345" s="116">
        <f t="shared" ref="AL345:AL408" si="47">AK345*L345</f>
        <v>612963000</v>
      </c>
      <c r="AM345" s="116">
        <v>-1</v>
      </c>
      <c r="AN345" s="116">
        <v>-464470</v>
      </c>
      <c r="AO345" s="116">
        <v>921</v>
      </c>
      <c r="AP345" s="116">
        <v>244285631</v>
      </c>
      <c r="AQ345" s="116">
        <f t="shared" ref="AQ345:AQ408" si="48">AK345*AS345</f>
        <v>1977.3</v>
      </c>
      <c r="AR345" s="116">
        <f t="shared" ref="AR345:AR408" si="49">(AL345*AS345)*0.92</f>
        <v>507533364</v>
      </c>
      <c r="AS345" s="70">
        <v>0.9</v>
      </c>
    </row>
    <row r="346" spans="2:45" x14ac:dyDescent="0.3">
      <c r="B346" s="126" t="s">
        <v>475</v>
      </c>
      <c r="C346" s="98" t="str">
        <f t="shared" ref="C346:C409" si="50">MID(B346,3,5)</f>
        <v>DJ9M0</v>
      </c>
      <c r="D346" s="98" t="s">
        <v>55</v>
      </c>
      <c r="E346" s="98" t="str">
        <f t="shared" si="44"/>
        <v>W</v>
      </c>
      <c r="F346" s="98" t="str">
        <f t="shared" si="45"/>
        <v>DJ</v>
      </c>
      <c r="G346" s="98" t="s">
        <v>56</v>
      </c>
      <c r="H346" s="115" t="s">
        <v>476</v>
      </c>
      <c r="I346" s="98" t="s">
        <v>78</v>
      </c>
      <c r="J346" s="115" t="str">
        <f t="shared" ref="J346:J409" si="51">IF(B346=B345,"",1)</f>
        <v/>
      </c>
      <c r="K346" s="115">
        <v>1</v>
      </c>
      <c r="L346" s="116">
        <v>279000</v>
      </c>
      <c r="M346" s="78" t="s">
        <v>477</v>
      </c>
      <c r="N346" s="98" t="s">
        <v>478</v>
      </c>
      <c r="O346" s="98" t="s">
        <v>143</v>
      </c>
      <c r="P346" s="98">
        <v>100</v>
      </c>
      <c r="Q346" s="32" t="s">
        <v>479</v>
      </c>
      <c r="R346" s="98" t="s">
        <v>480</v>
      </c>
      <c r="S346" s="32" t="s">
        <v>481</v>
      </c>
      <c r="T346" s="98" t="s">
        <v>65</v>
      </c>
      <c r="U346" s="98"/>
      <c r="V346" s="98" t="s">
        <v>66</v>
      </c>
      <c r="W346" s="98"/>
      <c r="X346" s="78" t="s">
        <v>67</v>
      </c>
      <c r="Y346" s="98" t="s">
        <v>340</v>
      </c>
      <c r="Z346" s="32" t="s">
        <v>125</v>
      </c>
      <c r="AA346" s="32" t="s">
        <v>70</v>
      </c>
      <c r="AB346" s="78" t="s">
        <v>71</v>
      </c>
      <c r="AC346" s="98" t="s">
        <v>62</v>
      </c>
      <c r="AD346" s="98" t="s">
        <v>72</v>
      </c>
      <c r="AE346" s="65" t="s">
        <v>73</v>
      </c>
      <c r="AF346" s="39" t="s">
        <v>311</v>
      </c>
      <c r="AG346" s="98" t="s">
        <v>240</v>
      </c>
      <c r="AH346" s="115">
        <v>650</v>
      </c>
      <c r="AI346" s="117" t="s">
        <v>289</v>
      </c>
      <c r="AJ346" s="115" t="s">
        <v>77</v>
      </c>
      <c r="AK346" s="73">
        <v>1774</v>
      </c>
      <c r="AL346" s="116">
        <f t="shared" si="47"/>
        <v>494946000</v>
      </c>
      <c r="AM346" s="116">
        <v>40</v>
      </c>
      <c r="AN346" s="116">
        <v>10138532</v>
      </c>
      <c r="AO346" s="116">
        <v>577</v>
      </c>
      <c r="AP346" s="116">
        <v>152242676</v>
      </c>
      <c r="AQ346" s="116">
        <f t="shared" si="48"/>
        <v>1020.4999999999999</v>
      </c>
      <c r="AR346" s="116">
        <f t="shared" si="49"/>
        <v>261941939.99999997</v>
      </c>
      <c r="AS346" s="118">
        <v>0.57525366403607658</v>
      </c>
    </row>
    <row r="347" spans="2:45" x14ac:dyDescent="0.3">
      <c r="B347" s="126" t="s">
        <v>475</v>
      </c>
      <c r="C347" s="98" t="str">
        <f t="shared" si="50"/>
        <v>DJ9M0</v>
      </c>
      <c r="D347" s="98" t="s">
        <v>55</v>
      </c>
      <c r="E347" s="98" t="str">
        <f t="shared" si="44"/>
        <v>W</v>
      </c>
      <c r="F347" s="98" t="str">
        <f t="shared" si="45"/>
        <v>DJ</v>
      </c>
      <c r="G347" s="98" t="s">
        <v>56</v>
      </c>
      <c r="H347" s="115" t="s">
        <v>476</v>
      </c>
      <c r="I347" s="98" t="s">
        <v>242</v>
      </c>
      <c r="J347" s="115" t="str">
        <f t="shared" si="51"/>
        <v/>
      </c>
      <c r="K347" s="115">
        <v>1</v>
      </c>
      <c r="L347" s="116">
        <v>279000</v>
      </c>
      <c r="M347" s="78" t="s">
        <v>477</v>
      </c>
      <c r="N347" s="98" t="s">
        <v>478</v>
      </c>
      <c r="O347" s="98" t="s">
        <v>143</v>
      </c>
      <c r="P347" s="98">
        <v>100</v>
      </c>
      <c r="Q347" s="32" t="s">
        <v>479</v>
      </c>
      <c r="R347" s="98" t="s">
        <v>480</v>
      </c>
      <c r="S347" s="32" t="s">
        <v>481</v>
      </c>
      <c r="T347" s="98" t="s">
        <v>65</v>
      </c>
      <c r="U347" s="98"/>
      <c r="V347" s="98" t="s">
        <v>66</v>
      </c>
      <c r="W347" s="98"/>
      <c r="X347" s="78" t="s">
        <v>67</v>
      </c>
      <c r="Y347" s="98" t="s">
        <v>340</v>
      </c>
      <c r="Z347" s="32" t="s">
        <v>125</v>
      </c>
      <c r="AA347" s="32" t="s">
        <v>70</v>
      </c>
      <c r="AB347" s="78" t="s">
        <v>71</v>
      </c>
      <c r="AC347" s="98" t="s">
        <v>62</v>
      </c>
      <c r="AD347" s="98" t="s">
        <v>72</v>
      </c>
      <c r="AE347" s="65" t="s">
        <v>73</v>
      </c>
      <c r="AF347" s="39" t="s">
        <v>311</v>
      </c>
      <c r="AG347" s="98" t="s">
        <v>240</v>
      </c>
      <c r="AH347" s="115">
        <v>650</v>
      </c>
      <c r="AI347" s="117" t="s">
        <v>289</v>
      </c>
      <c r="AJ347" s="115" t="s">
        <v>77</v>
      </c>
      <c r="AK347" s="73">
        <v>2010</v>
      </c>
      <c r="AL347" s="116">
        <f t="shared" si="47"/>
        <v>560790000</v>
      </c>
      <c r="AM347" s="116">
        <v>37</v>
      </c>
      <c r="AN347" s="116">
        <v>9154121</v>
      </c>
      <c r="AO347" s="116">
        <v>598</v>
      </c>
      <c r="AP347" s="116">
        <v>156695090</v>
      </c>
      <c r="AQ347" s="116">
        <f t="shared" si="48"/>
        <v>1100.5</v>
      </c>
      <c r="AR347" s="116">
        <f t="shared" si="49"/>
        <v>282476340</v>
      </c>
      <c r="AS347" s="118">
        <v>0.54751243781094527</v>
      </c>
    </row>
    <row r="348" spans="2:45" x14ac:dyDescent="0.3">
      <c r="B348" s="126" t="s">
        <v>482</v>
      </c>
      <c r="C348" s="98" t="str">
        <f t="shared" si="50"/>
        <v>DJ9E0</v>
      </c>
      <c r="D348" s="98" t="s">
        <v>55</v>
      </c>
      <c r="E348" s="98" t="str">
        <f t="shared" si="44"/>
        <v>W</v>
      </c>
      <c r="F348" s="98" t="str">
        <f t="shared" si="45"/>
        <v>DJ</v>
      </c>
      <c r="G348" s="98" t="s">
        <v>56</v>
      </c>
      <c r="H348" s="115" t="s">
        <v>483</v>
      </c>
      <c r="I348" s="98" t="s">
        <v>79</v>
      </c>
      <c r="J348" s="115">
        <f t="shared" si="51"/>
        <v>1</v>
      </c>
      <c r="K348" s="115">
        <v>1</v>
      </c>
      <c r="L348" s="116">
        <v>379000</v>
      </c>
      <c r="M348" s="78" t="s">
        <v>408</v>
      </c>
      <c r="N348" s="98" t="s">
        <v>484</v>
      </c>
      <c r="O348" s="98" t="s">
        <v>485</v>
      </c>
      <c r="P348" s="98">
        <v>100</v>
      </c>
      <c r="Q348" s="32" t="s">
        <v>119</v>
      </c>
      <c r="R348" s="98" t="s">
        <v>486</v>
      </c>
      <c r="S348" s="32" t="s">
        <v>121</v>
      </c>
      <c r="T348" s="98" t="s">
        <v>65</v>
      </c>
      <c r="U348" s="98"/>
      <c r="V348" s="98" t="s">
        <v>412</v>
      </c>
      <c r="W348" s="98" t="s">
        <v>408</v>
      </c>
      <c r="X348" s="78" t="s">
        <v>67</v>
      </c>
      <c r="Y348" s="98" t="s">
        <v>340</v>
      </c>
      <c r="Z348" s="32" t="s">
        <v>238</v>
      </c>
      <c r="AA348" s="32" t="s">
        <v>341</v>
      </c>
      <c r="AB348" s="78" t="s">
        <v>71</v>
      </c>
      <c r="AC348" s="98" t="s">
        <v>62</v>
      </c>
      <c r="AD348" s="98" t="s">
        <v>72</v>
      </c>
      <c r="AE348" s="65" t="s">
        <v>73</v>
      </c>
      <c r="AF348" s="39" t="s">
        <v>343</v>
      </c>
      <c r="AG348" s="98" t="s">
        <v>127</v>
      </c>
      <c r="AH348" s="115">
        <v>650</v>
      </c>
      <c r="AI348" s="117" t="s">
        <v>128</v>
      </c>
      <c r="AJ348" s="115" t="s">
        <v>94</v>
      </c>
      <c r="AK348" s="73">
        <v>743</v>
      </c>
      <c r="AL348" s="116">
        <f t="shared" si="47"/>
        <v>281597000</v>
      </c>
      <c r="AM348" s="116">
        <v>7</v>
      </c>
      <c r="AN348" s="116">
        <v>2489229</v>
      </c>
      <c r="AO348" s="116">
        <v>62</v>
      </c>
      <c r="AP348" s="116">
        <v>22632257</v>
      </c>
      <c r="AQ348" s="116">
        <f t="shared" si="48"/>
        <v>284.89999999999998</v>
      </c>
      <c r="AR348" s="116">
        <f t="shared" si="49"/>
        <v>99338932</v>
      </c>
      <c r="AS348" s="118">
        <v>0.38344549125168237</v>
      </c>
    </row>
    <row r="349" spans="2:45" x14ac:dyDescent="0.3">
      <c r="B349" s="126" t="s">
        <v>482</v>
      </c>
      <c r="C349" s="98" t="str">
        <f t="shared" si="50"/>
        <v>DJ9E0</v>
      </c>
      <c r="D349" s="98" t="s">
        <v>55</v>
      </c>
      <c r="E349" s="98" t="str">
        <f t="shared" si="44"/>
        <v>W</v>
      </c>
      <c r="F349" s="98" t="str">
        <f t="shared" si="45"/>
        <v>DJ</v>
      </c>
      <c r="G349" s="98" t="s">
        <v>56</v>
      </c>
      <c r="H349" s="115" t="s">
        <v>483</v>
      </c>
      <c r="I349" s="98" t="s">
        <v>177</v>
      </c>
      <c r="J349" s="115" t="str">
        <f t="shared" si="51"/>
        <v/>
      </c>
      <c r="K349" s="115">
        <v>1</v>
      </c>
      <c r="L349" s="116">
        <v>379000</v>
      </c>
      <c r="M349" s="78" t="s">
        <v>408</v>
      </c>
      <c r="N349" s="98" t="s">
        <v>484</v>
      </c>
      <c r="O349" s="98" t="s">
        <v>485</v>
      </c>
      <c r="P349" s="98">
        <v>100</v>
      </c>
      <c r="Q349" s="32" t="s">
        <v>119</v>
      </c>
      <c r="R349" s="98" t="s">
        <v>486</v>
      </c>
      <c r="S349" s="32" t="s">
        <v>121</v>
      </c>
      <c r="T349" s="98" t="s">
        <v>65</v>
      </c>
      <c r="U349" s="98"/>
      <c r="V349" s="98" t="s">
        <v>412</v>
      </c>
      <c r="W349" s="98" t="s">
        <v>408</v>
      </c>
      <c r="X349" s="78" t="s">
        <v>67</v>
      </c>
      <c r="Y349" s="98" t="s">
        <v>340</v>
      </c>
      <c r="Z349" s="32" t="s">
        <v>238</v>
      </c>
      <c r="AA349" s="32" t="s">
        <v>341</v>
      </c>
      <c r="AB349" s="78" t="s">
        <v>71</v>
      </c>
      <c r="AC349" s="98" t="s">
        <v>62</v>
      </c>
      <c r="AD349" s="98" t="s">
        <v>72</v>
      </c>
      <c r="AE349" s="65" t="s">
        <v>73</v>
      </c>
      <c r="AF349" s="39" t="s">
        <v>343</v>
      </c>
      <c r="AG349" s="98" t="s">
        <v>127</v>
      </c>
      <c r="AH349" s="115">
        <v>650</v>
      </c>
      <c r="AI349" s="117" t="s">
        <v>128</v>
      </c>
      <c r="AJ349" s="115" t="s">
        <v>94</v>
      </c>
      <c r="AK349" s="73">
        <v>581</v>
      </c>
      <c r="AL349" s="116">
        <f t="shared" si="47"/>
        <v>220199000</v>
      </c>
      <c r="AM349" s="116">
        <v>3</v>
      </c>
      <c r="AN349" s="116">
        <v>1073657</v>
      </c>
      <c r="AO349" s="116">
        <v>16</v>
      </c>
      <c r="AP349" s="116">
        <v>5877118</v>
      </c>
      <c r="AQ349" s="116">
        <f t="shared" si="48"/>
        <v>190.3</v>
      </c>
      <c r="AR349" s="116">
        <f t="shared" si="49"/>
        <v>66353804</v>
      </c>
      <c r="AS349" s="118">
        <v>0.32753872633390707</v>
      </c>
    </row>
    <row r="350" spans="2:45" x14ac:dyDescent="0.3">
      <c r="B350" s="126" t="s">
        <v>482</v>
      </c>
      <c r="C350" s="98" t="str">
        <f t="shared" si="50"/>
        <v>DJ9E0</v>
      </c>
      <c r="D350" s="98" t="s">
        <v>55</v>
      </c>
      <c r="E350" s="98" t="str">
        <f t="shared" si="44"/>
        <v>W</v>
      </c>
      <c r="F350" s="98" t="str">
        <f t="shared" si="45"/>
        <v>DJ</v>
      </c>
      <c r="G350" s="98" t="s">
        <v>56</v>
      </c>
      <c r="H350" s="115" t="s">
        <v>483</v>
      </c>
      <c r="I350" s="98" t="s">
        <v>78</v>
      </c>
      <c r="J350" s="115" t="str">
        <f t="shared" si="51"/>
        <v/>
      </c>
      <c r="K350" s="115">
        <v>1</v>
      </c>
      <c r="L350" s="116">
        <v>379000</v>
      </c>
      <c r="M350" s="78" t="s">
        <v>408</v>
      </c>
      <c r="N350" s="98" t="s">
        <v>484</v>
      </c>
      <c r="O350" s="98" t="s">
        <v>485</v>
      </c>
      <c r="P350" s="98">
        <v>100</v>
      </c>
      <c r="Q350" s="32" t="s">
        <v>119</v>
      </c>
      <c r="R350" s="98" t="s">
        <v>486</v>
      </c>
      <c r="S350" s="32" t="s">
        <v>121</v>
      </c>
      <c r="T350" s="98" t="s">
        <v>65</v>
      </c>
      <c r="U350" s="98"/>
      <c r="V350" s="98" t="s">
        <v>412</v>
      </c>
      <c r="W350" s="98" t="s">
        <v>408</v>
      </c>
      <c r="X350" s="78" t="s">
        <v>67</v>
      </c>
      <c r="Y350" s="98" t="s">
        <v>340</v>
      </c>
      <c r="Z350" s="32" t="s">
        <v>238</v>
      </c>
      <c r="AA350" s="32" t="s">
        <v>341</v>
      </c>
      <c r="AB350" s="78" t="s">
        <v>71</v>
      </c>
      <c r="AC350" s="98" t="s">
        <v>62</v>
      </c>
      <c r="AD350" s="98" t="s">
        <v>72</v>
      </c>
      <c r="AE350" s="65" t="s">
        <v>73</v>
      </c>
      <c r="AF350" s="39" t="s">
        <v>343</v>
      </c>
      <c r="AG350" s="98" t="s">
        <v>127</v>
      </c>
      <c r="AH350" s="115">
        <v>650</v>
      </c>
      <c r="AI350" s="117" t="s">
        <v>128</v>
      </c>
      <c r="AJ350" s="115" t="s">
        <v>94</v>
      </c>
      <c r="AK350" s="73">
        <v>771</v>
      </c>
      <c r="AL350" s="116">
        <f t="shared" si="47"/>
        <v>292209000</v>
      </c>
      <c r="AM350" s="116">
        <v>16</v>
      </c>
      <c r="AN350" s="116">
        <v>5762285</v>
      </c>
      <c r="AO350" s="116">
        <v>87</v>
      </c>
      <c r="AP350" s="116">
        <v>31879373</v>
      </c>
      <c r="AQ350" s="116">
        <f t="shared" si="48"/>
        <v>318.29999999999995</v>
      </c>
      <c r="AR350" s="116">
        <f t="shared" si="49"/>
        <v>110984844</v>
      </c>
      <c r="AS350" s="118">
        <v>0.41284046692607002</v>
      </c>
    </row>
    <row r="351" spans="2:45" x14ac:dyDescent="0.3">
      <c r="B351" s="126" t="s">
        <v>487</v>
      </c>
      <c r="C351" s="98" t="str">
        <f t="shared" si="50"/>
        <v>DJ9K0</v>
      </c>
      <c r="D351" s="98" t="s">
        <v>55</v>
      </c>
      <c r="E351" s="98" t="str">
        <f t="shared" si="44"/>
        <v>W</v>
      </c>
      <c r="F351" s="98" t="str">
        <f t="shared" si="45"/>
        <v>DJ</v>
      </c>
      <c r="G351" s="98" t="s">
        <v>56</v>
      </c>
      <c r="H351" s="115" t="s">
        <v>488</v>
      </c>
      <c r="I351" s="98" t="s">
        <v>79</v>
      </c>
      <c r="J351" s="115">
        <f t="shared" si="51"/>
        <v>1</v>
      </c>
      <c r="K351" s="115">
        <v>1</v>
      </c>
      <c r="L351" s="116">
        <v>550000</v>
      </c>
      <c r="M351" s="78" t="s">
        <v>225</v>
      </c>
      <c r="N351" s="98" t="s">
        <v>489</v>
      </c>
      <c r="O351" s="98" t="s">
        <v>485</v>
      </c>
      <c r="P351" s="98">
        <v>100</v>
      </c>
      <c r="Q351" s="32" t="s">
        <v>85</v>
      </c>
      <c r="R351" s="98" t="s">
        <v>490</v>
      </c>
      <c r="S351" s="32" t="s">
        <v>491</v>
      </c>
      <c r="T351" s="98" t="s">
        <v>228</v>
      </c>
      <c r="U351" s="98" t="s">
        <v>123</v>
      </c>
      <c r="V351" s="98" t="s">
        <v>66</v>
      </c>
      <c r="W351" s="98" t="s">
        <v>229</v>
      </c>
      <c r="X351" s="78" t="s">
        <v>67</v>
      </c>
      <c r="Y351" s="98" t="s">
        <v>340</v>
      </c>
      <c r="Z351" s="32" t="s">
        <v>238</v>
      </c>
      <c r="AA351" s="32" t="s">
        <v>90</v>
      </c>
      <c r="AB351" s="78" t="s">
        <v>71</v>
      </c>
      <c r="AC351" s="98" t="s">
        <v>62</v>
      </c>
      <c r="AD351" s="98" t="s">
        <v>72</v>
      </c>
      <c r="AE351" s="65" t="s">
        <v>73</v>
      </c>
      <c r="AF351" s="39" t="s">
        <v>199</v>
      </c>
      <c r="AG351" s="98" t="s">
        <v>127</v>
      </c>
      <c r="AH351" s="115">
        <v>650</v>
      </c>
      <c r="AI351" s="117" t="s">
        <v>99</v>
      </c>
      <c r="AJ351" s="115" t="s">
        <v>100</v>
      </c>
      <c r="AK351" s="73">
        <v>732</v>
      </c>
      <c r="AL351" s="116">
        <f t="shared" si="47"/>
        <v>402600000</v>
      </c>
      <c r="AM351" s="116">
        <v>68</v>
      </c>
      <c r="AN351" s="116">
        <v>34813678</v>
      </c>
      <c r="AO351" s="116">
        <v>237</v>
      </c>
      <c r="AP351" s="116">
        <v>125473022</v>
      </c>
      <c r="AQ351" s="116">
        <f t="shared" si="48"/>
        <v>493.20000000000005</v>
      </c>
      <c r="AR351" s="116">
        <f t="shared" si="49"/>
        <v>249559200</v>
      </c>
      <c r="AS351" s="118">
        <v>0.67377049180327875</v>
      </c>
    </row>
    <row r="352" spans="2:45" x14ac:dyDescent="0.3">
      <c r="B352" s="126" t="s">
        <v>487</v>
      </c>
      <c r="C352" s="98" t="str">
        <f t="shared" si="50"/>
        <v>DJ9K0</v>
      </c>
      <c r="D352" s="98" t="s">
        <v>55</v>
      </c>
      <c r="E352" s="98" t="str">
        <f t="shared" si="44"/>
        <v>W</v>
      </c>
      <c r="F352" s="98" t="str">
        <f t="shared" si="45"/>
        <v>DJ</v>
      </c>
      <c r="G352" s="98" t="s">
        <v>56</v>
      </c>
      <c r="H352" s="115" t="s">
        <v>488</v>
      </c>
      <c r="I352" s="98" t="s">
        <v>78</v>
      </c>
      <c r="J352" s="115" t="str">
        <f t="shared" si="51"/>
        <v/>
      </c>
      <c r="K352" s="115">
        <v>1</v>
      </c>
      <c r="L352" s="116">
        <v>550000</v>
      </c>
      <c r="M352" s="78" t="s">
        <v>225</v>
      </c>
      <c r="N352" s="98" t="s">
        <v>489</v>
      </c>
      <c r="O352" s="98" t="s">
        <v>485</v>
      </c>
      <c r="P352" s="98">
        <v>100</v>
      </c>
      <c r="Q352" s="32" t="s">
        <v>85</v>
      </c>
      <c r="R352" s="98" t="s">
        <v>490</v>
      </c>
      <c r="S352" s="32" t="s">
        <v>491</v>
      </c>
      <c r="T352" s="98" t="s">
        <v>228</v>
      </c>
      <c r="U352" s="98" t="s">
        <v>123</v>
      </c>
      <c r="V352" s="98" t="s">
        <v>66</v>
      </c>
      <c r="W352" s="98" t="s">
        <v>229</v>
      </c>
      <c r="X352" s="78" t="s">
        <v>67</v>
      </c>
      <c r="Y352" s="98" t="s">
        <v>340</v>
      </c>
      <c r="Z352" s="32" t="s">
        <v>238</v>
      </c>
      <c r="AA352" s="32" t="s">
        <v>90</v>
      </c>
      <c r="AB352" s="78" t="s">
        <v>71</v>
      </c>
      <c r="AC352" s="98" t="s">
        <v>62</v>
      </c>
      <c r="AD352" s="98" t="s">
        <v>72</v>
      </c>
      <c r="AE352" s="65" t="s">
        <v>73</v>
      </c>
      <c r="AF352" s="39" t="s">
        <v>199</v>
      </c>
      <c r="AG352" s="98" t="s">
        <v>127</v>
      </c>
      <c r="AH352" s="115">
        <v>650</v>
      </c>
      <c r="AI352" s="117" t="s">
        <v>99</v>
      </c>
      <c r="AJ352" s="115" t="s">
        <v>100</v>
      </c>
      <c r="AK352" s="73">
        <v>1346</v>
      </c>
      <c r="AL352" s="116">
        <f t="shared" si="47"/>
        <v>740300000</v>
      </c>
      <c r="AM352" s="116">
        <v>142</v>
      </c>
      <c r="AN352" s="116">
        <v>72557383</v>
      </c>
      <c r="AO352" s="116">
        <v>447</v>
      </c>
      <c r="AP352" s="116">
        <v>233343523</v>
      </c>
      <c r="AQ352" s="116">
        <f t="shared" si="48"/>
        <v>918.1</v>
      </c>
      <c r="AR352" s="116">
        <f t="shared" si="49"/>
        <v>464558600</v>
      </c>
      <c r="AS352" s="118">
        <v>0.68209509658246659</v>
      </c>
    </row>
    <row r="353" spans="2:45" x14ac:dyDescent="0.3">
      <c r="B353" s="126" t="s">
        <v>492</v>
      </c>
      <c r="C353" s="98" t="str">
        <f t="shared" si="50"/>
        <v>DJ9B0</v>
      </c>
      <c r="D353" s="98" t="s">
        <v>55</v>
      </c>
      <c r="E353" s="98" t="str">
        <f t="shared" si="44"/>
        <v>W</v>
      </c>
      <c r="F353" s="98" t="str">
        <f t="shared" si="45"/>
        <v>DJ</v>
      </c>
      <c r="G353" s="98" t="s">
        <v>56</v>
      </c>
      <c r="H353" s="115" t="s">
        <v>493</v>
      </c>
      <c r="I353" s="98" t="s">
        <v>209</v>
      </c>
      <c r="J353" s="115">
        <f t="shared" si="51"/>
        <v>1</v>
      </c>
      <c r="K353" s="115">
        <v>1</v>
      </c>
      <c r="L353" s="116">
        <v>630000</v>
      </c>
      <c r="M353" s="78" t="s">
        <v>225</v>
      </c>
      <c r="N353" s="98" t="s">
        <v>494</v>
      </c>
      <c r="O353" s="98" t="s">
        <v>485</v>
      </c>
      <c r="P353" s="98">
        <v>100</v>
      </c>
      <c r="Q353" s="32" t="s">
        <v>204</v>
      </c>
      <c r="R353" s="98" t="s">
        <v>495</v>
      </c>
      <c r="S353" s="32" t="s">
        <v>496</v>
      </c>
      <c r="T353" s="98" t="s">
        <v>228</v>
      </c>
      <c r="U353" s="98" t="s">
        <v>198</v>
      </c>
      <c r="V353" s="98" t="s">
        <v>66</v>
      </c>
      <c r="W353" s="98" t="s">
        <v>229</v>
      </c>
      <c r="X353" s="78" t="s">
        <v>67</v>
      </c>
      <c r="Y353" s="98" t="s">
        <v>68</v>
      </c>
      <c r="Z353" s="32" t="s">
        <v>125</v>
      </c>
      <c r="AA353" s="32" t="s">
        <v>90</v>
      </c>
      <c r="AB353" s="78" t="s">
        <v>71</v>
      </c>
      <c r="AC353" s="98" t="s">
        <v>62</v>
      </c>
      <c r="AD353" s="98" t="s">
        <v>72</v>
      </c>
      <c r="AE353" s="65" t="s">
        <v>73</v>
      </c>
      <c r="AF353" s="39" t="s">
        <v>230</v>
      </c>
      <c r="AG353" s="98" t="s">
        <v>127</v>
      </c>
      <c r="AH353" s="115">
        <v>650</v>
      </c>
      <c r="AI353" s="117" t="s">
        <v>107</v>
      </c>
      <c r="AJ353" s="115" t="s">
        <v>108</v>
      </c>
      <c r="AK353" s="73">
        <v>511</v>
      </c>
      <c r="AL353" s="116">
        <f t="shared" si="47"/>
        <v>321930000</v>
      </c>
      <c r="AM353" s="116">
        <v>16</v>
      </c>
      <c r="AN353" s="116">
        <v>9355975</v>
      </c>
      <c r="AO353" s="116">
        <v>40</v>
      </c>
      <c r="AP353" s="116">
        <v>23844305</v>
      </c>
      <c r="AQ353" s="116">
        <f t="shared" si="48"/>
        <v>193.29999999999998</v>
      </c>
      <c r="AR353" s="116">
        <f t="shared" si="49"/>
        <v>112036680</v>
      </c>
      <c r="AS353" s="118">
        <v>0.37827788649706456</v>
      </c>
    </row>
    <row r="354" spans="2:45" x14ac:dyDescent="0.3">
      <c r="B354" s="126" t="s">
        <v>492</v>
      </c>
      <c r="C354" s="98" t="str">
        <f t="shared" si="50"/>
        <v>DJ9B0</v>
      </c>
      <c r="D354" s="98" t="s">
        <v>55</v>
      </c>
      <c r="E354" s="98" t="str">
        <f t="shared" si="44"/>
        <v>W</v>
      </c>
      <c r="F354" s="98" t="str">
        <f t="shared" si="45"/>
        <v>DJ</v>
      </c>
      <c r="G354" s="98" t="s">
        <v>56</v>
      </c>
      <c r="H354" s="115" t="s">
        <v>493</v>
      </c>
      <c r="I354" s="98" t="s">
        <v>385</v>
      </c>
      <c r="J354" s="115" t="str">
        <f t="shared" si="51"/>
        <v/>
      </c>
      <c r="K354" s="115">
        <v>1</v>
      </c>
      <c r="L354" s="116">
        <v>630000</v>
      </c>
      <c r="M354" s="78" t="s">
        <v>225</v>
      </c>
      <c r="N354" s="98" t="s">
        <v>494</v>
      </c>
      <c r="O354" s="98" t="s">
        <v>485</v>
      </c>
      <c r="P354" s="98">
        <v>100</v>
      </c>
      <c r="Q354" s="32" t="s">
        <v>204</v>
      </c>
      <c r="R354" s="98" t="s">
        <v>495</v>
      </c>
      <c r="S354" s="32" t="s">
        <v>496</v>
      </c>
      <c r="T354" s="98" t="s">
        <v>228</v>
      </c>
      <c r="U354" s="98" t="s">
        <v>198</v>
      </c>
      <c r="V354" s="98" t="s">
        <v>66</v>
      </c>
      <c r="W354" s="98" t="s">
        <v>229</v>
      </c>
      <c r="X354" s="78" t="s">
        <v>67</v>
      </c>
      <c r="Y354" s="98" t="s">
        <v>68</v>
      </c>
      <c r="Z354" s="32" t="s">
        <v>125</v>
      </c>
      <c r="AA354" s="32" t="s">
        <v>90</v>
      </c>
      <c r="AB354" s="78" t="s">
        <v>71</v>
      </c>
      <c r="AC354" s="98" t="s">
        <v>62</v>
      </c>
      <c r="AD354" s="98" t="s">
        <v>72</v>
      </c>
      <c r="AE354" s="65" t="s">
        <v>73</v>
      </c>
      <c r="AF354" s="39" t="s">
        <v>230</v>
      </c>
      <c r="AG354" s="98" t="s">
        <v>127</v>
      </c>
      <c r="AH354" s="115">
        <v>650</v>
      </c>
      <c r="AI354" s="117" t="s">
        <v>107</v>
      </c>
      <c r="AJ354" s="115" t="s">
        <v>108</v>
      </c>
      <c r="AK354" s="73">
        <v>1628</v>
      </c>
      <c r="AL354" s="116">
        <f t="shared" si="47"/>
        <v>1025640000</v>
      </c>
      <c r="AM354" s="116">
        <v>90</v>
      </c>
      <c r="AN354" s="116">
        <v>51920577</v>
      </c>
      <c r="AO354" s="116">
        <v>218</v>
      </c>
      <c r="AP354" s="116">
        <v>129492625</v>
      </c>
      <c r="AQ354" s="116">
        <f t="shared" si="48"/>
        <v>706.4</v>
      </c>
      <c r="AR354" s="116">
        <f t="shared" si="49"/>
        <v>409429439.99999994</v>
      </c>
      <c r="AS354" s="118">
        <v>0.43390663390663387</v>
      </c>
    </row>
    <row r="355" spans="2:45" x14ac:dyDescent="0.3">
      <c r="B355" s="126" t="s">
        <v>492</v>
      </c>
      <c r="C355" s="98" t="str">
        <f t="shared" si="50"/>
        <v>DJ9B0</v>
      </c>
      <c r="D355" s="98" t="s">
        <v>55</v>
      </c>
      <c r="E355" s="98" t="str">
        <f t="shared" si="44"/>
        <v>W</v>
      </c>
      <c r="F355" s="98" t="str">
        <f t="shared" si="45"/>
        <v>DJ</v>
      </c>
      <c r="G355" s="98" t="s">
        <v>56</v>
      </c>
      <c r="H355" s="115" t="s">
        <v>493</v>
      </c>
      <c r="I355" s="98" t="s">
        <v>78</v>
      </c>
      <c r="J355" s="115" t="str">
        <f t="shared" si="51"/>
        <v/>
      </c>
      <c r="K355" s="115">
        <v>1</v>
      </c>
      <c r="L355" s="116">
        <v>630000</v>
      </c>
      <c r="M355" s="78" t="s">
        <v>225</v>
      </c>
      <c r="N355" s="98" t="s">
        <v>494</v>
      </c>
      <c r="O355" s="98" t="s">
        <v>485</v>
      </c>
      <c r="P355" s="98">
        <v>100</v>
      </c>
      <c r="Q355" s="32" t="s">
        <v>204</v>
      </c>
      <c r="R355" s="98" t="s">
        <v>495</v>
      </c>
      <c r="S355" s="32" t="s">
        <v>496</v>
      </c>
      <c r="T355" s="98" t="s">
        <v>228</v>
      </c>
      <c r="U355" s="98" t="s">
        <v>198</v>
      </c>
      <c r="V355" s="98" t="s">
        <v>66</v>
      </c>
      <c r="W355" s="98" t="s">
        <v>229</v>
      </c>
      <c r="X355" s="78" t="s">
        <v>67</v>
      </c>
      <c r="Y355" s="98" t="s">
        <v>68</v>
      </c>
      <c r="Z355" s="32" t="s">
        <v>125</v>
      </c>
      <c r="AA355" s="32" t="s">
        <v>90</v>
      </c>
      <c r="AB355" s="78" t="s">
        <v>71</v>
      </c>
      <c r="AC355" s="98" t="s">
        <v>62</v>
      </c>
      <c r="AD355" s="98" t="s">
        <v>72</v>
      </c>
      <c r="AE355" s="65" t="s">
        <v>73</v>
      </c>
      <c r="AF355" s="39" t="s">
        <v>230</v>
      </c>
      <c r="AG355" s="98" t="s">
        <v>127</v>
      </c>
      <c r="AH355" s="115">
        <v>650</v>
      </c>
      <c r="AI355" s="117" t="s">
        <v>107</v>
      </c>
      <c r="AJ355" s="115" t="s">
        <v>108</v>
      </c>
      <c r="AK355" s="73">
        <v>3474</v>
      </c>
      <c r="AL355" s="116">
        <f t="shared" si="47"/>
        <v>2188620000</v>
      </c>
      <c r="AM355" s="116">
        <v>267</v>
      </c>
      <c r="AN355" s="116">
        <v>154755487</v>
      </c>
      <c r="AO355" s="116">
        <v>652</v>
      </c>
      <c r="AP355" s="116">
        <v>387930953</v>
      </c>
      <c r="AQ355" s="116">
        <f t="shared" si="48"/>
        <v>1694.2</v>
      </c>
      <c r="AR355" s="116">
        <f t="shared" si="49"/>
        <v>981958320</v>
      </c>
      <c r="AS355" s="118">
        <v>0.48767990788716176</v>
      </c>
    </row>
    <row r="356" spans="2:45" x14ac:dyDescent="0.3">
      <c r="B356" s="126" t="s">
        <v>497</v>
      </c>
      <c r="C356" s="98" t="str">
        <f t="shared" si="50"/>
        <v>DJ9F0</v>
      </c>
      <c r="D356" s="98" t="s">
        <v>55</v>
      </c>
      <c r="E356" s="98" t="str">
        <f t="shared" si="44"/>
        <v>W</v>
      </c>
      <c r="F356" s="98" t="str">
        <f t="shared" si="45"/>
        <v>DJ</v>
      </c>
      <c r="G356" s="98" t="s">
        <v>56</v>
      </c>
      <c r="H356" s="115" t="s">
        <v>498</v>
      </c>
      <c r="I356" s="98" t="s">
        <v>499</v>
      </c>
      <c r="J356" s="115">
        <f t="shared" si="51"/>
        <v>1</v>
      </c>
      <c r="K356" s="115">
        <v>1</v>
      </c>
      <c r="L356" s="116">
        <v>249000</v>
      </c>
      <c r="M356" s="78" t="s">
        <v>477</v>
      </c>
      <c r="N356" s="98" t="s">
        <v>500</v>
      </c>
      <c r="O356" s="98" t="s">
        <v>143</v>
      </c>
      <c r="P356" s="98">
        <v>100</v>
      </c>
      <c r="Q356" s="32" t="s">
        <v>62</v>
      </c>
      <c r="R356" s="98" t="s">
        <v>392</v>
      </c>
      <c r="S356" s="32" t="s">
        <v>501</v>
      </c>
      <c r="T356" s="98" t="s">
        <v>65</v>
      </c>
      <c r="U356" s="98"/>
      <c r="V356" s="98"/>
      <c r="W356" s="98"/>
      <c r="X356" s="78" t="s">
        <v>67</v>
      </c>
      <c r="Y356" s="98" t="s">
        <v>68</v>
      </c>
      <c r="Z356" s="32" t="s">
        <v>125</v>
      </c>
      <c r="AA356" s="32" t="s">
        <v>90</v>
      </c>
      <c r="AB356" s="78" t="s">
        <v>71</v>
      </c>
      <c r="AC356" s="98" t="s">
        <v>62</v>
      </c>
      <c r="AD356" s="98" t="s">
        <v>72</v>
      </c>
      <c r="AE356" s="65" t="s">
        <v>137</v>
      </c>
      <c r="AF356" s="39" t="s">
        <v>502</v>
      </c>
      <c r="AG356" s="98" t="s">
        <v>75</v>
      </c>
      <c r="AH356" s="115">
        <v>650</v>
      </c>
      <c r="AI356" s="117" t="s">
        <v>76</v>
      </c>
      <c r="AJ356" s="115" t="s">
        <v>77</v>
      </c>
      <c r="AK356" s="73">
        <v>992</v>
      </c>
      <c r="AL356" s="116">
        <f t="shared" si="47"/>
        <v>247008000</v>
      </c>
      <c r="AM356" s="116">
        <v>21</v>
      </c>
      <c r="AN356" s="116">
        <v>4817190</v>
      </c>
      <c r="AO356" s="116">
        <v>236</v>
      </c>
      <c r="AP356" s="116">
        <v>54271020</v>
      </c>
      <c r="AQ356" s="116">
        <f t="shared" si="48"/>
        <v>464.15999999999997</v>
      </c>
      <c r="AR356" s="116">
        <f t="shared" si="49"/>
        <v>106329772.80000001</v>
      </c>
      <c r="AS356" s="118">
        <v>0.46790322580645161</v>
      </c>
    </row>
    <row r="357" spans="2:45" x14ac:dyDescent="0.3">
      <c r="B357" s="126" t="s">
        <v>497</v>
      </c>
      <c r="C357" s="98" t="str">
        <f t="shared" si="50"/>
        <v>DJ9F0</v>
      </c>
      <c r="D357" s="98" t="s">
        <v>55</v>
      </c>
      <c r="E357" s="98" t="str">
        <f t="shared" si="44"/>
        <v>W</v>
      </c>
      <c r="F357" s="98" t="str">
        <f t="shared" si="45"/>
        <v>DJ</v>
      </c>
      <c r="G357" s="98" t="s">
        <v>56</v>
      </c>
      <c r="H357" s="115" t="s">
        <v>498</v>
      </c>
      <c r="I357" s="98" t="s">
        <v>78</v>
      </c>
      <c r="J357" s="115" t="str">
        <f t="shared" si="51"/>
        <v/>
      </c>
      <c r="K357" s="115">
        <v>1</v>
      </c>
      <c r="L357" s="116">
        <v>249000</v>
      </c>
      <c r="M357" s="78" t="s">
        <v>477</v>
      </c>
      <c r="N357" s="98" t="s">
        <v>500</v>
      </c>
      <c r="O357" s="98" t="s">
        <v>143</v>
      </c>
      <c r="P357" s="98">
        <v>100</v>
      </c>
      <c r="Q357" s="32" t="s">
        <v>62</v>
      </c>
      <c r="R357" s="98" t="s">
        <v>392</v>
      </c>
      <c r="S357" s="32" t="s">
        <v>501</v>
      </c>
      <c r="T357" s="98" t="s">
        <v>65</v>
      </c>
      <c r="U357" s="98"/>
      <c r="V357" s="98"/>
      <c r="W357" s="98"/>
      <c r="X357" s="78" t="s">
        <v>67</v>
      </c>
      <c r="Y357" s="98" t="s">
        <v>68</v>
      </c>
      <c r="Z357" s="32" t="s">
        <v>125</v>
      </c>
      <c r="AA357" s="32" t="s">
        <v>90</v>
      </c>
      <c r="AB357" s="78" t="s">
        <v>71</v>
      </c>
      <c r="AC357" s="98" t="s">
        <v>62</v>
      </c>
      <c r="AD357" s="98" t="s">
        <v>72</v>
      </c>
      <c r="AE357" s="65" t="s">
        <v>137</v>
      </c>
      <c r="AF357" s="39" t="s">
        <v>502</v>
      </c>
      <c r="AG357" s="98" t="s">
        <v>75</v>
      </c>
      <c r="AH357" s="115">
        <v>650</v>
      </c>
      <c r="AI357" s="117" t="s">
        <v>76</v>
      </c>
      <c r="AJ357" s="115" t="s">
        <v>77</v>
      </c>
      <c r="AK357" s="73">
        <v>1478</v>
      </c>
      <c r="AL357" s="116">
        <f t="shared" si="47"/>
        <v>368022000</v>
      </c>
      <c r="AM357" s="116">
        <v>29</v>
      </c>
      <c r="AN357" s="116">
        <v>6732866</v>
      </c>
      <c r="AO357" s="116">
        <v>452</v>
      </c>
      <c r="AP357" s="116">
        <v>104552915</v>
      </c>
      <c r="AQ357" s="116">
        <f t="shared" si="48"/>
        <v>791.94</v>
      </c>
      <c r="AR357" s="116">
        <f t="shared" si="49"/>
        <v>181417615.20000005</v>
      </c>
      <c r="AS357" s="118">
        <v>0.53581867388362658</v>
      </c>
    </row>
    <row r="358" spans="2:45" x14ac:dyDescent="0.3">
      <c r="B358" s="126" t="s">
        <v>497</v>
      </c>
      <c r="C358" s="98" t="str">
        <f t="shared" si="50"/>
        <v>DJ9F0</v>
      </c>
      <c r="D358" s="98" t="s">
        <v>55</v>
      </c>
      <c r="E358" s="98" t="str">
        <f t="shared" si="44"/>
        <v>W</v>
      </c>
      <c r="F358" s="98" t="str">
        <f t="shared" si="45"/>
        <v>DJ</v>
      </c>
      <c r="G358" s="98" t="s">
        <v>56</v>
      </c>
      <c r="H358" s="115" t="s">
        <v>498</v>
      </c>
      <c r="I358" s="98" t="s">
        <v>79</v>
      </c>
      <c r="J358" s="115" t="str">
        <f t="shared" si="51"/>
        <v/>
      </c>
      <c r="K358" s="115">
        <v>1</v>
      </c>
      <c r="L358" s="116">
        <v>249000</v>
      </c>
      <c r="M358" s="78" t="s">
        <v>477</v>
      </c>
      <c r="N358" s="98" t="s">
        <v>500</v>
      </c>
      <c r="O358" s="98" t="s">
        <v>143</v>
      </c>
      <c r="P358" s="98">
        <v>100</v>
      </c>
      <c r="Q358" s="32" t="s">
        <v>62</v>
      </c>
      <c r="R358" s="98" t="s">
        <v>392</v>
      </c>
      <c r="S358" s="32" t="s">
        <v>501</v>
      </c>
      <c r="T358" s="98" t="s">
        <v>65</v>
      </c>
      <c r="U358" s="98"/>
      <c r="V358" s="98"/>
      <c r="W358" s="98"/>
      <c r="X358" s="78" t="s">
        <v>67</v>
      </c>
      <c r="Y358" s="98" t="s">
        <v>68</v>
      </c>
      <c r="Z358" s="32" t="s">
        <v>125</v>
      </c>
      <c r="AA358" s="32" t="s">
        <v>90</v>
      </c>
      <c r="AB358" s="78" t="s">
        <v>71</v>
      </c>
      <c r="AC358" s="98" t="s">
        <v>62</v>
      </c>
      <c r="AD358" s="98" t="s">
        <v>72</v>
      </c>
      <c r="AE358" s="65" t="s">
        <v>137</v>
      </c>
      <c r="AF358" s="39" t="s">
        <v>502</v>
      </c>
      <c r="AG358" s="98" t="s">
        <v>75</v>
      </c>
      <c r="AH358" s="115">
        <v>650</v>
      </c>
      <c r="AI358" s="117" t="s">
        <v>76</v>
      </c>
      <c r="AJ358" s="115" t="s">
        <v>77</v>
      </c>
      <c r="AK358" s="73">
        <v>986</v>
      </c>
      <c r="AL358" s="116">
        <f t="shared" si="47"/>
        <v>245514000</v>
      </c>
      <c r="AM358" s="116">
        <v>36</v>
      </c>
      <c r="AN358" s="116">
        <v>8265712</v>
      </c>
      <c r="AO358" s="116">
        <v>484</v>
      </c>
      <c r="AP358" s="116">
        <v>111523754</v>
      </c>
      <c r="AQ358" s="116">
        <f t="shared" si="48"/>
        <v>710.78</v>
      </c>
      <c r="AR358" s="116">
        <f t="shared" si="49"/>
        <v>162825482.40000001</v>
      </c>
      <c r="AS358" s="118">
        <v>0.72087221095334686</v>
      </c>
    </row>
    <row r="359" spans="2:45" x14ac:dyDescent="0.3">
      <c r="B359" s="126" t="s">
        <v>503</v>
      </c>
      <c r="C359" s="98" t="str">
        <f t="shared" si="50"/>
        <v>DJ920</v>
      </c>
      <c r="D359" s="98" t="s">
        <v>55</v>
      </c>
      <c r="E359" s="98" t="str">
        <f t="shared" si="44"/>
        <v>W</v>
      </c>
      <c r="F359" s="98" t="str">
        <f t="shared" si="45"/>
        <v>DJ</v>
      </c>
      <c r="G359" s="98" t="s">
        <v>56</v>
      </c>
      <c r="H359" s="115" t="s">
        <v>504</v>
      </c>
      <c r="I359" s="98" t="s">
        <v>79</v>
      </c>
      <c r="J359" s="115">
        <f t="shared" si="51"/>
        <v>1</v>
      </c>
      <c r="K359" s="115">
        <v>1</v>
      </c>
      <c r="L359" s="116">
        <v>299000</v>
      </c>
      <c r="M359" s="78" t="s">
        <v>83</v>
      </c>
      <c r="N359" s="98" t="s">
        <v>505</v>
      </c>
      <c r="O359" s="98" t="s">
        <v>485</v>
      </c>
      <c r="P359" s="98">
        <v>100</v>
      </c>
      <c r="Q359" s="32" t="s">
        <v>85</v>
      </c>
      <c r="R359" s="98" t="s">
        <v>86</v>
      </c>
      <c r="S359" s="32" t="s">
        <v>87</v>
      </c>
      <c r="T359" s="98" t="s">
        <v>65</v>
      </c>
      <c r="U359" s="98"/>
      <c r="V359" s="98" t="s">
        <v>66</v>
      </c>
      <c r="W359" s="98"/>
      <c r="X359" s="78" t="s">
        <v>67</v>
      </c>
      <c r="Y359" s="98" t="s">
        <v>88</v>
      </c>
      <c r="Z359" s="32" t="s">
        <v>125</v>
      </c>
      <c r="AA359" s="32" t="s">
        <v>90</v>
      </c>
      <c r="AB359" s="78" t="s">
        <v>91</v>
      </c>
      <c r="AC359" s="69" t="s">
        <v>92</v>
      </c>
      <c r="AD359" s="69" t="s">
        <v>506</v>
      </c>
      <c r="AE359" s="65" t="s">
        <v>137</v>
      </c>
      <c r="AF359" s="39" t="s">
        <v>175</v>
      </c>
      <c r="AG359" s="98" t="s">
        <v>75</v>
      </c>
      <c r="AH359" s="115">
        <v>650</v>
      </c>
      <c r="AI359" s="117" t="s">
        <v>76</v>
      </c>
      <c r="AJ359" s="115" t="s">
        <v>94</v>
      </c>
      <c r="AK359" s="73">
        <v>990</v>
      </c>
      <c r="AL359" s="116">
        <f t="shared" si="47"/>
        <v>296010000</v>
      </c>
      <c r="AM359" s="116">
        <v>53</v>
      </c>
      <c r="AN359" s="116">
        <v>14860666</v>
      </c>
      <c r="AO359" s="116">
        <v>655</v>
      </c>
      <c r="AP359" s="116">
        <v>184420517</v>
      </c>
      <c r="AQ359" s="116">
        <f t="shared" si="48"/>
        <v>882.7</v>
      </c>
      <c r="AR359" s="116">
        <f t="shared" si="49"/>
        <v>242813116</v>
      </c>
      <c r="AS359" s="118">
        <v>0.89161616161616164</v>
      </c>
    </row>
    <row r="360" spans="2:45" x14ac:dyDescent="0.3">
      <c r="B360" s="126" t="s">
        <v>503</v>
      </c>
      <c r="C360" s="98" t="str">
        <f t="shared" si="50"/>
        <v>DJ920</v>
      </c>
      <c r="D360" s="98" t="s">
        <v>55</v>
      </c>
      <c r="E360" s="98" t="str">
        <f t="shared" si="44"/>
        <v>W</v>
      </c>
      <c r="F360" s="98" t="str">
        <f t="shared" si="45"/>
        <v>DJ</v>
      </c>
      <c r="G360" s="98" t="s">
        <v>56</v>
      </c>
      <c r="H360" s="115" t="s">
        <v>504</v>
      </c>
      <c r="I360" s="98" t="s">
        <v>163</v>
      </c>
      <c r="J360" s="115" t="str">
        <f t="shared" si="51"/>
        <v/>
      </c>
      <c r="K360" s="115">
        <v>1</v>
      </c>
      <c r="L360" s="116">
        <v>299000</v>
      </c>
      <c r="M360" s="78" t="s">
        <v>83</v>
      </c>
      <c r="N360" s="98" t="s">
        <v>505</v>
      </c>
      <c r="O360" s="98" t="s">
        <v>485</v>
      </c>
      <c r="P360" s="98">
        <v>100</v>
      </c>
      <c r="Q360" s="32" t="s">
        <v>85</v>
      </c>
      <c r="R360" s="98" t="s">
        <v>86</v>
      </c>
      <c r="S360" s="32" t="s">
        <v>87</v>
      </c>
      <c r="T360" s="98" t="s">
        <v>65</v>
      </c>
      <c r="U360" s="98"/>
      <c r="V360" s="98" t="s">
        <v>66</v>
      </c>
      <c r="W360" s="98"/>
      <c r="X360" s="78" t="s">
        <v>67</v>
      </c>
      <c r="Y360" s="98" t="s">
        <v>88</v>
      </c>
      <c r="Z360" s="32" t="s">
        <v>125</v>
      </c>
      <c r="AA360" s="32" t="s">
        <v>90</v>
      </c>
      <c r="AB360" s="78" t="s">
        <v>91</v>
      </c>
      <c r="AC360" s="69" t="s">
        <v>92</v>
      </c>
      <c r="AD360" s="69" t="s">
        <v>506</v>
      </c>
      <c r="AE360" s="65" t="s">
        <v>137</v>
      </c>
      <c r="AF360" s="39" t="s">
        <v>175</v>
      </c>
      <c r="AG360" s="98" t="s">
        <v>75</v>
      </c>
      <c r="AH360" s="115">
        <v>650</v>
      </c>
      <c r="AI360" s="117" t="s">
        <v>76</v>
      </c>
      <c r="AJ360" s="115" t="s">
        <v>94</v>
      </c>
      <c r="AK360" s="73">
        <v>1497</v>
      </c>
      <c r="AL360" s="116">
        <f t="shared" si="47"/>
        <v>447603000</v>
      </c>
      <c r="AM360" s="116">
        <v>80</v>
      </c>
      <c r="AN360" s="116">
        <v>22406285</v>
      </c>
      <c r="AO360" s="116">
        <v>766</v>
      </c>
      <c r="AP360" s="116">
        <v>216269369</v>
      </c>
      <c r="AQ360" s="116">
        <f t="shared" si="48"/>
        <v>1110.31</v>
      </c>
      <c r="AR360" s="116">
        <f t="shared" si="49"/>
        <v>305424074.80000001</v>
      </c>
      <c r="AS360" s="118">
        <v>0.74169004676018702</v>
      </c>
    </row>
    <row r="361" spans="2:45" x14ac:dyDescent="0.3">
      <c r="B361" s="126" t="s">
        <v>503</v>
      </c>
      <c r="C361" s="98" t="str">
        <f t="shared" si="50"/>
        <v>DJ920</v>
      </c>
      <c r="D361" s="98" t="s">
        <v>55</v>
      </c>
      <c r="E361" s="98" t="str">
        <f t="shared" si="44"/>
        <v>W</v>
      </c>
      <c r="F361" s="98" t="str">
        <f t="shared" si="45"/>
        <v>DJ</v>
      </c>
      <c r="G361" s="98" t="s">
        <v>56</v>
      </c>
      <c r="H361" s="115" t="s">
        <v>504</v>
      </c>
      <c r="I361" s="98" t="s">
        <v>78</v>
      </c>
      <c r="J361" s="115" t="str">
        <f t="shared" si="51"/>
        <v/>
      </c>
      <c r="K361" s="115">
        <v>1</v>
      </c>
      <c r="L361" s="116">
        <v>299000</v>
      </c>
      <c r="M361" s="78" t="s">
        <v>83</v>
      </c>
      <c r="N361" s="98" t="s">
        <v>505</v>
      </c>
      <c r="O361" s="98" t="s">
        <v>485</v>
      </c>
      <c r="P361" s="98">
        <v>100</v>
      </c>
      <c r="Q361" s="32" t="s">
        <v>85</v>
      </c>
      <c r="R361" s="98" t="s">
        <v>86</v>
      </c>
      <c r="S361" s="32" t="s">
        <v>87</v>
      </c>
      <c r="T361" s="98" t="s">
        <v>65</v>
      </c>
      <c r="U361" s="98"/>
      <c r="V361" s="98" t="s">
        <v>66</v>
      </c>
      <c r="W361" s="98"/>
      <c r="X361" s="78" t="s">
        <v>67</v>
      </c>
      <c r="Y361" s="98" t="s">
        <v>88</v>
      </c>
      <c r="Z361" s="32" t="s">
        <v>125</v>
      </c>
      <c r="AA361" s="32" t="s">
        <v>90</v>
      </c>
      <c r="AB361" s="78" t="s">
        <v>91</v>
      </c>
      <c r="AC361" s="69" t="s">
        <v>92</v>
      </c>
      <c r="AD361" s="69" t="s">
        <v>506</v>
      </c>
      <c r="AE361" s="65" t="s">
        <v>137</v>
      </c>
      <c r="AF361" s="39" t="s">
        <v>175</v>
      </c>
      <c r="AG361" s="98" t="s">
        <v>75</v>
      </c>
      <c r="AH361" s="115">
        <v>650</v>
      </c>
      <c r="AI361" s="117" t="s">
        <v>76</v>
      </c>
      <c r="AJ361" s="115" t="s">
        <v>94</v>
      </c>
      <c r="AK361" s="72">
        <f>2997+600</f>
        <v>3597</v>
      </c>
      <c r="AL361" s="116">
        <f t="shared" si="47"/>
        <v>1075503000</v>
      </c>
      <c r="AM361" s="116">
        <v>189</v>
      </c>
      <c r="AN361" s="116">
        <v>52427386</v>
      </c>
      <c r="AO361" s="116">
        <v>1918</v>
      </c>
      <c r="AP361" s="116">
        <v>541777479</v>
      </c>
      <c r="AQ361" s="116">
        <f t="shared" si="48"/>
        <v>3417.1499999999996</v>
      </c>
      <c r="AR361" s="116">
        <f t="shared" si="49"/>
        <v>939989622</v>
      </c>
      <c r="AS361" s="70">
        <v>0.95</v>
      </c>
    </row>
    <row r="362" spans="2:45" x14ac:dyDescent="0.3">
      <c r="B362" s="126" t="s">
        <v>507</v>
      </c>
      <c r="C362" s="98" t="str">
        <f t="shared" si="50"/>
        <v>DJ9H0</v>
      </c>
      <c r="D362" s="98" t="s">
        <v>55</v>
      </c>
      <c r="E362" s="98" t="str">
        <f t="shared" si="44"/>
        <v>W</v>
      </c>
      <c r="F362" s="98" t="str">
        <f t="shared" si="45"/>
        <v>DJ</v>
      </c>
      <c r="G362" s="98" t="s">
        <v>56</v>
      </c>
      <c r="H362" s="115" t="s">
        <v>508</v>
      </c>
      <c r="I362" s="98" t="s">
        <v>78</v>
      </c>
      <c r="J362" s="115">
        <f t="shared" si="51"/>
        <v>1</v>
      </c>
      <c r="K362" s="115">
        <v>1</v>
      </c>
      <c r="L362" s="116">
        <v>319000</v>
      </c>
      <c r="M362" s="78" t="s">
        <v>509</v>
      </c>
      <c r="N362" s="98" t="s">
        <v>510</v>
      </c>
      <c r="O362" s="98" t="s">
        <v>143</v>
      </c>
      <c r="P362" s="98">
        <v>100</v>
      </c>
      <c r="Q362" s="32" t="s">
        <v>62</v>
      </c>
      <c r="R362" s="98" t="s">
        <v>63</v>
      </c>
      <c r="S362" s="32" t="s">
        <v>72</v>
      </c>
      <c r="T362" s="98" t="s">
        <v>65</v>
      </c>
      <c r="U362" s="98"/>
      <c r="V362" s="98" t="s">
        <v>66</v>
      </c>
      <c r="W362" s="98"/>
      <c r="X362" s="78" t="s">
        <v>67</v>
      </c>
      <c r="Y362" s="98" t="s">
        <v>68</v>
      </c>
      <c r="Z362" s="32" t="s">
        <v>238</v>
      </c>
      <c r="AA362" s="32" t="s">
        <v>90</v>
      </c>
      <c r="AB362" s="78" t="s">
        <v>71</v>
      </c>
      <c r="AC362" s="98" t="s">
        <v>62</v>
      </c>
      <c r="AD362" s="98" t="s">
        <v>72</v>
      </c>
      <c r="AE362" s="65" t="s">
        <v>137</v>
      </c>
      <c r="AF362" s="39" t="s">
        <v>106</v>
      </c>
      <c r="AG362" s="98" t="s">
        <v>75</v>
      </c>
      <c r="AH362" s="115">
        <v>650</v>
      </c>
      <c r="AI362" s="117" t="s">
        <v>76</v>
      </c>
      <c r="AJ362" s="115" t="s">
        <v>100</v>
      </c>
      <c r="AK362" s="73">
        <v>2471</v>
      </c>
      <c r="AL362" s="116">
        <f t="shared" si="47"/>
        <v>788249000</v>
      </c>
      <c r="AM362" s="116">
        <v>119</v>
      </c>
      <c r="AN362" s="116">
        <v>28627289</v>
      </c>
      <c r="AO362" s="116">
        <v>788</v>
      </c>
      <c r="AP362" s="116">
        <v>227659673</v>
      </c>
      <c r="AQ362" s="116">
        <f t="shared" si="48"/>
        <v>1356.33</v>
      </c>
      <c r="AR362" s="116">
        <f t="shared" si="49"/>
        <v>398055728.40000004</v>
      </c>
      <c r="AS362" s="118">
        <v>0.54889923108053418</v>
      </c>
    </row>
    <row r="363" spans="2:45" x14ac:dyDescent="0.3">
      <c r="B363" s="126" t="s">
        <v>511</v>
      </c>
      <c r="C363" s="98" t="str">
        <f t="shared" si="50"/>
        <v>DJ9H0</v>
      </c>
      <c r="D363" s="98" t="s">
        <v>55</v>
      </c>
      <c r="E363" s="98" t="str">
        <f t="shared" si="44"/>
        <v>W</v>
      </c>
      <c r="F363" s="98" t="str">
        <f t="shared" si="45"/>
        <v>DJ</v>
      </c>
      <c r="G363" s="98" t="s">
        <v>56</v>
      </c>
      <c r="H363" s="115" t="s">
        <v>508</v>
      </c>
      <c r="I363" s="98" t="s">
        <v>209</v>
      </c>
      <c r="J363" s="115" t="str">
        <f t="shared" si="51"/>
        <v/>
      </c>
      <c r="K363" s="115">
        <v>1</v>
      </c>
      <c r="L363" s="116">
        <v>319000</v>
      </c>
      <c r="M363" s="78" t="s">
        <v>509</v>
      </c>
      <c r="N363" s="98" t="s">
        <v>510</v>
      </c>
      <c r="O363" s="98" t="s">
        <v>143</v>
      </c>
      <c r="P363" s="98">
        <v>100</v>
      </c>
      <c r="Q363" s="32" t="s">
        <v>62</v>
      </c>
      <c r="R363" s="98" t="s">
        <v>63</v>
      </c>
      <c r="S363" s="32" t="s">
        <v>72</v>
      </c>
      <c r="T363" s="98" t="s">
        <v>65</v>
      </c>
      <c r="U363" s="98"/>
      <c r="V363" s="98" t="s">
        <v>66</v>
      </c>
      <c r="W363" s="98"/>
      <c r="X363" s="78" t="s">
        <v>67</v>
      </c>
      <c r="Y363" s="98" t="s">
        <v>68</v>
      </c>
      <c r="Z363" s="32" t="s">
        <v>238</v>
      </c>
      <c r="AA363" s="32" t="s">
        <v>90</v>
      </c>
      <c r="AB363" s="78" t="s">
        <v>71</v>
      </c>
      <c r="AC363" s="98" t="s">
        <v>62</v>
      </c>
      <c r="AD363" s="98" t="s">
        <v>72</v>
      </c>
      <c r="AE363" s="65" t="s">
        <v>137</v>
      </c>
      <c r="AF363" s="39" t="s">
        <v>106</v>
      </c>
      <c r="AG363" s="98" t="s">
        <v>75</v>
      </c>
      <c r="AH363" s="115">
        <v>650</v>
      </c>
      <c r="AI363" s="117" t="s">
        <v>76</v>
      </c>
      <c r="AJ363" s="115" t="s">
        <v>100</v>
      </c>
      <c r="AK363" s="73">
        <v>475</v>
      </c>
      <c r="AL363" s="116">
        <f t="shared" si="47"/>
        <v>151525000</v>
      </c>
      <c r="AM363" s="116">
        <v>18</v>
      </c>
      <c r="AN363" s="116">
        <v>4284380</v>
      </c>
      <c r="AO363" s="116">
        <v>103</v>
      </c>
      <c r="AP363" s="116">
        <v>29308260</v>
      </c>
      <c r="AQ363" s="116">
        <f t="shared" si="48"/>
        <v>212.25000000000003</v>
      </c>
      <c r="AR363" s="116">
        <f t="shared" si="49"/>
        <v>62291130</v>
      </c>
      <c r="AS363" s="118">
        <v>0.44684210526315793</v>
      </c>
    </row>
    <row r="364" spans="2:45" x14ac:dyDescent="0.3">
      <c r="B364" s="126" t="s">
        <v>511</v>
      </c>
      <c r="C364" s="98" t="str">
        <f t="shared" si="50"/>
        <v>DJ9H0</v>
      </c>
      <c r="D364" s="98" t="s">
        <v>55</v>
      </c>
      <c r="E364" s="98" t="str">
        <f t="shared" si="44"/>
        <v>W</v>
      </c>
      <c r="F364" s="98" t="str">
        <f t="shared" si="45"/>
        <v>DJ</v>
      </c>
      <c r="G364" s="98" t="s">
        <v>56</v>
      </c>
      <c r="H364" s="115" t="s">
        <v>508</v>
      </c>
      <c r="I364" s="98" t="s">
        <v>163</v>
      </c>
      <c r="J364" s="115" t="str">
        <f t="shared" si="51"/>
        <v/>
      </c>
      <c r="K364" s="115">
        <v>1</v>
      </c>
      <c r="L364" s="116">
        <v>319000</v>
      </c>
      <c r="M364" s="78" t="s">
        <v>509</v>
      </c>
      <c r="N364" s="98" t="s">
        <v>510</v>
      </c>
      <c r="O364" s="98" t="s">
        <v>143</v>
      </c>
      <c r="P364" s="98">
        <v>100</v>
      </c>
      <c r="Q364" s="32" t="s">
        <v>62</v>
      </c>
      <c r="R364" s="98" t="s">
        <v>63</v>
      </c>
      <c r="S364" s="32" t="s">
        <v>72</v>
      </c>
      <c r="T364" s="98" t="s">
        <v>65</v>
      </c>
      <c r="U364" s="98"/>
      <c r="V364" s="98" t="s">
        <v>66</v>
      </c>
      <c r="W364" s="98"/>
      <c r="X364" s="78" t="s">
        <v>67</v>
      </c>
      <c r="Y364" s="98" t="s">
        <v>68</v>
      </c>
      <c r="Z364" s="32" t="s">
        <v>238</v>
      </c>
      <c r="AA364" s="32" t="s">
        <v>90</v>
      </c>
      <c r="AB364" s="78" t="s">
        <v>71</v>
      </c>
      <c r="AC364" s="98" t="s">
        <v>62</v>
      </c>
      <c r="AD364" s="98" t="s">
        <v>72</v>
      </c>
      <c r="AE364" s="65" t="s">
        <v>137</v>
      </c>
      <c r="AF364" s="39" t="s">
        <v>106</v>
      </c>
      <c r="AG364" s="98" t="s">
        <v>75</v>
      </c>
      <c r="AH364" s="115">
        <v>650</v>
      </c>
      <c r="AI364" s="117" t="s">
        <v>76</v>
      </c>
      <c r="AJ364" s="115" t="s">
        <v>100</v>
      </c>
      <c r="AK364" s="73">
        <v>1265</v>
      </c>
      <c r="AL364" s="116">
        <f t="shared" si="47"/>
        <v>403535000</v>
      </c>
      <c r="AM364" s="116">
        <v>32</v>
      </c>
      <c r="AN364" s="116">
        <v>7825886</v>
      </c>
      <c r="AO364" s="116">
        <v>204</v>
      </c>
      <c r="AP364" s="116">
        <v>58760974</v>
      </c>
      <c r="AQ364" s="116">
        <f t="shared" si="48"/>
        <v>494.95000000000005</v>
      </c>
      <c r="AR364" s="116">
        <f t="shared" si="49"/>
        <v>145257926.00000003</v>
      </c>
      <c r="AS364" s="118">
        <v>0.3912648221343874</v>
      </c>
    </row>
    <row r="365" spans="2:45" x14ac:dyDescent="0.3">
      <c r="B365" s="126" t="s">
        <v>512</v>
      </c>
      <c r="C365" s="98" t="str">
        <f t="shared" si="50"/>
        <v>DJ9I0</v>
      </c>
      <c r="D365" s="98" t="s">
        <v>55</v>
      </c>
      <c r="E365" s="98" t="str">
        <f t="shared" si="44"/>
        <v>W</v>
      </c>
      <c r="F365" s="98" t="str">
        <f t="shared" si="45"/>
        <v>DJ</v>
      </c>
      <c r="G365" s="98" t="s">
        <v>56</v>
      </c>
      <c r="H365" s="115" t="s">
        <v>513</v>
      </c>
      <c r="I365" s="98" t="s">
        <v>260</v>
      </c>
      <c r="J365" s="115">
        <f t="shared" si="51"/>
        <v>1</v>
      </c>
      <c r="K365" s="115">
        <v>1</v>
      </c>
      <c r="L365" s="116">
        <v>339000</v>
      </c>
      <c r="M365" s="78" t="s">
        <v>83</v>
      </c>
      <c r="N365" s="98" t="s">
        <v>505</v>
      </c>
      <c r="O365" s="98" t="s">
        <v>485</v>
      </c>
      <c r="P365" s="98">
        <v>100</v>
      </c>
      <c r="Q365" s="32" t="s">
        <v>85</v>
      </c>
      <c r="R365" s="98" t="s">
        <v>86</v>
      </c>
      <c r="S365" s="32" t="s">
        <v>87</v>
      </c>
      <c r="T365" s="98" t="s">
        <v>65</v>
      </c>
      <c r="U365" s="98"/>
      <c r="V365" s="98" t="s">
        <v>66</v>
      </c>
      <c r="W365" s="98"/>
      <c r="X365" s="78" t="s">
        <v>67</v>
      </c>
      <c r="Y365" s="98" t="s">
        <v>88</v>
      </c>
      <c r="Z365" s="32" t="s">
        <v>125</v>
      </c>
      <c r="AA365" s="32" t="s">
        <v>90</v>
      </c>
      <c r="AB365" s="78" t="s">
        <v>91</v>
      </c>
      <c r="AC365" s="69" t="s">
        <v>92</v>
      </c>
      <c r="AD365" s="69" t="s">
        <v>506</v>
      </c>
      <c r="AE365" s="65" t="s">
        <v>137</v>
      </c>
      <c r="AF365" s="39" t="s">
        <v>514</v>
      </c>
      <c r="AG365" s="98" t="s">
        <v>75</v>
      </c>
      <c r="AH365" s="115">
        <v>650</v>
      </c>
      <c r="AI365" s="117" t="s">
        <v>76</v>
      </c>
      <c r="AJ365" s="115" t="s">
        <v>108</v>
      </c>
      <c r="AK365" s="73">
        <v>887</v>
      </c>
      <c r="AL365" s="116">
        <f t="shared" si="47"/>
        <v>300693000</v>
      </c>
      <c r="AM365" s="116">
        <v>29</v>
      </c>
      <c r="AN365" s="116">
        <v>7202010</v>
      </c>
      <c r="AO365" s="116">
        <v>158</v>
      </c>
      <c r="AP365" s="116">
        <v>48336309</v>
      </c>
      <c r="AQ365" s="116">
        <f t="shared" si="48"/>
        <v>362.01</v>
      </c>
      <c r="AR365" s="116">
        <f t="shared" si="49"/>
        <v>112903678.80000001</v>
      </c>
      <c r="AS365" s="118">
        <v>0.40812852311161218</v>
      </c>
    </row>
    <row r="366" spans="2:45" x14ac:dyDescent="0.3">
      <c r="B366" s="126" t="s">
        <v>512</v>
      </c>
      <c r="C366" s="98" t="str">
        <f t="shared" si="50"/>
        <v>DJ9I0</v>
      </c>
      <c r="D366" s="98" t="s">
        <v>55</v>
      </c>
      <c r="E366" s="98" t="str">
        <f t="shared" si="44"/>
        <v>W</v>
      </c>
      <c r="F366" s="98" t="str">
        <f t="shared" si="45"/>
        <v>DJ</v>
      </c>
      <c r="G366" s="98" t="s">
        <v>56</v>
      </c>
      <c r="H366" s="115" t="s">
        <v>513</v>
      </c>
      <c r="I366" s="98" t="s">
        <v>78</v>
      </c>
      <c r="J366" s="115" t="str">
        <f t="shared" si="51"/>
        <v/>
      </c>
      <c r="K366" s="115">
        <v>1</v>
      </c>
      <c r="L366" s="116">
        <v>339000</v>
      </c>
      <c r="M366" s="78" t="s">
        <v>83</v>
      </c>
      <c r="N366" s="98" t="s">
        <v>505</v>
      </c>
      <c r="O366" s="98" t="s">
        <v>485</v>
      </c>
      <c r="P366" s="98">
        <v>100</v>
      </c>
      <c r="Q366" s="32" t="s">
        <v>85</v>
      </c>
      <c r="R366" s="98" t="s">
        <v>86</v>
      </c>
      <c r="S366" s="32" t="s">
        <v>87</v>
      </c>
      <c r="T366" s="98" t="s">
        <v>65</v>
      </c>
      <c r="U366" s="98"/>
      <c r="V366" s="98" t="s">
        <v>66</v>
      </c>
      <c r="W366" s="98"/>
      <c r="X366" s="78" t="s">
        <v>67</v>
      </c>
      <c r="Y366" s="98" t="s">
        <v>88</v>
      </c>
      <c r="Z366" s="32" t="s">
        <v>125</v>
      </c>
      <c r="AA366" s="32" t="s">
        <v>90</v>
      </c>
      <c r="AB366" s="78" t="s">
        <v>91</v>
      </c>
      <c r="AC366" s="69" t="s">
        <v>92</v>
      </c>
      <c r="AD366" s="69" t="s">
        <v>506</v>
      </c>
      <c r="AE366" s="65" t="s">
        <v>137</v>
      </c>
      <c r="AF366" s="39" t="s">
        <v>514</v>
      </c>
      <c r="AG366" s="98" t="s">
        <v>75</v>
      </c>
      <c r="AH366" s="115">
        <v>650</v>
      </c>
      <c r="AI366" s="117" t="s">
        <v>76</v>
      </c>
      <c r="AJ366" s="115" t="s">
        <v>108</v>
      </c>
      <c r="AK366" s="73">
        <v>2194</v>
      </c>
      <c r="AL366" s="116">
        <f t="shared" si="47"/>
        <v>743766000</v>
      </c>
      <c r="AM366" s="116">
        <v>194</v>
      </c>
      <c r="AN366" s="116">
        <v>50099069</v>
      </c>
      <c r="AO366" s="116">
        <v>784</v>
      </c>
      <c r="AP366" s="116">
        <v>238572743</v>
      </c>
      <c r="AQ366" s="116">
        <f t="shared" si="48"/>
        <v>1288.6200000000001</v>
      </c>
      <c r="AR366" s="116">
        <f t="shared" si="49"/>
        <v>401894805.60000002</v>
      </c>
      <c r="AS366" s="118">
        <v>0.58733819507748408</v>
      </c>
    </row>
    <row r="367" spans="2:45" x14ac:dyDescent="0.3">
      <c r="B367" s="126" t="s">
        <v>512</v>
      </c>
      <c r="C367" s="98" t="str">
        <f t="shared" si="50"/>
        <v>DJ9I0</v>
      </c>
      <c r="D367" s="98" t="s">
        <v>55</v>
      </c>
      <c r="E367" s="98" t="str">
        <f t="shared" si="44"/>
        <v>W</v>
      </c>
      <c r="F367" s="98" t="str">
        <f t="shared" si="45"/>
        <v>DJ</v>
      </c>
      <c r="G367" s="98" t="s">
        <v>56</v>
      </c>
      <c r="H367" s="115" t="s">
        <v>513</v>
      </c>
      <c r="I367" s="98" t="s">
        <v>318</v>
      </c>
      <c r="J367" s="115" t="str">
        <f t="shared" si="51"/>
        <v/>
      </c>
      <c r="K367" s="115">
        <v>1</v>
      </c>
      <c r="L367" s="116">
        <v>339000</v>
      </c>
      <c r="M367" s="78" t="s">
        <v>83</v>
      </c>
      <c r="N367" s="98" t="s">
        <v>505</v>
      </c>
      <c r="O367" s="98" t="s">
        <v>485</v>
      </c>
      <c r="P367" s="98">
        <v>100</v>
      </c>
      <c r="Q367" s="32" t="s">
        <v>85</v>
      </c>
      <c r="R367" s="98" t="s">
        <v>86</v>
      </c>
      <c r="S367" s="32" t="s">
        <v>87</v>
      </c>
      <c r="T367" s="98" t="s">
        <v>65</v>
      </c>
      <c r="U367" s="98"/>
      <c r="V367" s="98" t="s">
        <v>66</v>
      </c>
      <c r="W367" s="98"/>
      <c r="X367" s="78" t="s">
        <v>67</v>
      </c>
      <c r="Y367" s="98" t="s">
        <v>88</v>
      </c>
      <c r="Z367" s="32" t="s">
        <v>125</v>
      </c>
      <c r="AA367" s="32" t="s">
        <v>90</v>
      </c>
      <c r="AB367" s="78" t="s">
        <v>91</v>
      </c>
      <c r="AC367" s="69" t="s">
        <v>92</v>
      </c>
      <c r="AD367" s="69" t="s">
        <v>506</v>
      </c>
      <c r="AE367" s="65" t="s">
        <v>137</v>
      </c>
      <c r="AF367" s="39" t="s">
        <v>514</v>
      </c>
      <c r="AG367" s="98" t="s">
        <v>75</v>
      </c>
      <c r="AH367" s="115">
        <v>650</v>
      </c>
      <c r="AI367" s="117" t="s">
        <v>76</v>
      </c>
      <c r="AJ367" s="115" t="s">
        <v>108</v>
      </c>
      <c r="AK367" s="73">
        <v>493</v>
      </c>
      <c r="AL367" s="116">
        <f t="shared" si="47"/>
        <v>167127000</v>
      </c>
      <c r="AM367" s="116">
        <v>20</v>
      </c>
      <c r="AN367" s="116">
        <v>5043192</v>
      </c>
      <c r="AO367" s="116">
        <v>105</v>
      </c>
      <c r="AP367" s="116">
        <v>32041117</v>
      </c>
      <c r="AQ367" s="116">
        <f t="shared" si="48"/>
        <v>218.39000000000001</v>
      </c>
      <c r="AR367" s="116">
        <f t="shared" si="49"/>
        <v>68111473.200000018</v>
      </c>
      <c r="AS367" s="118">
        <v>0.44298174442190674</v>
      </c>
    </row>
    <row r="368" spans="2:45" x14ac:dyDescent="0.3">
      <c r="B368" s="126" t="s">
        <v>515</v>
      </c>
      <c r="C368" s="98" t="str">
        <f t="shared" si="50"/>
        <v>DJ930</v>
      </c>
      <c r="D368" s="98" t="s">
        <v>55</v>
      </c>
      <c r="E368" s="98" t="str">
        <f t="shared" si="44"/>
        <v>W</v>
      </c>
      <c r="F368" s="98" t="str">
        <f t="shared" si="45"/>
        <v>DJ</v>
      </c>
      <c r="G368" s="98" t="s">
        <v>56</v>
      </c>
      <c r="H368" s="115" t="s">
        <v>516</v>
      </c>
      <c r="I368" s="98" t="s">
        <v>385</v>
      </c>
      <c r="J368" s="115">
        <f t="shared" si="51"/>
        <v>1</v>
      </c>
      <c r="K368" s="115">
        <v>1</v>
      </c>
      <c r="L368" s="116">
        <v>299000</v>
      </c>
      <c r="M368" s="78" t="s">
        <v>225</v>
      </c>
      <c r="N368" s="98" t="s">
        <v>517</v>
      </c>
      <c r="O368" s="98" t="s">
        <v>143</v>
      </c>
      <c r="P368" s="98">
        <v>100</v>
      </c>
      <c r="Q368" s="32" t="s">
        <v>144</v>
      </c>
      <c r="R368" s="98" t="s">
        <v>518</v>
      </c>
      <c r="S368" s="32" t="s">
        <v>519</v>
      </c>
      <c r="T368" s="98" t="s">
        <v>122</v>
      </c>
      <c r="U368" s="98" t="s">
        <v>332</v>
      </c>
      <c r="V368" s="98" t="s">
        <v>66</v>
      </c>
      <c r="W368" s="98"/>
      <c r="X368" s="78" t="s">
        <v>67</v>
      </c>
      <c r="Y368" s="98" t="s">
        <v>68</v>
      </c>
      <c r="Z368" s="32" t="s">
        <v>441</v>
      </c>
      <c r="AA368" s="32" t="s">
        <v>353</v>
      </c>
      <c r="AB368" s="78" t="s">
        <v>71</v>
      </c>
      <c r="AC368" s="98" t="s">
        <v>62</v>
      </c>
      <c r="AD368" s="98" t="s">
        <v>72</v>
      </c>
      <c r="AE368" s="65" t="s">
        <v>137</v>
      </c>
      <c r="AF368" s="39" t="s">
        <v>106</v>
      </c>
      <c r="AG368" s="98" t="s">
        <v>127</v>
      </c>
      <c r="AH368" s="115">
        <v>650</v>
      </c>
      <c r="AI368" s="117" t="s">
        <v>128</v>
      </c>
      <c r="AJ368" s="115" t="s">
        <v>94</v>
      </c>
      <c r="AK368" s="72">
        <f>2007+1500</f>
        <v>3507</v>
      </c>
      <c r="AL368" s="116">
        <f t="shared" si="47"/>
        <v>1048593000</v>
      </c>
      <c r="AM368" s="116">
        <v>172</v>
      </c>
      <c r="AN368" s="116">
        <v>47963108</v>
      </c>
      <c r="AO368" s="116">
        <v>963</v>
      </c>
      <c r="AP368" s="116">
        <v>276625460</v>
      </c>
      <c r="AQ368" s="116">
        <f t="shared" si="48"/>
        <v>2980.95</v>
      </c>
      <c r="AR368" s="116">
        <f t="shared" si="49"/>
        <v>819999726</v>
      </c>
      <c r="AS368" s="70">
        <v>0.85</v>
      </c>
    </row>
    <row r="369" spans="2:45" x14ac:dyDescent="0.3">
      <c r="B369" s="126" t="s">
        <v>515</v>
      </c>
      <c r="C369" s="98" t="str">
        <f t="shared" si="50"/>
        <v>DJ930</v>
      </c>
      <c r="D369" s="98" t="s">
        <v>55</v>
      </c>
      <c r="E369" s="98" t="str">
        <f t="shared" si="44"/>
        <v>W</v>
      </c>
      <c r="F369" s="98" t="str">
        <f t="shared" si="45"/>
        <v>DJ</v>
      </c>
      <c r="G369" s="98" t="s">
        <v>56</v>
      </c>
      <c r="H369" s="115" t="s">
        <v>516</v>
      </c>
      <c r="I369" s="98" t="s">
        <v>176</v>
      </c>
      <c r="J369" s="115" t="str">
        <f t="shared" si="51"/>
        <v/>
      </c>
      <c r="K369" s="115">
        <v>1</v>
      </c>
      <c r="L369" s="116">
        <v>299000</v>
      </c>
      <c r="M369" s="78" t="s">
        <v>217</v>
      </c>
      <c r="N369" s="98" t="s">
        <v>218</v>
      </c>
      <c r="O369" s="98" t="s">
        <v>485</v>
      </c>
      <c r="P369" s="98">
        <v>100</v>
      </c>
      <c r="Q369" s="32" t="s">
        <v>219</v>
      </c>
      <c r="R369" s="98" t="s">
        <v>220</v>
      </c>
      <c r="S369" s="32" t="s">
        <v>221</v>
      </c>
      <c r="T369" s="98" t="s">
        <v>65</v>
      </c>
      <c r="U369" s="98"/>
      <c r="V369" s="98" t="s">
        <v>520</v>
      </c>
      <c r="W369" s="98"/>
      <c r="X369" s="78" t="s">
        <v>67</v>
      </c>
      <c r="Y369" s="98" t="s">
        <v>68</v>
      </c>
      <c r="Z369" s="32" t="s">
        <v>69</v>
      </c>
      <c r="AA369" s="32" t="s">
        <v>70</v>
      </c>
      <c r="AB369" s="78" t="s">
        <v>71</v>
      </c>
      <c r="AC369" s="98" t="s">
        <v>62</v>
      </c>
      <c r="AD369" s="98" t="s">
        <v>72</v>
      </c>
      <c r="AE369" s="65" t="s">
        <v>137</v>
      </c>
      <c r="AF369" s="39" t="s">
        <v>106</v>
      </c>
      <c r="AG369" s="98" t="s">
        <v>127</v>
      </c>
      <c r="AH369" s="115">
        <v>650</v>
      </c>
      <c r="AI369" s="117" t="s">
        <v>128</v>
      </c>
      <c r="AJ369" s="115" t="s">
        <v>94</v>
      </c>
      <c r="AK369" s="73">
        <v>2530</v>
      </c>
      <c r="AL369" s="116">
        <f t="shared" si="47"/>
        <v>756470000</v>
      </c>
      <c r="AM369" s="116">
        <v>35</v>
      </c>
      <c r="AN369" s="116">
        <v>9836163</v>
      </c>
      <c r="AO369" s="116">
        <v>210</v>
      </c>
      <c r="AP369" s="116">
        <v>60474340</v>
      </c>
      <c r="AQ369" s="116">
        <f t="shared" si="48"/>
        <v>969</v>
      </c>
      <c r="AR369" s="116">
        <f t="shared" si="49"/>
        <v>266552520</v>
      </c>
      <c r="AS369" s="118">
        <v>0.38300395256916997</v>
      </c>
    </row>
    <row r="370" spans="2:45" x14ac:dyDescent="0.3">
      <c r="B370" s="126" t="s">
        <v>515</v>
      </c>
      <c r="C370" s="98" t="str">
        <f t="shared" si="50"/>
        <v>DJ930</v>
      </c>
      <c r="D370" s="98" t="s">
        <v>55</v>
      </c>
      <c r="E370" s="98" t="str">
        <f t="shared" si="44"/>
        <v>W</v>
      </c>
      <c r="F370" s="98" t="str">
        <f t="shared" si="45"/>
        <v>DJ</v>
      </c>
      <c r="G370" s="98" t="s">
        <v>56</v>
      </c>
      <c r="H370" s="115" t="s">
        <v>516</v>
      </c>
      <c r="I370" s="98" t="s">
        <v>159</v>
      </c>
      <c r="J370" s="115" t="str">
        <f t="shared" si="51"/>
        <v/>
      </c>
      <c r="K370" s="115">
        <v>1</v>
      </c>
      <c r="L370" s="116">
        <v>299000</v>
      </c>
      <c r="M370" s="78" t="s">
        <v>521</v>
      </c>
      <c r="N370" s="98" t="s">
        <v>133</v>
      </c>
      <c r="O370" s="98" t="s">
        <v>485</v>
      </c>
      <c r="P370" s="98">
        <v>100</v>
      </c>
      <c r="Q370" s="32" t="s">
        <v>85</v>
      </c>
      <c r="R370" s="98" t="s">
        <v>134</v>
      </c>
      <c r="S370" s="32" t="s">
        <v>135</v>
      </c>
      <c r="T370" s="98" t="s">
        <v>122</v>
      </c>
      <c r="U370" s="98" t="s">
        <v>136</v>
      </c>
      <c r="V370" s="98"/>
      <c r="W370" s="98"/>
      <c r="X370" s="78" t="s">
        <v>67</v>
      </c>
      <c r="Y370" s="98" t="s">
        <v>68</v>
      </c>
      <c r="Z370" s="32" t="s">
        <v>89</v>
      </c>
      <c r="AA370" s="32" t="s">
        <v>90</v>
      </c>
      <c r="AB370" s="78" t="s">
        <v>71</v>
      </c>
      <c r="AC370" s="98" t="s">
        <v>62</v>
      </c>
      <c r="AD370" s="98" t="s">
        <v>72</v>
      </c>
      <c r="AE370" s="65" t="s">
        <v>137</v>
      </c>
      <c r="AF370" s="39" t="s">
        <v>106</v>
      </c>
      <c r="AG370" s="98" t="s">
        <v>127</v>
      </c>
      <c r="AH370" s="115">
        <v>650</v>
      </c>
      <c r="AI370" s="117" t="s">
        <v>128</v>
      </c>
      <c r="AJ370" s="115" t="s">
        <v>94</v>
      </c>
      <c r="AK370" s="72">
        <f>2009+500</f>
        <v>2509</v>
      </c>
      <c r="AL370" s="116">
        <f t="shared" si="47"/>
        <v>750191000</v>
      </c>
      <c r="AM370" s="116">
        <v>167</v>
      </c>
      <c r="AN370" s="116">
        <v>46437670</v>
      </c>
      <c r="AO370" s="116">
        <v>668</v>
      </c>
      <c r="AP370" s="116">
        <v>190773565</v>
      </c>
      <c r="AQ370" s="116">
        <f t="shared" si="48"/>
        <v>2132.65</v>
      </c>
      <c r="AR370" s="116">
        <f t="shared" si="49"/>
        <v>586649362</v>
      </c>
      <c r="AS370" s="70">
        <v>0.85</v>
      </c>
    </row>
    <row r="371" spans="2:45" x14ac:dyDescent="0.3">
      <c r="B371" s="126" t="s">
        <v>515</v>
      </c>
      <c r="C371" s="98" t="str">
        <f t="shared" si="50"/>
        <v>DJ930</v>
      </c>
      <c r="D371" s="98" t="s">
        <v>55</v>
      </c>
      <c r="E371" s="98" t="str">
        <f t="shared" si="44"/>
        <v>W</v>
      </c>
      <c r="F371" s="98" t="str">
        <f t="shared" si="45"/>
        <v>DJ</v>
      </c>
      <c r="G371" s="98" t="s">
        <v>56</v>
      </c>
      <c r="H371" s="115" t="s">
        <v>516</v>
      </c>
      <c r="I371" s="98" t="s">
        <v>140</v>
      </c>
      <c r="J371" s="115" t="str">
        <f t="shared" si="51"/>
        <v/>
      </c>
      <c r="K371" s="115">
        <v>1</v>
      </c>
      <c r="L371" s="116">
        <v>299000</v>
      </c>
      <c r="M371" s="78" t="s">
        <v>217</v>
      </c>
      <c r="N371" s="98" t="s">
        <v>218</v>
      </c>
      <c r="O371" s="98" t="s">
        <v>485</v>
      </c>
      <c r="P371" s="98">
        <v>100</v>
      </c>
      <c r="Q371" s="32" t="s">
        <v>219</v>
      </c>
      <c r="R371" s="98" t="s">
        <v>220</v>
      </c>
      <c r="S371" s="32" t="s">
        <v>221</v>
      </c>
      <c r="T371" s="98" t="s">
        <v>65</v>
      </c>
      <c r="U371" s="98"/>
      <c r="V371" s="98" t="s">
        <v>520</v>
      </c>
      <c r="W371" s="98"/>
      <c r="X371" s="78" t="s">
        <v>67</v>
      </c>
      <c r="Y371" s="98" t="s">
        <v>68</v>
      </c>
      <c r="Z371" s="32" t="s">
        <v>69</v>
      </c>
      <c r="AA371" s="32" t="s">
        <v>70</v>
      </c>
      <c r="AB371" s="78" t="s">
        <v>71</v>
      </c>
      <c r="AC371" s="98" t="s">
        <v>62</v>
      </c>
      <c r="AD371" s="98" t="s">
        <v>72</v>
      </c>
      <c r="AE371" s="65" t="s">
        <v>137</v>
      </c>
      <c r="AF371" s="39" t="s">
        <v>106</v>
      </c>
      <c r="AG371" s="98" t="s">
        <v>127</v>
      </c>
      <c r="AH371" s="115">
        <v>650</v>
      </c>
      <c r="AI371" s="117" t="s">
        <v>128</v>
      </c>
      <c r="AJ371" s="115" t="s">
        <v>94</v>
      </c>
      <c r="AK371" s="73">
        <v>3037</v>
      </c>
      <c r="AL371" s="116">
        <f t="shared" si="47"/>
        <v>908063000</v>
      </c>
      <c r="AM371" s="116">
        <v>56</v>
      </c>
      <c r="AN371" s="116">
        <v>15898092</v>
      </c>
      <c r="AO371" s="116">
        <v>275</v>
      </c>
      <c r="AP371" s="116">
        <v>78636514</v>
      </c>
      <c r="AQ371" s="116">
        <f t="shared" si="48"/>
        <v>1186.0999999999999</v>
      </c>
      <c r="AR371" s="116">
        <f t="shared" si="49"/>
        <v>326272388</v>
      </c>
      <c r="AS371" s="118">
        <v>0.3905498847546921</v>
      </c>
    </row>
    <row r="372" spans="2:45" x14ac:dyDescent="0.3">
      <c r="B372" s="126" t="s">
        <v>515</v>
      </c>
      <c r="C372" s="98" t="str">
        <f t="shared" si="50"/>
        <v>DJ930</v>
      </c>
      <c r="D372" s="98" t="s">
        <v>55</v>
      </c>
      <c r="E372" s="98" t="str">
        <f t="shared" si="44"/>
        <v>W</v>
      </c>
      <c r="F372" s="98" t="str">
        <f t="shared" si="45"/>
        <v>DJ</v>
      </c>
      <c r="G372" s="98" t="s">
        <v>56</v>
      </c>
      <c r="H372" s="115" t="s">
        <v>516</v>
      </c>
      <c r="I372" s="98" t="s">
        <v>522</v>
      </c>
      <c r="J372" s="115" t="str">
        <f t="shared" si="51"/>
        <v/>
      </c>
      <c r="K372" s="115">
        <v>1</v>
      </c>
      <c r="L372" s="116">
        <v>299000</v>
      </c>
      <c r="M372" s="78" t="s">
        <v>225</v>
      </c>
      <c r="N372" s="98" t="s">
        <v>517</v>
      </c>
      <c r="O372" s="98" t="s">
        <v>143</v>
      </c>
      <c r="P372" s="98">
        <v>100</v>
      </c>
      <c r="Q372" s="32" t="s">
        <v>144</v>
      </c>
      <c r="R372" s="98" t="s">
        <v>518</v>
      </c>
      <c r="S372" s="32" t="s">
        <v>519</v>
      </c>
      <c r="T372" s="98" t="s">
        <v>122</v>
      </c>
      <c r="U372" s="98" t="s">
        <v>332</v>
      </c>
      <c r="V372" s="98" t="s">
        <v>66</v>
      </c>
      <c r="W372" s="98"/>
      <c r="X372" s="78" t="s">
        <v>67</v>
      </c>
      <c r="Y372" s="98" t="s">
        <v>68</v>
      </c>
      <c r="Z372" s="32" t="s">
        <v>441</v>
      </c>
      <c r="AA372" s="32" t="s">
        <v>353</v>
      </c>
      <c r="AB372" s="78" t="s">
        <v>71</v>
      </c>
      <c r="AC372" s="98" t="s">
        <v>62</v>
      </c>
      <c r="AD372" s="98" t="s">
        <v>72</v>
      </c>
      <c r="AE372" s="65" t="s">
        <v>137</v>
      </c>
      <c r="AF372" s="39" t="s">
        <v>106</v>
      </c>
      <c r="AG372" s="98" t="s">
        <v>127</v>
      </c>
      <c r="AH372" s="115">
        <v>650</v>
      </c>
      <c r="AI372" s="117" t="s">
        <v>128</v>
      </c>
      <c r="AJ372" s="115" t="s">
        <v>94</v>
      </c>
      <c r="AK372" s="73">
        <v>878</v>
      </c>
      <c r="AL372" s="116">
        <f t="shared" si="47"/>
        <v>262522000</v>
      </c>
      <c r="AM372" s="116">
        <v>26</v>
      </c>
      <c r="AN372" s="116">
        <v>7136675</v>
      </c>
      <c r="AO372" s="116">
        <v>297</v>
      </c>
      <c r="AP372" s="116">
        <v>85498347</v>
      </c>
      <c r="AQ372" s="116">
        <f t="shared" si="48"/>
        <v>560.4</v>
      </c>
      <c r="AR372" s="116">
        <f t="shared" si="49"/>
        <v>154154832</v>
      </c>
      <c r="AS372" s="118">
        <v>0.63826879271070613</v>
      </c>
    </row>
    <row r="373" spans="2:45" x14ac:dyDescent="0.3">
      <c r="B373" s="126" t="s">
        <v>515</v>
      </c>
      <c r="C373" s="98" t="str">
        <f t="shared" si="50"/>
        <v>DJ930</v>
      </c>
      <c r="D373" s="98" t="s">
        <v>55</v>
      </c>
      <c r="E373" s="98" t="str">
        <f t="shared" si="44"/>
        <v>W</v>
      </c>
      <c r="F373" s="98" t="str">
        <f t="shared" si="45"/>
        <v>DJ</v>
      </c>
      <c r="G373" s="98" t="s">
        <v>56</v>
      </c>
      <c r="H373" s="115" t="s">
        <v>516</v>
      </c>
      <c r="I373" s="98" t="s">
        <v>178</v>
      </c>
      <c r="J373" s="115" t="str">
        <f t="shared" si="51"/>
        <v/>
      </c>
      <c r="K373" s="115">
        <v>1</v>
      </c>
      <c r="L373" s="116">
        <v>299000</v>
      </c>
      <c r="M373" s="78" t="s">
        <v>521</v>
      </c>
      <c r="N373" s="98" t="s">
        <v>133</v>
      </c>
      <c r="O373" s="98" t="s">
        <v>485</v>
      </c>
      <c r="P373" s="98">
        <v>100</v>
      </c>
      <c r="Q373" s="32" t="s">
        <v>85</v>
      </c>
      <c r="R373" s="98" t="s">
        <v>134</v>
      </c>
      <c r="S373" s="32" t="s">
        <v>135</v>
      </c>
      <c r="T373" s="98" t="s">
        <v>122</v>
      </c>
      <c r="U373" s="98" t="s">
        <v>136</v>
      </c>
      <c r="V373" s="98"/>
      <c r="W373" s="98"/>
      <c r="X373" s="78" t="s">
        <v>67</v>
      </c>
      <c r="Y373" s="98" t="s">
        <v>68</v>
      </c>
      <c r="Z373" s="32" t="s">
        <v>89</v>
      </c>
      <c r="AA373" s="32" t="s">
        <v>90</v>
      </c>
      <c r="AB373" s="78" t="s">
        <v>71</v>
      </c>
      <c r="AC373" s="98" t="s">
        <v>62</v>
      </c>
      <c r="AD373" s="98" t="s">
        <v>72</v>
      </c>
      <c r="AE373" s="65" t="s">
        <v>137</v>
      </c>
      <c r="AF373" s="39" t="s">
        <v>106</v>
      </c>
      <c r="AG373" s="98" t="s">
        <v>127</v>
      </c>
      <c r="AH373" s="115">
        <v>650</v>
      </c>
      <c r="AI373" s="117" t="s">
        <v>128</v>
      </c>
      <c r="AJ373" s="115" t="s">
        <v>94</v>
      </c>
      <c r="AK373" s="73">
        <v>4575</v>
      </c>
      <c r="AL373" s="116">
        <f t="shared" si="47"/>
        <v>1367925000</v>
      </c>
      <c r="AM373" s="116">
        <v>97</v>
      </c>
      <c r="AN373" s="116">
        <v>25986694</v>
      </c>
      <c r="AO373" s="116">
        <v>556</v>
      </c>
      <c r="AP373" s="116">
        <v>158348792</v>
      </c>
      <c r="AQ373" s="116">
        <f t="shared" si="48"/>
        <v>1928.5</v>
      </c>
      <c r="AR373" s="116">
        <f t="shared" si="49"/>
        <v>530491780</v>
      </c>
      <c r="AS373" s="118">
        <v>0.42153005464480875</v>
      </c>
    </row>
    <row r="374" spans="2:45" x14ac:dyDescent="0.3">
      <c r="B374" s="126" t="s">
        <v>515</v>
      </c>
      <c r="C374" s="98" t="str">
        <f t="shared" si="50"/>
        <v>DJ930</v>
      </c>
      <c r="D374" s="98" t="s">
        <v>55</v>
      </c>
      <c r="E374" s="98" t="str">
        <f t="shared" si="44"/>
        <v>W</v>
      </c>
      <c r="F374" s="98" t="str">
        <f t="shared" si="45"/>
        <v>DJ</v>
      </c>
      <c r="G374" s="98" t="s">
        <v>56</v>
      </c>
      <c r="H374" s="115" t="s">
        <v>516</v>
      </c>
      <c r="I374" s="98" t="s">
        <v>78</v>
      </c>
      <c r="J374" s="115" t="str">
        <f t="shared" si="51"/>
        <v/>
      </c>
      <c r="K374" s="115">
        <v>1</v>
      </c>
      <c r="L374" s="116">
        <v>299000</v>
      </c>
      <c r="M374" s="78" t="s">
        <v>521</v>
      </c>
      <c r="N374" s="98" t="s">
        <v>133</v>
      </c>
      <c r="O374" s="98" t="s">
        <v>485</v>
      </c>
      <c r="P374" s="98">
        <v>100</v>
      </c>
      <c r="Q374" s="32" t="s">
        <v>85</v>
      </c>
      <c r="R374" s="98" t="s">
        <v>134</v>
      </c>
      <c r="S374" s="32" t="s">
        <v>135</v>
      </c>
      <c r="T374" s="98" t="s">
        <v>122</v>
      </c>
      <c r="U374" s="98" t="s">
        <v>136</v>
      </c>
      <c r="V374" s="98"/>
      <c r="W374" s="98"/>
      <c r="X374" s="78" t="s">
        <v>67</v>
      </c>
      <c r="Y374" s="98" t="s">
        <v>68</v>
      </c>
      <c r="Z374" s="32" t="s">
        <v>89</v>
      </c>
      <c r="AA374" s="32" t="s">
        <v>90</v>
      </c>
      <c r="AB374" s="78" t="s">
        <v>71</v>
      </c>
      <c r="AC374" s="98" t="s">
        <v>62</v>
      </c>
      <c r="AD374" s="98" t="s">
        <v>72</v>
      </c>
      <c r="AE374" s="65" t="s">
        <v>137</v>
      </c>
      <c r="AF374" s="39" t="s">
        <v>106</v>
      </c>
      <c r="AG374" s="98" t="s">
        <v>127</v>
      </c>
      <c r="AH374" s="115">
        <v>650</v>
      </c>
      <c r="AI374" s="117" t="s">
        <v>128</v>
      </c>
      <c r="AJ374" s="115" t="s">
        <v>94</v>
      </c>
      <c r="AK374" s="73">
        <v>10761</v>
      </c>
      <c r="AL374" s="116">
        <f t="shared" si="47"/>
        <v>3217539000</v>
      </c>
      <c r="AM374" s="116">
        <v>303</v>
      </c>
      <c r="AN374" s="116">
        <v>85281218</v>
      </c>
      <c r="AO374" s="116">
        <v>1352</v>
      </c>
      <c r="AP374" s="116">
        <v>386755794</v>
      </c>
      <c r="AQ374" s="116">
        <f t="shared" si="48"/>
        <v>4580.3</v>
      </c>
      <c r="AR374" s="116">
        <f t="shared" si="49"/>
        <v>1259948924</v>
      </c>
      <c r="AS374" s="118">
        <v>0.42563888114487503</v>
      </c>
    </row>
    <row r="375" spans="2:45" x14ac:dyDescent="0.3">
      <c r="B375" s="126" t="s">
        <v>515</v>
      </c>
      <c r="C375" s="98" t="str">
        <f t="shared" si="50"/>
        <v>DJ930</v>
      </c>
      <c r="D375" s="98" t="s">
        <v>55</v>
      </c>
      <c r="E375" s="98" t="str">
        <f t="shared" si="44"/>
        <v>W</v>
      </c>
      <c r="F375" s="98" t="str">
        <f t="shared" si="45"/>
        <v>DJ</v>
      </c>
      <c r="G375" s="98" t="s">
        <v>56</v>
      </c>
      <c r="H375" s="115" t="s">
        <v>516</v>
      </c>
      <c r="I375" s="98" t="s">
        <v>79</v>
      </c>
      <c r="J375" s="115" t="str">
        <f t="shared" si="51"/>
        <v/>
      </c>
      <c r="K375" s="115">
        <v>1</v>
      </c>
      <c r="L375" s="116">
        <v>299000</v>
      </c>
      <c r="M375" s="78" t="s">
        <v>521</v>
      </c>
      <c r="N375" s="98" t="s">
        <v>133</v>
      </c>
      <c r="O375" s="98" t="s">
        <v>485</v>
      </c>
      <c r="P375" s="98">
        <v>100</v>
      </c>
      <c r="Q375" s="32" t="s">
        <v>85</v>
      </c>
      <c r="R375" s="98" t="s">
        <v>134</v>
      </c>
      <c r="S375" s="32" t="s">
        <v>135</v>
      </c>
      <c r="T375" s="98" t="s">
        <v>122</v>
      </c>
      <c r="U375" s="98" t="s">
        <v>136</v>
      </c>
      <c r="V375" s="98"/>
      <c r="W375" s="98"/>
      <c r="X375" s="78" t="s">
        <v>67</v>
      </c>
      <c r="Y375" s="98" t="s">
        <v>68</v>
      </c>
      <c r="Z375" s="32" t="s">
        <v>89</v>
      </c>
      <c r="AA375" s="32" t="s">
        <v>90</v>
      </c>
      <c r="AB375" s="78" t="s">
        <v>71</v>
      </c>
      <c r="AC375" s="98" t="s">
        <v>62</v>
      </c>
      <c r="AD375" s="98" t="s">
        <v>72</v>
      </c>
      <c r="AE375" s="65" t="s">
        <v>137</v>
      </c>
      <c r="AF375" s="39" t="s">
        <v>106</v>
      </c>
      <c r="AG375" s="98" t="s">
        <v>127</v>
      </c>
      <c r="AH375" s="115">
        <v>650</v>
      </c>
      <c r="AI375" s="117" t="s">
        <v>128</v>
      </c>
      <c r="AJ375" s="115" t="s">
        <v>94</v>
      </c>
      <c r="AK375" s="73">
        <v>6619</v>
      </c>
      <c r="AL375" s="116">
        <f t="shared" si="47"/>
        <v>1979081000</v>
      </c>
      <c r="AM375" s="116">
        <v>134</v>
      </c>
      <c r="AN375" s="116">
        <v>37479297</v>
      </c>
      <c r="AO375" s="116">
        <v>705</v>
      </c>
      <c r="AP375" s="116">
        <v>202790267</v>
      </c>
      <c r="AQ375" s="116">
        <f t="shared" si="48"/>
        <v>2690.7</v>
      </c>
      <c r="AR375" s="116">
        <f t="shared" si="49"/>
        <v>740157756</v>
      </c>
      <c r="AS375" s="118">
        <v>0.40651155763710528</v>
      </c>
    </row>
    <row r="376" spans="2:45" x14ac:dyDescent="0.3">
      <c r="B376" s="126" t="s">
        <v>515</v>
      </c>
      <c r="C376" s="98" t="str">
        <f t="shared" si="50"/>
        <v>DJ930</v>
      </c>
      <c r="D376" s="98" t="s">
        <v>148</v>
      </c>
      <c r="E376" s="98" t="str">
        <f t="shared" ref="E376:E439" si="52">MID($B376,2,1)</f>
        <v>W</v>
      </c>
      <c r="F376" s="98" t="str">
        <f t="shared" ref="F376:F439" si="53">MID($B376,3,2)</f>
        <v>DJ</v>
      </c>
      <c r="G376" s="98" t="s">
        <v>56</v>
      </c>
      <c r="H376" s="115" t="s">
        <v>516</v>
      </c>
      <c r="I376" s="98" t="s">
        <v>523</v>
      </c>
      <c r="J376" s="115" t="str">
        <f t="shared" si="51"/>
        <v/>
      </c>
      <c r="K376" s="115">
        <v>1</v>
      </c>
      <c r="L376" s="116">
        <v>299000</v>
      </c>
      <c r="M376" s="78" t="s">
        <v>521</v>
      </c>
      <c r="N376" s="98" t="s">
        <v>133</v>
      </c>
      <c r="O376" s="98" t="s">
        <v>485</v>
      </c>
      <c r="P376" s="98">
        <v>100</v>
      </c>
      <c r="Q376" s="32" t="s">
        <v>85</v>
      </c>
      <c r="R376" s="98" t="s">
        <v>134</v>
      </c>
      <c r="S376" s="32" t="s">
        <v>135</v>
      </c>
      <c r="T376" s="98" t="s">
        <v>122</v>
      </c>
      <c r="U376" s="98" t="s">
        <v>136</v>
      </c>
      <c r="V376" s="98"/>
      <c r="W376" s="98"/>
      <c r="X376" s="78" t="s">
        <v>67</v>
      </c>
      <c r="Y376" s="98" t="s">
        <v>68</v>
      </c>
      <c r="Z376" s="32" t="s">
        <v>89</v>
      </c>
      <c r="AA376" s="32" t="s">
        <v>90</v>
      </c>
      <c r="AB376" s="78" t="s">
        <v>71</v>
      </c>
      <c r="AC376" s="98" t="s">
        <v>62</v>
      </c>
      <c r="AD376" s="98" t="s">
        <v>72</v>
      </c>
      <c r="AE376" s="65" t="s">
        <v>137</v>
      </c>
      <c r="AF376" s="39" t="s">
        <v>106</v>
      </c>
      <c r="AG376" s="98" t="s">
        <v>127</v>
      </c>
      <c r="AH376" s="115">
        <v>650</v>
      </c>
      <c r="AI376" s="117" t="s">
        <v>128</v>
      </c>
      <c r="AJ376" s="115" t="s">
        <v>94</v>
      </c>
      <c r="AK376" s="73">
        <v>807</v>
      </c>
      <c r="AL376" s="116">
        <f t="shared" si="47"/>
        <v>241293000</v>
      </c>
      <c r="AM376" s="116">
        <v>11</v>
      </c>
      <c r="AN376" s="116">
        <v>2943520</v>
      </c>
      <c r="AO376" s="116">
        <v>57</v>
      </c>
      <c r="AP376" s="116">
        <v>16183510</v>
      </c>
      <c r="AQ376" s="116">
        <f t="shared" si="48"/>
        <v>299.10000000000002</v>
      </c>
      <c r="AR376" s="116">
        <f t="shared" si="49"/>
        <v>82276428</v>
      </c>
      <c r="AS376" s="118">
        <v>0.37063197026022304</v>
      </c>
    </row>
    <row r="377" spans="2:45" x14ac:dyDescent="0.3">
      <c r="B377" s="126" t="s">
        <v>524</v>
      </c>
      <c r="C377" s="98" t="str">
        <f t="shared" si="50"/>
        <v>DJ940</v>
      </c>
      <c r="D377" s="98" t="s">
        <v>55</v>
      </c>
      <c r="E377" s="98" t="str">
        <f t="shared" si="52"/>
        <v>W</v>
      </c>
      <c r="F377" s="98" t="str">
        <f t="shared" si="53"/>
        <v>DJ</v>
      </c>
      <c r="G377" s="98" t="s">
        <v>56</v>
      </c>
      <c r="H377" s="115" t="s">
        <v>525</v>
      </c>
      <c r="I377" s="98" t="s">
        <v>526</v>
      </c>
      <c r="J377" s="115">
        <f t="shared" si="51"/>
        <v>1</v>
      </c>
      <c r="K377" s="115">
        <v>1</v>
      </c>
      <c r="L377" s="116">
        <v>299000</v>
      </c>
      <c r="M377" s="78" t="s">
        <v>521</v>
      </c>
      <c r="N377" s="98" t="s">
        <v>133</v>
      </c>
      <c r="O377" s="98" t="s">
        <v>485</v>
      </c>
      <c r="P377" s="98">
        <v>100</v>
      </c>
      <c r="Q377" s="32" t="s">
        <v>85</v>
      </c>
      <c r="R377" s="98" t="s">
        <v>134</v>
      </c>
      <c r="S377" s="32" t="s">
        <v>135</v>
      </c>
      <c r="T377" s="98" t="s">
        <v>122</v>
      </c>
      <c r="U377" s="98" t="s">
        <v>136</v>
      </c>
      <c r="V377" s="98"/>
      <c r="W377" s="98"/>
      <c r="X377" s="78" t="s">
        <v>67</v>
      </c>
      <c r="Y377" s="98" t="s">
        <v>68</v>
      </c>
      <c r="Z377" s="32" t="s">
        <v>89</v>
      </c>
      <c r="AA377" s="32" t="s">
        <v>90</v>
      </c>
      <c r="AB377" s="78" t="s">
        <v>71</v>
      </c>
      <c r="AC377" s="98" t="s">
        <v>62</v>
      </c>
      <c r="AD377" s="98" t="s">
        <v>72</v>
      </c>
      <c r="AE377" s="65" t="s">
        <v>137</v>
      </c>
      <c r="AF377" s="39" t="s">
        <v>106</v>
      </c>
      <c r="AG377" s="98" t="s">
        <v>127</v>
      </c>
      <c r="AH377" s="115">
        <v>650</v>
      </c>
      <c r="AI377" s="117" t="s">
        <v>128</v>
      </c>
      <c r="AJ377" s="115" t="s">
        <v>77</v>
      </c>
      <c r="AK377" s="72">
        <f>1011+600</f>
        <v>1611</v>
      </c>
      <c r="AL377" s="116">
        <f t="shared" si="47"/>
        <v>481689000</v>
      </c>
      <c r="AM377" s="116">
        <v>104</v>
      </c>
      <c r="AN377" s="116">
        <v>29318791</v>
      </c>
      <c r="AO377" s="116">
        <v>448</v>
      </c>
      <c r="AP377" s="116">
        <v>128577183</v>
      </c>
      <c r="AQ377" s="116">
        <f t="shared" si="48"/>
        <v>1369.35</v>
      </c>
      <c r="AR377" s="116">
        <f t="shared" si="49"/>
        <v>376680798</v>
      </c>
      <c r="AS377" s="70">
        <v>0.85</v>
      </c>
    </row>
    <row r="378" spans="2:45" x14ac:dyDescent="0.3">
      <c r="B378" s="126" t="s">
        <v>524</v>
      </c>
      <c r="C378" s="98" t="str">
        <f t="shared" si="50"/>
        <v>DJ940</v>
      </c>
      <c r="D378" s="98" t="s">
        <v>55</v>
      </c>
      <c r="E378" s="98" t="str">
        <f t="shared" si="52"/>
        <v>W</v>
      </c>
      <c r="F378" s="98" t="str">
        <f t="shared" si="53"/>
        <v>DJ</v>
      </c>
      <c r="G378" s="98" t="s">
        <v>56</v>
      </c>
      <c r="H378" s="115" t="s">
        <v>525</v>
      </c>
      <c r="I378" s="98" t="s">
        <v>527</v>
      </c>
      <c r="J378" s="115" t="str">
        <f t="shared" si="51"/>
        <v/>
      </c>
      <c r="K378" s="115">
        <v>1</v>
      </c>
      <c r="L378" s="116">
        <v>299000</v>
      </c>
      <c r="M378" s="78" t="s">
        <v>141</v>
      </c>
      <c r="N378" s="98" t="s">
        <v>174</v>
      </c>
      <c r="O378" s="98" t="s">
        <v>143</v>
      </c>
      <c r="P378" s="98">
        <v>100</v>
      </c>
      <c r="Q378" s="32" t="s">
        <v>144</v>
      </c>
      <c r="R378" s="98" t="s">
        <v>145</v>
      </c>
      <c r="S378" s="32" t="s">
        <v>146</v>
      </c>
      <c r="T378" s="98" t="s">
        <v>65</v>
      </c>
      <c r="U378" s="98"/>
      <c r="V378" s="98" t="s">
        <v>528</v>
      </c>
      <c r="W378" s="98"/>
      <c r="X378" s="78" t="s">
        <v>67</v>
      </c>
      <c r="Y378" s="98" t="s">
        <v>68</v>
      </c>
      <c r="Z378" s="32" t="s">
        <v>69</v>
      </c>
      <c r="AA378" s="32" t="s">
        <v>529</v>
      </c>
      <c r="AB378" s="78" t="s">
        <v>71</v>
      </c>
      <c r="AC378" s="98" t="s">
        <v>62</v>
      </c>
      <c r="AD378" s="98" t="s">
        <v>72</v>
      </c>
      <c r="AE378" s="65" t="s">
        <v>137</v>
      </c>
      <c r="AF378" s="39" t="s">
        <v>106</v>
      </c>
      <c r="AG378" s="98" t="s">
        <v>127</v>
      </c>
      <c r="AH378" s="115">
        <v>650</v>
      </c>
      <c r="AI378" s="117" t="s">
        <v>128</v>
      </c>
      <c r="AJ378" s="115" t="s">
        <v>77</v>
      </c>
      <c r="AK378" s="73">
        <v>606</v>
      </c>
      <c r="AL378" s="116">
        <f t="shared" si="47"/>
        <v>181194000</v>
      </c>
      <c r="AM378" s="116">
        <v>11</v>
      </c>
      <c r="AN378" s="116">
        <v>3093927</v>
      </c>
      <c r="AO378" s="116">
        <v>118</v>
      </c>
      <c r="AP378" s="116">
        <v>34038964</v>
      </c>
      <c r="AQ378" s="116">
        <f t="shared" si="48"/>
        <v>299.79999999999995</v>
      </c>
      <c r="AR378" s="116">
        <f t="shared" si="49"/>
        <v>82468983.999999985</v>
      </c>
      <c r="AS378" s="118">
        <v>0.49471947194719468</v>
      </c>
    </row>
    <row r="379" spans="2:45" x14ac:dyDescent="0.3">
      <c r="B379" s="126" t="s">
        <v>524</v>
      </c>
      <c r="C379" s="98" t="str">
        <f t="shared" si="50"/>
        <v>DJ940</v>
      </c>
      <c r="D379" s="98" t="s">
        <v>55</v>
      </c>
      <c r="E379" s="98" t="str">
        <f t="shared" si="52"/>
        <v>W</v>
      </c>
      <c r="F379" s="98" t="str">
        <f t="shared" si="53"/>
        <v>DJ</v>
      </c>
      <c r="G379" s="98" t="s">
        <v>56</v>
      </c>
      <c r="H379" s="115" t="s">
        <v>525</v>
      </c>
      <c r="I379" s="98" t="s">
        <v>78</v>
      </c>
      <c r="J379" s="115" t="str">
        <f t="shared" si="51"/>
        <v/>
      </c>
      <c r="K379" s="115">
        <v>1</v>
      </c>
      <c r="L379" s="116">
        <v>299000</v>
      </c>
      <c r="M379" s="78" t="s">
        <v>521</v>
      </c>
      <c r="N379" s="98" t="s">
        <v>133</v>
      </c>
      <c r="O379" s="98" t="s">
        <v>485</v>
      </c>
      <c r="P379" s="98">
        <v>100</v>
      </c>
      <c r="Q379" s="32" t="s">
        <v>85</v>
      </c>
      <c r="R379" s="98" t="s">
        <v>134</v>
      </c>
      <c r="S379" s="32" t="s">
        <v>135</v>
      </c>
      <c r="T379" s="98" t="s">
        <v>122</v>
      </c>
      <c r="U379" s="98" t="s">
        <v>136</v>
      </c>
      <c r="V379" s="98"/>
      <c r="W379" s="98"/>
      <c r="X379" s="78" t="s">
        <v>67</v>
      </c>
      <c r="Y379" s="98" t="s">
        <v>68</v>
      </c>
      <c r="Z379" s="32" t="s">
        <v>89</v>
      </c>
      <c r="AA379" s="32" t="s">
        <v>90</v>
      </c>
      <c r="AB379" s="78" t="s">
        <v>71</v>
      </c>
      <c r="AC379" s="98" t="s">
        <v>62</v>
      </c>
      <c r="AD379" s="98" t="s">
        <v>72</v>
      </c>
      <c r="AE379" s="65" t="s">
        <v>137</v>
      </c>
      <c r="AF379" s="39" t="s">
        <v>106</v>
      </c>
      <c r="AG379" s="98" t="s">
        <v>127</v>
      </c>
      <c r="AH379" s="115">
        <v>650</v>
      </c>
      <c r="AI379" s="117" t="s">
        <v>128</v>
      </c>
      <c r="AJ379" s="115" t="s">
        <v>77</v>
      </c>
      <c r="AK379" s="73">
        <v>9648</v>
      </c>
      <c r="AL379" s="116">
        <f t="shared" si="47"/>
        <v>2884752000</v>
      </c>
      <c r="AM379" s="116">
        <v>570</v>
      </c>
      <c r="AN379" s="116">
        <v>162103656</v>
      </c>
      <c r="AO379" s="116">
        <v>2675</v>
      </c>
      <c r="AP379" s="116">
        <v>773563664</v>
      </c>
      <c r="AQ379" s="116">
        <f t="shared" si="48"/>
        <v>5569.4000000000005</v>
      </c>
      <c r="AR379" s="116">
        <f t="shared" si="49"/>
        <v>1532030552</v>
      </c>
      <c r="AS379" s="118">
        <v>0.57725953565505805</v>
      </c>
    </row>
    <row r="380" spans="2:45" x14ac:dyDescent="0.3">
      <c r="B380" s="126" t="s">
        <v>524</v>
      </c>
      <c r="C380" s="98" t="str">
        <f t="shared" si="50"/>
        <v>DJ940</v>
      </c>
      <c r="D380" s="98" t="s">
        <v>55</v>
      </c>
      <c r="E380" s="98" t="str">
        <f t="shared" si="52"/>
        <v>W</v>
      </c>
      <c r="F380" s="98" t="str">
        <f t="shared" si="53"/>
        <v>DJ</v>
      </c>
      <c r="G380" s="98" t="s">
        <v>56</v>
      </c>
      <c r="H380" s="115" t="s">
        <v>525</v>
      </c>
      <c r="I380" s="98" t="s">
        <v>82</v>
      </c>
      <c r="J380" s="115" t="str">
        <f t="shared" si="51"/>
        <v/>
      </c>
      <c r="K380" s="115">
        <v>1</v>
      </c>
      <c r="L380" s="116">
        <v>299000</v>
      </c>
      <c r="M380" s="78" t="s">
        <v>521</v>
      </c>
      <c r="N380" s="98" t="s">
        <v>133</v>
      </c>
      <c r="O380" s="98" t="s">
        <v>485</v>
      </c>
      <c r="P380" s="98">
        <v>100</v>
      </c>
      <c r="Q380" s="32" t="s">
        <v>85</v>
      </c>
      <c r="R380" s="98" t="s">
        <v>134</v>
      </c>
      <c r="S380" s="32" t="s">
        <v>135</v>
      </c>
      <c r="T380" s="98" t="s">
        <v>122</v>
      </c>
      <c r="U380" s="98" t="s">
        <v>136</v>
      </c>
      <c r="V380" s="98"/>
      <c r="W380" s="98"/>
      <c r="X380" s="78" t="s">
        <v>67</v>
      </c>
      <c r="Y380" s="98" t="s">
        <v>68</v>
      </c>
      <c r="Z380" s="32" t="s">
        <v>89</v>
      </c>
      <c r="AA380" s="32" t="s">
        <v>90</v>
      </c>
      <c r="AB380" s="78" t="s">
        <v>71</v>
      </c>
      <c r="AC380" s="98" t="s">
        <v>62</v>
      </c>
      <c r="AD380" s="98" t="s">
        <v>72</v>
      </c>
      <c r="AE380" s="65" t="s">
        <v>137</v>
      </c>
      <c r="AF380" s="39" t="s">
        <v>106</v>
      </c>
      <c r="AG380" s="98" t="s">
        <v>127</v>
      </c>
      <c r="AH380" s="115">
        <v>650</v>
      </c>
      <c r="AI380" s="117" t="s">
        <v>128</v>
      </c>
      <c r="AJ380" s="115" t="s">
        <v>77</v>
      </c>
      <c r="AK380" s="73">
        <v>1011</v>
      </c>
      <c r="AL380" s="116">
        <f t="shared" si="47"/>
        <v>302289000</v>
      </c>
      <c r="AM380" s="116">
        <v>31</v>
      </c>
      <c r="AN380" s="116">
        <v>8913942</v>
      </c>
      <c r="AO380" s="116">
        <v>191</v>
      </c>
      <c r="AP380" s="116">
        <v>54970180</v>
      </c>
      <c r="AQ380" s="116">
        <f t="shared" si="48"/>
        <v>494.3</v>
      </c>
      <c r="AR380" s="116">
        <f t="shared" si="49"/>
        <v>135972044</v>
      </c>
      <c r="AS380" s="118">
        <v>0.48892185954500494</v>
      </c>
    </row>
    <row r="381" spans="2:45" x14ac:dyDescent="0.3">
      <c r="B381" s="126" t="s">
        <v>524</v>
      </c>
      <c r="C381" s="98" t="str">
        <f t="shared" si="50"/>
        <v>DJ940</v>
      </c>
      <c r="D381" s="98" t="s">
        <v>55</v>
      </c>
      <c r="E381" s="98" t="str">
        <f t="shared" si="52"/>
        <v>W</v>
      </c>
      <c r="F381" s="98" t="str">
        <f t="shared" si="53"/>
        <v>DJ</v>
      </c>
      <c r="G381" s="98" t="s">
        <v>56</v>
      </c>
      <c r="H381" s="115" t="s">
        <v>525</v>
      </c>
      <c r="I381" s="98" t="s">
        <v>79</v>
      </c>
      <c r="J381" s="115" t="str">
        <f t="shared" si="51"/>
        <v/>
      </c>
      <c r="K381" s="115">
        <v>1</v>
      </c>
      <c r="L381" s="116">
        <v>299000</v>
      </c>
      <c r="M381" s="78" t="s">
        <v>521</v>
      </c>
      <c r="N381" s="98" t="s">
        <v>133</v>
      </c>
      <c r="O381" s="98" t="s">
        <v>485</v>
      </c>
      <c r="P381" s="98">
        <v>100</v>
      </c>
      <c r="Q381" s="32" t="s">
        <v>85</v>
      </c>
      <c r="R381" s="98" t="s">
        <v>134</v>
      </c>
      <c r="S381" s="32" t="s">
        <v>135</v>
      </c>
      <c r="T381" s="98" t="s">
        <v>122</v>
      </c>
      <c r="U381" s="98" t="s">
        <v>136</v>
      </c>
      <c r="V381" s="98"/>
      <c r="W381" s="98"/>
      <c r="X381" s="78" t="s">
        <v>67</v>
      </c>
      <c r="Y381" s="98" t="s">
        <v>68</v>
      </c>
      <c r="Z381" s="32" t="s">
        <v>89</v>
      </c>
      <c r="AA381" s="32" t="s">
        <v>90</v>
      </c>
      <c r="AB381" s="78" t="s">
        <v>71</v>
      </c>
      <c r="AC381" s="98" t="s">
        <v>62</v>
      </c>
      <c r="AD381" s="98" t="s">
        <v>72</v>
      </c>
      <c r="AE381" s="65" t="s">
        <v>137</v>
      </c>
      <c r="AF381" s="39" t="s">
        <v>106</v>
      </c>
      <c r="AG381" s="98" t="s">
        <v>127</v>
      </c>
      <c r="AH381" s="115">
        <v>650</v>
      </c>
      <c r="AI381" s="117" t="s">
        <v>128</v>
      </c>
      <c r="AJ381" s="115" t="s">
        <v>77</v>
      </c>
      <c r="AK381" s="73">
        <v>7618</v>
      </c>
      <c r="AL381" s="116">
        <f t="shared" si="47"/>
        <v>2277782000</v>
      </c>
      <c r="AM381" s="116">
        <v>192</v>
      </c>
      <c r="AN381" s="116">
        <v>54551219</v>
      </c>
      <c r="AO381" s="116">
        <v>972</v>
      </c>
      <c r="AP381" s="116">
        <v>280794269</v>
      </c>
      <c r="AQ381" s="116">
        <f t="shared" si="48"/>
        <v>3257.3999999999996</v>
      </c>
      <c r="AR381" s="116">
        <f t="shared" si="49"/>
        <v>896045592</v>
      </c>
      <c r="AS381" s="118">
        <v>0.42759254397479651</v>
      </c>
    </row>
    <row r="382" spans="2:45" x14ac:dyDescent="0.3">
      <c r="B382" s="126" t="s">
        <v>524</v>
      </c>
      <c r="C382" s="98" t="str">
        <f t="shared" si="50"/>
        <v>DJ940</v>
      </c>
      <c r="D382" s="98" t="s">
        <v>55</v>
      </c>
      <c r="E382" s="98" t="str">
        <f t="shared" si="52"/>
        <v>W</v>
      </c>
      <c r="F382" s="98" t="str">
        <f t="shared" si="53"/>
        <v>DJ</v>
      </c>
      <c r="G382" s="98" t="s">
        <v>56</v>
      </c>
      <c r="H382" s="115" t="s">
        <v>525</v>
      </c>
      <c r="I382" s="98" t="s">
        <v>176</v>
      </c>
      <c r="J382" s="115" t="str">
        <f t="shared" si="51"/>
        <v/>
      </c>
      <c r="K382" s="115">
        <v>1</v>
      </c>
      <c r="L382" s="116">
        <v>299000</v>
      </c>
      <c r="M382" s="78" t="s">
        <v>141</v>
      </c>
      <c r="N382" s="98" t="s">
        <v>174</v>
      </c>
      <c r="O382" s="98" t="s">
        <v>143</v>
      </c>
      <c r="P382" s="98">
        <v>100</v>
      </c>
      <c r="Q382" s="32" t="s">
        <v>144</v>
      </c>
      <c r="R382" s="98" t="s">
        <v>145</v>
      </c>
      <c r="S382" s="32" t="s">
        <v>146</v>
      </c>
      <c r="T382" s="98" t="s">
        <v>65</v>
      </c>
      <c r="U382" s="98"/>
      <c r="V382" s="98" t="s">
        <v>528</v>
      </c>
      <c r="W382" s="98"/>
      <c r="X382" s="78" t="s">
        <v>67</v>
      </c>
      <c r="Y382" s="98" t="s">
        <v>68</v>
      </c>
      <c r="Z382" s="32" t="s">
        <v>69</v>
      </c>
      <c r="AA382" s="32" t="s">
        <v>529</v>
      </c>
      <c r="AB382" s="78" t="s">
        <v>71</v>
      </c>
      <c r="AC382" s="98" t="s">
        <v>62</v>
      </c>
      <c r="AD382" s="98" t="s">
        <v>72</v>
      </c>
      <c r="AE382" s="65" t="s">
        <v>137</v>
      </c>
      <c r="AF382" s="39" t="s">
        <v>106</v>
      </c>
      <c r="AG382" s="98" t="s">
        <v>127</v>
      </c>
      <c r="AH382" s="115">
        <v>650</v>
      </c>
      <c r="AI382" s="117" t="s">
        <v>128</v>
      </c>
      <c r="AJ382" s="115" t="s">
        <v>77</v>
      </c>
      <c r="AK382" s="73">
        <v>4569</v>
      </c>
      <c r="AL382" s="116">
        <f t="shared" si="47"/>
        <v>1366131000</v>
      </c>
      <c r="AM382" s="116">
        <v>126</v>
      </c>
      <c r="AN382" s="116">
        <v>35676011</v>
      </c>
      <c r="AO382" s="116">
        <v>603</v>
      </c>
      <c r="AP382" s="116">
        <v>173668107</v>
      </c>
      <c r="AQ382" s="116">
        <f t="shared" si="48"/>
        <v>1973.6999999999998</v>
      </c>
      <c r="AR382" s="116">
        <f t="shared" si="49"/>
        <v>542925395.99999988</v>
      </c>
      <c r="AS382" s="118">
        <v>0.43197636244254756</v>
      </c>
    </row>
    <row r="383" spans="2:45" x14ac:dyDescent="0.3">
      <c r="B383" s="126" t="s">
        <v>524</v>
      </c>
      <c r="C383" s="98" t="str">
        <f t="shared" si="50"/>
        <v>DJ940</v>
      </c>
      <c r="D383" s="98" t="s">
        <v>55</v>
      </c>
      <c r="E383" s="98" t="str">
        <f t="shared" si="52"/>
        <v>W</v>
      </c>
      <c r="F383" s="98" t="str">
        <f t="shared" si="53"/>
        <v>DJ</v>
      </c>
      <c r="G383" s="98" t="s">
        <v>56</v>
      </c>
      <c r="H383" s="115" t="s">
        <v>525</v>
      </c>
      <c r="I383" s="98" t="s">
        <v>140</v>
      </c>
      <c r="J383" s="115" t="str">
        <f t="shared" si="51"/>
        <v/>
      </c>
      <c r="K383" s="115">
        <v>1</v>
      </c>
      <c r="L383" s="116">
        <v>299000</v>
      </c>
      <c r="M383" s="78" t="s">
        <v>141</v>
      </c>
      <c r="N383" s="98" t="s">
        <v>174</v>
      </c>
      <c r="O383" s="98" t="s">
        <v>143</v>
      </c>
      <c r="P383" s="98">
        <v>100</v>
      </c>
      <c r="Q383" s="32" t="s">
        <v>144</v>
      </c>
      <c r="R383" s="98" t="s">
        <v>145</v>
      </c>
      <c r="S383" s="32" t="s">
        <v>146</v>
      </c>
      <c r="T383" s="98" t="s">
        <v>65</v>
      </c>
      <c r="U383" s="98"/>
      <c r="V383" s="98" t="s">
        <v>528</v>
      </c>
      <c r="W383" s="98"/>
      <c r="X383" s="78" t="s">
        <v>67</v>
      </c>
      <c r="Y383" s="98" t="s">
        <v>68</v>
      </c>
      <c r="Z383" s="32" t="s">
        <v>69</v>
      </c>
      <c r="AA383" s="32" t="s">
        <v>529</v>
      </c>
      <c r="AB383" s="78" t="s">
        <v>71</v>
      </c>
      <c r="AC383" s="98" t="s">
        <v>62</v>
      </c>
      <c r="AD383" s="98" t="s">
        <v>72</v>
      </c>
      <c r="AE383" s="65" t="s">
        <v>137</v>
      </c>
      <c r="AF383" s="39" t="s">
        <v>106</v>
      </c>
      <c r="AG383" s="98" t="s">
        <v>127</v>
      </c>
      <c r="AH383" s="115">
        <v>650</v>
      </c>
      <c r="AI383" s="117" t="s">
        <v>128</v>
      </c>
      <c r="AJ383" s="115" t="s">
        <v>77</v>
      </c>
      <c r="AK383" s="73">
        <v>2539</v>
      </c>
      <c r="AL383" s="116">
        <f t="shared" si="47"/>
        <v>759161000</v>
      </c>
      <c r="AM383" s="116">
        <v>118</v>
      </c>
      <c r="AN383" s="116">
        <v>33331187</v>
      </c>
      <c r="AO383" s="116">
        <v>641</v>
      </c>
      <c r="AP383" s="116">
        <v>185449991</v>
      </c>
      <c r="AQ383" s="116">
        <f t="shared" si="48"/>
        <v>1402.6999999999998</v>
      </c>
      <c r="AR383" s="116">
        <f t="shared" si="49"/>
        <v>385854715.99999994</v>
      </c>
      <c r="AS383" s="118">
        <v>0.5524615990547459</v>
      </c>
    </row>
    <row r="384" spans="2:45" x14ac:dyDescent="0.3">
      <c r="B384" s="126" t="s">
        <v>530</v>
      </c>
      <c r="C384" s="98" t="str">
        <f t="shared" si="50"/>
        <v>DJ970</v>
      </c>
      <c r="D384" s="98" t="s">
        <v>55</v>
      </c>
      <c r="E384" s="98" t="str">
        <f t="shared" si="52"/>
        <v>W</v>
      </c>
      <c r="F384" s="98" t="str">
        <f t="shared" si="53"/>
        <v>DJ</v>
      </c>
      <c r="G384" s="98" t="s">
        <v>56</v>
      </c>
      <c r="H384" s="115" t="s">
        <v>531</v>
      </c>
      <c r="I384" s="98" t="s">
        <v>345</v>
      </c>
      <c r="J384" s="115">
        <f t="shared" si="51"/>
        <v>1</v>
      </c>
      <c r="K384" s="115">
        <v>1</v>
      </c>
      <c r="L384" s="116">
        <v>299000</v>
      </c>
      <c r="M384" s="78" t="s">
        <v>167</v>
      </c>
      <c r="N384" s="98" t="s">
        <v>168</v>
      </c>
      <c r="O384" s="98" t="s">
        <v>532</v>
      </c>
      <c r="P384" s="98">
        <v>100</v>
      </c>
      <c r="Q384" s="32" t="s">
        <v>119</v>
      </c>
      <c r="R384" s="98" t="s">
        <v>169</v>
      </c>
      <c r="S384" s="32" t="s">
        <v>152</v>
      </c>
      <c r="T384" s="98" t="s">
        <v>65</v>
      </c>
      <c r="U384" s="98"/>
      <c r="V384" s="98"/>
      <c r="W384" s="98"/>
      <c r="X384" s="78" t="s">
        <v>67</v>
      </c>
      <c r="Y384" s="98" t="s">
        <v>68</v>
      </c>
      <c r="Z384" s="32" t="s">
        <v>69</v>
      </c>
      <c r="AA384" s="32" t="s">
        <v>70</v>
      </c>
      <c r="AB384" s="78" t="s">
        <v>71</v>
      </c>
      <c r="AC384" s="98" t="s">
        <v>62</v>
      </c>
      <c r="AD384" s="98" t="s">
        <v>72</v>
      </c>
      <c r="AE384" s="65" t="s">
        <v>137</v>
      </c>
      <c r="AF384" s="39" t="s">
        <v>175</v>
      </c>
      <c r="AG384" s="98" t="s">
        <v>127</v>
      </c>
      <c r="AH384" s="115">
        <v>650</v>
      </c>
      <c r="AI384" s="117" t="s">
        <v>128</v>
      </c>
      <c r="AJ384" s="115" t="s">
        <v>77</v>
      </c>
      <c r="AK384" s="73">
        <v>1427</v>
      </c>
      <c r="AL384" s="116">
        <f t="shared" si="47"/>
        <v>426673000</v>
      </c>
      <c r="AM384" s="116">
        <v>42</v>
      </c>
      <c r="AN384" s="116">
        <v>11676975</v>
      </c>
      <c r="AO384" s="116">
        <v>243</v>
      </c>
      <c r="AP384" s="116">
        <v>69934676</v>
      </c>
      <c r="AQ384" s="116">
        <f t="shared" si="48"/>
        <v>671.09999999999991</v>
      </c>
      <c r="AR384" s="116">
        <f t="shared" si="49"/>
        <v>184606188</v>
      </c>
      <c r="AS384" s="118">
        <v>0.47028731604765239</v>
      </c>
    </row>
    <row r="385" spans="2:45" x14ac:dyDescent="0.3">
      <c r="B385" s="126" t="s">
        <v>530</v>
      </c>
      <c r="C385" s="98" t="str">
        <f t="shared" si="50"/>
        <v>DJ970</v>
      </c>
      <c r="D385" s="98" t="s">
        <v>55</v>
      </c>
      <c r="E385" s="98" t="str">
        <f t="shared" si="52"/>
        <v>W</v>
      </c>
      <c r="F385" s="98" t="str">
        <f t="shared" si="53"/>
        <v>DJ</v>
      </c>
      <c r="G385" s="98" t="s">
        <v>56</v>
      </c>
      <c r="H385" s="115" t="s">
        <v>531</v>
      </c>
      <c r="I385" s="98" t="s">
        <v>78</v>
      </c>
      <c r="J385" s="115" t="str">
        <f t="shared" si="51"/>
        <v/>
      </c>
      <c r="K385" s="115">
        <v>1</v>
      </c>
      <c r="L385" s="116">
        <v>299000</v>
      </c>
      <c r="M385" s="78" t="s">
        <v>167</v>
      </c>
      <c r="N385" s="98" t="s">
        <v>168</v>
      </c>
      <c r="O385" s="98" t="s">
        <v>532</v>
      </c>
      <c r="P385" s="98">
        <v>100</v>
      </c>
      <c r="Q385" s="32" t="s">
        <v>119</v>
      </c>
      <c r="R385" s="98" t="s">
        <v>169</v>
      </c>
      <c r="S385" s="32" t="s">
        <v>152</v>
      </c>
      <c r="T385" s="98" t="s">
        <v>65</v>
      </c>
      <c r="U385" s="98"/>
      <c r="V385" s="98"/>
      <c r="W385" s="98"/>
      <c r="X385" s="78" t="s">
        <v>67</v>
      </c>
      <c r="Y385" s="98" t="s">
        <v>68</v>
      </c>
      <c r="Z385" s="32" t="s">
        <v>69</v>
      </c>
      <c r="AA385" s="32" t="s">
        <v>70</v>
      </c>
      <c r="AB385" s="78" t="s">
        <v>71</v>
      </c>
      <c r="AC385" s="98" t="s">
        <v>62</v>
      </c>
      <c r="AD385" s="98" t="s">
        <v>72</v>
      </c>
      <c r="AE385" s="65" t="s">
        <v>137</v>
      </c>
      <c r="AF385" s="39" t="s">
        <v>175</v>
      </c>
      <c r="AG385" s="98" t="s">
        <v>127</v>
      </c>
      <c r="AH385" s="115">
        <v>650</v>
      </c>
      <c r="AI385" s="117" t="s">
        <v>128</v>
      </c>
      <c r="AJ385" s="115" t="s">
        <v>77</v>
      </c>
      <c r="AK385" s="72">
        <f>1958+4000</f>
        <v>5958</v>
      </c>
      <c r="AL385" s="116">
        <f t="shared" si="47"/>
        <v>1781442000</v>
      </c>
      <c r="AM385" s="116">
        <v>92</v>
      </c>
      <c r="AN385" s="116">
        <v>26121331</v>
      </c>
      <c r="AO385" s="116">
        <v>1851</v>
      </c>
      <c r="AP385" s="116">
        <v>534038590</v>
      </c>
      <c r="AQ385" s="116">
        <f t="shared" si="48"/>
        <v>5064.3</v>
      </c>
      <c r="AR385" s="116">
        <f t="shared" si="49"/>
        <v>1393087644</v>
      </c>
      <c r="AS385" s="70">
        <v>0.85</v>
      </c>
    </row>
    <row r="386" spans="2:45" x14ac:dyDescent="0.3">
      <c r="B386" s="126" t="s">
        <v>530</v>
      </c>
      <c r="C386" s="98" t="str">
        <f t="shared" si="50"/>
        <v>DJ970</v>
      </c>
      <c r="D386" s="98" t="s">
        <v>55</v>
      </c>
      <c r="E386" s="98" t="str">
        <f t="shared" si="52"/>
        <v>W</v>
      </c>
      <c r="F386" s="98" t="str">
        <f t="shared" si="53"/>
        <v>DJ</v>
      </c>
      <c r="G386" s="98" t="s">
        <v>56</v>
      </c>
      <c r="H386" s="115" t="s">
        <v>531</v>
      </c>
      <c r="I386" s="98" t="s">
        <v>522</v>
      </c>
      <c r="J386" s="115" t="str">
        <f t="shared" si="51"/>
        <v/>
      </c>
      <c r="K386" s="115">
        <v>1</v>
      </c>
      <c r="L386" s="116">
        <v>299000</v>
      </c>
      <c r="M386" s="78" t="s">
        <v>167</v>
      </c>
      <c r="N386" s="98" t="s">
        <v>168</v>
      </c>
      <c r="O386" s="98" t="s">
        <v>532</v>
      </c>
      <c r="P386" s="98">
        <v>100</v>
      </c>
      <c r="Q386" s="32" t="s">
        <v>119</v>
      </c>
      <c r="R386" s="98" t="s">
        <v>169</v>
      </c>
      <c r="S386" s="32" t="s">
        <v>152</v>
      </c>
      <c r="T386" s="98" t="s">
        <v>65</v>
      </c>
      <c r="U386" s="98"/>
      <c r="V386" s="98"/>
      <c r="W386" s="98"/>
      <c r="X386" s="78" t="s">
        <v>67</v>
      </c>
      <c r="Y386" s="98" t="s">
        <v>68</v>
      </c>
      <c r="Z386" s="32" t="s">
        <v>69</v>
      </c>
      <c r="AA386" s="32" t="s">
        <v>70</v>
      </c>
      <c r="AB386" s="78" t="s">
        <v>71</v>
      </c>
      <c r="AC386" s="98" t="s">
        <v>62</v>
      </c>
      <c r="AD386" s="98" t="s">
        <v>72</v>
      </c>
      <c r="AE386" s="65" t="s">
        <v>137</v>
      </c>
      <c r="AF386" s="39" t="s">
        <v>175</v>
      </c>
      <c r="AG386" s="98" t="s">
        <v>127</v>
      </c>
      <c r="AH386" s="115">
        <v>650</v>
      </c>
      <c r="AI386" s="117" t="s">
        <v>128</v>
      </c>
      <c r="AJ386" s="115" t="s">
        <v>77</v>
      </c>
      <c r="AK386" s="73">
        <v>1509</v>
      </c>
      <c r="AL386" s="116">
        <f t="shared" si="47"/>
        <v>451191000</v>
      </c>
      <c r="AM386" s="116">
        <v>45</v>
      </c>
      <c r="AN386" s="116">
        <v>12709570</v>
      </c>
      <c r="AO386" s="116">
        <v>227</v>
      </c>
      <c r="AP386" s="116">
        <v>65122837</v>
      </c>
      <c r="AQ386" s="116">
        <f t="shared" si="48"/>
        <v>679.69999999999993</v>
      </c>
      <c r="AR386" s="116">
        <f t="shared" si="49"/>
        <v>186971875.99999997</v>
      </c>
      <c r="AS386" s="118">
        <v>0.45043074884029155</v>
      </c>
    </row>
    <row r="387" spans="2:45" x14ac:dyDescent="0.3">
      <c r="B387" s="126" t="s">
        <v>530</v>
      </c>
      <c r="C387" s="98" t="str">
        <f t="shared" si="50"/>
        <v>DJ970</v>
      </c>
      <c r="D387" s="98" t="s">
        <v>55</v>
      </c>
      <c r="E387" s="98" t="str">
        <f t="shared" si="52"/>
        <v>W</v>
      </c>
      <c r="F387" s="98" t="str">
        <f t="shared" si="53"/>
        <v>DJ</v>
      </c>
      <c r="G387" s="98" t="s">
        <v>56</v>
      </c>
      <c r="H387" s="115" t="s">
        <v>531</v>
      </c>
      <c r="I387" s="98" t="s">
        <v>386</v>
      </c>
      <c r="J387" s="115" t="str">
        <f t="shared" si="51"/>
        <v/>
      </c>
      <c r="K387" s="115">
        <v>1</v>
      </c>
      <c r="L387" s="116">
        <v>299000</v>
      </c>
      <c r="M387" s="78" t="s">
        <v>533</v>
      </c>
      <c r="N387" s="98" t="s">
        <v>534</v>
      </c>
      <c r="O387" s="98" t="s">
        <v>532</v>
      </c>
      <c r="P387" s="98">
        <v>100</v>
      </c>
      <c r="Q387" s="32" t="s">
        <v>62</v>
      </c>
      <c r="R387" s="98" t="s">
        <v>535</v>
      </c>
      <c r="S387" s="32" t="s">
        <v>72</v>
      </c>
      <c r="T387" s="98" t="s">
        <v>65</v>
      </c>
      <c r="U387" s="98"/>
      <c r="V387" s="98"/>
      <c r="W387" s="98"/>
      <c r="X387" s="78" t="s">
        <v>67</v>
      </c>
      <c r="Y387" s="98" t="s">
        <v>68</v>
      </c>
      <c r="Z387" s="32" t="s">
        <v>536</v>
      </c>
      <c r="AA387" s="32" t="s">
        <v>529</v>
      </c>
      <c r="AB387" s="78" t="s">
        <v>71</v>
      </c>
      <c r="AC387" s="98" t="s">
        <v>62</v>
      </c>
      <c r="AD387" s="98" t="s">
        <v>72</v>
      </c>
      <c r="AE387" s="65" t="s">
        <v>137</v>
      </c>
      <c r="AF387" s="39" t="s">
        <v>175</v>
      </c>
      <c r="AG387" s="98" t="s">
        <v>127</v>
      </c>
      <c r="AH387" s="115">
        <v>650</v>
      </c>
      <c r="AI387" s="117" t="s">
        <v>128</v>
      </c>
      <c r="AJ387" s="115" t="s">
        <v>77</v>
      </c>
      <c r="AK387" s="72">
        <f>796+700</f>
        <v>1496</v>
      </c>
      <c r="AL387" s="116">
        <f t="shared" si="47"/>
        <v>447304000</v>
      </c>
      <c r="AM387" s="116">
        <v>52</v>
      </c>
      <c r="AN387" s="116">
        <v>14836545</v>
      </c>
      <c r="AO387" s="116">
        <v>236</v>
      </c>
      <c r="AP387" s="116">
        <v>68056876</v>
      </c>
      <c r="AQ387" s="116">
        <f t="shared" si="48"/>
        <v>1196.8</v>
      </c>
      <c r="AR387" s="116">
        <f t="shared" si="49"/>
        <v>329215744</v>
      </c>
      <c r="AS387" s="70">
        <v>0.8</v>
      </c>
    </row>
    <row r="388" spans="2:45" x14ac:dyDescent="0.3">
      <c r="B388" s="126" t="s">
        <v>530</v>
      </c>
      <c r="C388" s="98" t="str">
        <f t="shared" si="50"/>
        <v>DJ970</v>
      </c>
      <c r="D388" s="98" t="s">
        <v>55</v>
      </c>
      <c r="E388" s="98" t="str">
        <f t="shared" si="52"/>
        <v>W</v>
      </c>
      <c r="F388" s="98" t="str">
        <f t="shared" si="53"/>
        <v>DJ</v>
      </c>
      <c r="G388" s="98" t="s">
        <v>56</v>
      </c>
      <c r="H388" s="115" t="s">
        <v>531</v>
      </c>
      <c r="I388" s="98" t="s">
        <v>140</v>
      </c>
      <c r="J388" s="115" t="str">
        <f t="shared" si="51"/>
        <v/>
      </c>
      <c r="K388" s="115">
        <v>1</v>
      </c>
      <c r="L388" s="116">
        <v>299000</v>
      </c>
      <c r="M388" s="78" t="s">
        <v>533</v>
      </c>
      <c r="N388" s="98" t="s">
        <v>534</v>
      </c>
      <c r="O388" s="98" t="s">
        <v>532</v>
      </c>
      <c r="P388" s="98">
        <v>100</v>
      </c>
      <c r="Q388" s="32" t="s">
        <v>62</v>
      </c>
      <c r="R388" s="98" t="s">
        <v>535</v>
      </c>
      <c r="S388" s="32" t="s">
        <v>72</v>
      </c>
      <c r="T388" s="98" t="s">
        <v>65</v>
      </c>
      <c r="U388" s="98"/>
      <c r="V388" s="98"/>
      <c r="W388" s="98"/>
      <c r="X388" s="78" t="s">
        <v>67</v>
      </c>
      <c r="Y388" s="98" t="s">
        <v>68</v>
      </c>
      <c r="Z388" s="32" t="s">
        <v>536</v>
      </c>
      <c r="AA388" s="32" t="s">
        <v>529</v>
      </c>
      <c r="AB388" s="78" t="s">
        <v>71</v>
      </c>
      <c r="AC388" s="98" t="s">
        <v>62</v>
      </c>
      <c r="AD388" s="98" t="s">
        <v>72</v>
      </c>
      <c r="AE388" s="65" t="s">
        <v>137</v>
      </c>
      <c r="AF388" s="39" t="s">
        <v>175</v>
      </c>
      <c r="AG388" s="98" t="s">
        <v>127</v>
      </c>
      <c r="AH388" s="115">
        <v>650</v>
      </c>
      <c r="AI388" s="117" t="s">
        <v>128</v>
      </c>
      <c r="AJ388" s="115" t="s">
        <v>77</v>
      </c>
      <c r="AK388" s="72">
        <f>1295+500</f>
        <v>1795</v>
      </c>
      <c r="AL388" s="116">
        <f t="shared" si="47"/>
        <v>536705000</v>
      </c>
      <c r="AM388" s="116">
        <v>95</v>
      </c>
      <c r="AN388" s="116">
        <v>26606393</v>
      </c>
      <c r="AO388" s="116">
        <v>350</v>
      </c>
      <c r="AP388" s="116">
        <v>99530758</v>
      </c>
      <c r="AQ388" s="116">
        <f t="shared" si="48"/>
        <v>1543.7</v>
      </c>
      <c r="AR388" s="116">
        <f t="shared" si="49"/>
        <v>424640996</v>
      </c>
      <c r="AS388" s="70">
        <v>0.86</v>
      </c>
    </row>
    <row r="389" spans="2:45" x14ac:dyDescent="0.3">
      <c r="B389" s="126" t="s">
        <v>537</v>
      </c>
      <c r="C389" s="98" t="str">
        <f t="shared" si="50"/>
        <v>DJ950</v>
      </c>
      <c r="D389" s="98" t="s">
        <v>55</v>
      </c>
      <c r="E389" s="98" t="str">
        <f t="shared" si="52"/>
        <v>W</v>
      </c>
      <c r="F389" s="98" t="str">
        <f t="shared" si="53"/>
        <v>DJ</v>
      </c>
      <c r="G389" s="98" t="s">
        <v>56</v>
      </c>
      <c r="H389" s="115" t="s">
        <v>538</v>
      </c>
      <c r="I389" s="98" t="s">
        <v>79</v>
      </c>
      <c r="J389" s="115">
        <f t="shared" si="51"/>
        <v>1</v>
      </c>
      <c r="K389" s="115">
        <v>1</v>
      </c>
      <c r="L389" s="116">
        <v>299000</v>
      </c>
      <c r="M389" s="78" t="s">
        <v>521</v>
      </c>
      <c r="N389" s="98" t="s">
        <v>133</v>
      </c>
      <c r="O389" s="98" t="s">
        <v>485</v>
      </c>
      <c r="P389" s="98">
        <v>100</v>
      </c>
      <c r="Q389" s="32" t="s">
        <v>85</v>
      </c>
      <c r="R389" s="98" t="s">
        <v>134</v>
      </c>
      <c r="S389" s="32" t="s">
        <v>135</v>
      </c>
      <c r="T389" s="98" t="s">
        <v>122</v>
      </c>
      <c r="U389" s="98" t="s">
        <v>136</v>
      </c>
      <c r="V389" s="98"/>
      <c r="W389" s="98"/>
      <c r="X389" s="78" t="s">
        <v>67</v>
      </c>
      <c r="Y389" s="98" t="s">
        <v>68</v>
      </c>
      <c r="Z389" s="32" t="s">
        <v>89</v>
      </c>
      <c r="AA389" s="32" t="s">
        <v>90</v>
      </c>
      <c r="AB389" s="78" t="s">
        <v>71</v>
      </c>
      <c r="AC389" s="98" t="s">
        <v>62</v>
      </c>
      <c r="AD389" s="98" t="s">
        <v>72</v>
      </c>
      <c r="AE389" s="65" t="s">
        <v>137</v>
      </c>
      <c r="AF389" s="39" t="s">
        <v>191</v>
      </c>
      <c r="AG389" s="98" t="s">
        <v>127</v>
      </c>
      <c r="AH389" s="115">
        <v>650</v>
      </c>
      <c r="AI389" s="117" t="s">
        <v>128</v>
      </c>
      <c r="AJ389" s="115" t="s">
        <v>129</v>
      </c>
      <c r="AK389" s="73">
        <v>1389</v>
      </c>
      <c r="AL389" s="116">
        <f t="shared" si="47"/>
        <v>415311000</v>
      </c>
      <c r="AM389" s="116">
        <v>69</v>
      </c>
      <c r="AN389" s="116">
        <v>19428024</v>
      </c>
      <c r="AO389" s="116">
        <v>340</v>
      </c>
      <c r="AP389" s="116">
        <v>97709228</v>
      </c>
      <c r="AQ389" s="116">
        <f t="shared" si="48"/>
        <v>756.7</v>
      </c>
      <c r="AR389" s="116">
        <f t="shared" si="49"/>
        <v>208153036</v>
      </c>
      <c r="AS389" s="118">
        <v>0.54478041756659468</v>
      </c>
    </row>
    <row r="390" spans="2:45" x14ac:dyDescent="0.3">
      <c r="B390" s="126" t="s">
        <v>537</v>
      </c>
      <c r="C390" s="98" t="str">
        <f t="shared" si="50"/>
        <v>DJ950</v>
      </c>
      <c r="D390" s="98" t="s">
        <v>55</v>
      </c>
      <c r="E390" s="98" t="str">
        <f t="shared" si="52"/>
        <v>W</v>
      </c>
      <c r="F390" s="98" t="str">
        <f t="shared" si="53"/>
        <v>DJ</v>
      </c>
      <c r="G390" s="98" t="s">
        <v>56</v>
      </c>
      <c r="H390" s="115" t="s">
        <v>538</v>
      </c>
      <c r="I390" s="98" t="s">
        <v>159</v>
      </c>
      <c r="J390" s="115" t="str">
        <f t="shared" si="51"/>
        <v/>
      </c>
      <c r="K390" s="115">
        <v>1</v>
      </c>
      <c r="L390" s="116">
        <v>299000</v>
      </c>
      <c r="M390" s="78" t="s">
        <v>521</v>
      </c>
      <c r="N390" s="98" t="s">
        <v>133</v>
      </c>
      <c r="O390" s="98" t="s">
        <v>485</v>
      </c>
      <c r="P390" s="98">
        <v>100</v>
      </c>
      <c r="Q390" s="32" t="s">
        <v>85</v>
      </c>
      <c r="R390" s="98" t="s">
        <v>134</v>
      </c>
      <c r="S390" s="32" t="s">
        <v>135</v>
      </c>
      <c r="T390" s="98" t="s">
        <v>122</v>
      </c>
      <c r="U390" s="98" t="s">
        <v>136</v>
      </c>
      <c r="V390" s="98"/>
      <c r="W390" s="98"/>
      <c r="X390" s="78" t="s">
        <v>67</v>
      </c>
      <c r="Y390" s="98" t="s">
        <v>68</v>
      </c>
      <c r="Z390" s="32" t="s">
        <v>89</v>
      </c>
      <c r="AA390" s="32" t="s">
        <v>90</v>
      </c>
      <c r="AB390" s="78" t="s">
        <v>71</v>
      </c>
      <c r="AC390" s="98" t="s">
        <v>62</v>
      </c>
      <c r="AD390" s="98" t="s">
        <v>72</v>
      </c>
      <c r="AE390" s="65" t="s">
        <v>137</v>
      </c>
      <c r="AF390" s="39" t="s">
        <v>191</v>
      </c>
      <c r="AG390" s="98" t="s">
        <v>127</v>
      </c>
      <c r="AH390" s="115">
        <v>650</v>
      </c>
      <c r="AI390" s="117" t="s">
        <v>128</v>
      </c>
      <c r="AJ390" s="115" t="s">
        <v>129</v>
      </c>
      <c r="AK390" s="73">
        <v>1521</v>
      </c>
      <c r="AL390" s="116">
        <f t="shared" si="47"/>
        <v>454779000</v>
      </c>
      <c r="AM390" s="116">
        <v>73</v>
      </c>
      <c r="AN390" s="116">
        <v>20448265</v>
      </c>
      <c r="AO390" s="116">
        <v>316</v>
      </c>
      <c r="AP390" s="116">
        <v>90198505</v>
      </c>
      <c r="AQ390" s="116">
        <f t="shared" si="48"/>
        <v>772.29999999999984</v>
      </c>
      <c r="AR390" s="116">
        <f t="shared" si="49"/>
        <v>212444283.99999997</v>
      </c>
      <c r="AS390" s="118">
        <v>0.50775805391189999</v>
      </c>
    </row>
    <row r="391" spans="2:45" x14ac:dyDescent="0.3">
      <c r="B391" s="126" t="s">
        <v>537</v>
      </c>
      <c r="C391" s="98" t="str">
        <f t="shared" si="50"/>
        <v>DJ950</v>
      </c>
      <c r="D391" s="98" t="s">
        <v>55</v>
      </c>
      <c r="E391" s="98" t="str">
        <f t="shared" si="52"/>
        <v>W</v>
      </c>
      <c r="F391" s="98" t="str">
        <f t="shared" si="53"/>
        <v>DJ</v>
      </c>
      <c r="G391" s="98" t="s">
        <v>56</v>
      </c>
      <c r="H391" s="115" t="s">
        <v>538</v>
      </c>
      <c r="I391" s="98" t="s">
        <v>78</v>
      </c>
      <c r="J391" s="115" t="str">
        <f t="shared" si="51"/>
        <v/>
      </c>
      <c r="K391" s="115">
        <v>1</v>
      </c>
      <c r="L391" s="116">
        <v>299000</v>
      </c>
      <c r="M391" s="78" t="s">
        <v>521</v>
      </c>
      <c r="N391" s="98" t="s">
        <v>133</v>
      </c>
      <c r="O391" s="98" t="s">
        <v>485</v>
      </c>
      <c r="P391" s="98">
        <v>100</v>
      </c>
      <c r="Q391" s="32" t="s">
        <v>85</v>
      </c>
      <c r="R391" s="98" t="s">
        <v>134</v>
      </c>
      <c r="S391" s="32" t="s">
        <v>135</v>
      </c>
      <c r="T391" s="98" t="s">
        <v>122</v>
      </c>
      <c r="U391" s="98" t="s">
        <v>136</v>
      </c>
      <c r="V391" s="98"/>
      <c r="W391" s="98"/>
      <c r="X391" s="78" t="s">
        <v>67</v>
      </c>
      <c r="Y391" s="98" t="s">
        <v>68</v>
      </c>
      <c r="Z391" s="32" t="s">
        <v>89</v>
      </c>
      <c r="AA391" s="32" t="s">
        <v>90</v>
      </c>
      <c r="AB391" s="78" t="s">
        <v>71</v>
      </c>
      <c r="AC391" s="98" t="s">
        <v>62</v>
      </c>
      <c r="AD391" s="98" t="s">
        <v>72</v>
      </c>
      <c r="AE391" s="65" t="s">
        <v>137</v>
      </c>
      <c r="AF391" s="39" t="s">
        <v>191</v>
      </c>
      <c r="AG391" s="98" t="s">
        <v>127</v>
      </c>
      <c r="AH391" s="115">
        <v>650</v>
      </c>
      <c r="AI391" s="117" t="s">
        <v>128</v>
      </c>
      <c r="AJ391" s="115" t="s">
        <v>129</v>
      </c>
      <c r="AK391" s="73">
        <v>2538</v>
      </c>
      <c r="AL391" s="116">
        <f t="shared" si="47"/>
        <v>758862000</v>
      </c>
      <c r="AM391" s="116">
        <v>156</v>
      </c>
      <c r="AN391" s="116">
        <v>43964339</v>
      </c>
      <c r="AO391" s="116">
        <v>613</v>
      </c>
      <c r="AP391" s="116">
        <v>175562303</v>
      </c>
      <c r="AQ391" s="116">
        <f t="shared" si="48"/>
        <v>1374.4</v>
      </c>
      <c r="AR391" s="116">
        <f t="shared" si="49"/>
        <v>378069952</v>
      </c>
      <c r="AS391" s="118">
        <v>0.54152876280535855</v>
      </c>
    </row>
    <row r="392" spans="2:45" x14ac:dyDescent="0.3">
      <c r="B392" s="126" t="s">
        <v>539</v>
      </c>
      <c r="C392" s="98" t="str">
        <f t="shared" si="50"/>
        <v>DJ9G0</v>
      </c>
      <c r="D392" s="98" t="s">
        <v>55</v>
      </c>
      <c r="E392" s="98" t="str">
        <f t="shared" si="52"/>
        <v>W</v>
      </c>
      <c r="F392" s="98" t="str">
        <f t="shared" si="53"/>
        <v>DJ</v>
      </c>
      <c r="G392" s="98" t="s">
        <v>56</v>
      </c>
      <c r="H392" s="115" t="s">
        <v>540</v>
      </c>
      <c r="I392" s="98" t="s">
        <v>79</v>
      </c>
      <c r="J392" s="115">
        <f t="shared" si="51"/>
        <v>1</v>
      </c>
      <c r="K392" s="115">
        <v>1</v>
      </c>
      <c r="L392" s="116">
        <v>299000</v>
      </c>
      <c r="M392" s="78" t="s">
        <v>509</v>
      </c>
      <c r="N392" s="98" t="s">
        <v>541</v>
      </c>
      <c r="O392" s="98" t="s">
        <v>485</v>
      </c>
      <c r="P392" s="98">
        <v>100</v>
      </c>
      <c r="Q392" s="32" t="s">
        <v>219</v>
      </c>
      <c r="R392" s="98" t="s">
        <v>220</v>
      </c>
      <c r="S392" s="32" t="s">
        <v>221</v>
      </c>
      <c r="T392" s="98" t="s">
        <v>122</v>
      </c>
      <c r="U392" s="98" t="s">
        <v>332</v>
      </c>
      <c r="V392" s="98" t="s">
        <v>66</v>
      </c>
      <c r="W392" s="98"/>
      <c r="X392" s="78" t="s">
        <v>67</v>
      </c>
      <c r="Y392" s="98" t="s">
        <v>68</v>
      </c>
      <c r="Z392" s="32" t="s">
        <v>69</v>
      </c>
      <c r="AA392" s="32" t="s">
        <v>341</v>
      </c>
      <c r="AB392" s="78" t="s">
        <v>71</v>
      </c>
      <c r="AC392" s="98" t="s">
        <v>62</v>
      </c>
      <c r="AD392" s="98" t="s">
        <v>72</v>
      </c>
      <c r="AE392" s="65" t="s">
        <v>137</v>
      </c>
      <c r="AF392" s="39" t="s">
        <v>158</v>
      </c>
      <c r="AG392" s="98" t="s">
        <v>127</v>
      </c>
      <c r="AH392" s="115">
        <v>650</v>
      </c>
      <c r="AI392" s="117" t="s">
        <v>128</v>
      </c>
      <c r="AJ392" s="115" t="s">
        <v>129</v>
      </c>
      <c r="AK392" s="73">
        <v>1499</v>
      </c>
      <c r="AL392" s="116">
        <f t="shared" si="47"/>
        <v>448201000</v>
      </c>
      <c r="AM392" s="116">
        <v>69</v>
      </c>
      <c r="AN392" s="116">
        <v>19130081</v>
      </c>
      <c r="AO392" s="116">
        <v>335</v>
      </c>
      <c r="AP392" s="116">
        <v>95405019</v>
      </c>
      <c r="AQ392" s="116">
        <f t="shared" si="48"/>
        <v>784.7</v>
      </c>
      <c r="AR392" s="116">
        <f t="shared" si="49"/>
        <v>215855276</v>
      </c>
      <c r="AS392" s="118">
        <v>0.52348232154769847</v>
      </c>
    </row>
    <row r="393" spans="2:45" x14ac:dyDescent="0.3">
      <c r="B393" s="126" t="s">
        <v>539</v>
      </c>
      <c r="C393" s="98" t="str">
        <f t="shared" si="50"/>
        <v>DJ9G0</v>
      </c>
      <c r="D393" s="98" t="s">
        <v>55</v>
      </c>
      <c r="E393" s="98" t="str">
        <f t="shared" si="52"/>
        <v>W</v>
      </c>
      <c r="F393" s="98" t="str">
        <f t="shared" si="53"/>
        <v>DJ</v>
      </c>
      <c r="G393" s="98" t="s">
        <v>56</v>
      </c>
      <c r="H393" s="115" t="s">
        <v>540</v>
      </c>
      <c r="I393" s="98" t="s">
        <v>149</v>
      </c>
      <c r="J393" s="115" t="str">
        <f t="shared" si="51"/>
        <v/>
      </c>
      <c r="K393" s="115">
        <v>1</v>
      </c>
      <c r="L393" s="116">
        <v>299000</v>
      </c>
      <c r="M393" s="78" t="s">
        <v>167</v>
      </c>
      <c r="N393" s="98" t="s">
        <v>168</v>
      </c>
      <c r="O393" s="98" t="s">
        <v>532</v>
      </c>
      <c r="P393" s="98">
        <v>100</v>
      </c>
      <c r="Q393" s="32" t="s">
        <v>119</v>
      </c>
      <c r="R393" s="98" t="s">
        <v>169</v>
      </c>
      <c r="S393" s="32" t="s">
        <v>152</v>
      </c>
      <c r="T393" s="98" t="s">
        <v>65</v>
      </c>
      <c r="U393" s="98"/>
      <c r="V393" s="98"/>
      <c r="W393" s="98"/>
      <c r="X393" s="78" t="s">
        <v>67</v>
      </c>
      <c r="Y393" s="98" t="s">
        <v>68</v>
      </c>
      <c r="Z393" s="32" t="s">
        <v>69</v>
      </c>
      <c r="AA393" s="32" t="s">
        <v>70</v>
      </c>
      <c r="AB393" s="78" t="s">
        <v>71</v>
      </c>
      <c r="AC393" s="98" t="s">
        <v>62</v>
      </c>
      <c r="AD393" s="98" t="s">
        <v>72</v>
      </c>
      <c r="AE393" s="65" t="s">
        <v>137</v>
      </c>
      <c r="AF393" s="39" t="s">
        <v>93</v>
      </c>
      <c r="AG393" s="98" t="s">
        <v>127</v>
      </c>
      <c r="AH393" s="115">
        <v>650</v>
      </c>
      <c r="AI393" s="117" t="s">
        <v>128</v>
      </c>
      <c r="AJ393" s="115" t="s">
        <v>129</v>
      </c>
      <c r="AK393" s="73">
        <v>1957</v>
      </c>
      <c r="AL393" s="116">
        <f t="shared" si="47"/>
        <v>585143000</v>
      </c>
      <c r="AM393" s="116">
        <v>166</v>
      </c>
      <c r="AN393" s="116">
        <v>46731517</v>
      </c>
      <c r="AO393" s="116">
        <v>886</v>
      </c>
      <c r="AP393" s="116">
        <v>254613119</v>
      </c>
      <c r="AQ393" s="116">
        <f t="shared" si="48"/>
        <v>1473.1000000000001</v>
      </c>
      <c r="AR393" s="116">
        <f t="shared" si="49"/>
        <v>405220348</v>
      </c>
      <c r="AS393" s="118">
        <v>0.75273377618804294</v>
      </c>
    </row>
    <row r="394" spans="2:45" x14ac:dyDescent="0.3">
      <c r="B394" s="126" t="s">
        <v>539</v>
      </c>
      <c r="C394" s="98" t="str">
        <f t="shared" si="50"/>
        <v>DJ9G0</v>
      </c>
      <c r="D394" s="98" t="s">
        <v>55</v>
      </c>
      <c r="E394" s="98" t="str">
        <f t="shared" si="52"/>
        <v>W</v>
      </c>
      <c r="F394" s="98" t="str">
        <f t="shared" si="53"/>
        <v>DJ</v>
      </c>
      <c r="G394" s="98" t="s">
        <v>56</v>
      </c>
      <c r="H394" s="115" t="s">
        <v>540</v>
      </c>
      <c r="I394" s="98" t="s">
        <v>542</v>
      </c>
      <c r="J394" s="115" t="str">
        <f t="shared" si="51"/>
        <v/>
      </c>
      <c r="K394" s="115">
        <v>1</v>
      </c>
      <c r="L394" s="116">
        <v>299000</v>
      </c>
      <c r="M394" s="78" t="s">
        <v>167</v>
      </c>
      <c r="N394" s="98" t="s">
        <v>168</v>
      </c>
      <c r="O394" s="98" t="s">
        <v>532</v>
      </c>
      <c r="P394" s="98">
        <v>100</v>
      </c>
      <c r="Q394" s="32" t="s">
        <v>119</v>
      </c>
      <c r="R394" s="98" t="s">
        <v>169</v>
      </c>
      <c r="S394" s="32" t="s">
        <v>152</v>
      </c>
      <c r="T394" s="98" t="s">
        <v>65</v>
      </c>
      <c r="U394" s="98"/>
      <c r="V394" s="98"/>
      <c r="W394" s="98"/>
      <c r="X394" s="78" t="s">
        <v>67</v>
      </c>
      <c r="Y394" s="98" t="s">
        <v>68</v>
      </c>
      <c r="Z394" s="32" t="s">
        <v>69</v>
      </c>
      <c r="AA394" s="32" t="s">
        <v>70</v>
      </c>
      <c r="AB394" s="78" t="s">
        <v>71</v>
      </c>
      <c r="AC394" s="98" t="s">
        <v>62</v>
      </c>
      <c r="AD394" s="98" t="s">
        <v>72</v>
      </c>
      <c r="AE394" s="65" t="s">
        <v>137</v>
      </c>
      <c r="AF394" s="39" t="s">
        <v>93</v>
      </c>
      <c r="AG394" s="98" t="s">
        <v>127</v>
      </c>
      <c r="AH394" s="115">
        <v>650</v>
      </c>
      <c r="AI394" s="117" t="s">
        <v>128</v>
      </c>
      <c r="AJ394" s="115" t="s">
        <v>129</v>
      </c>
      <c r="AK394" s="73">
        <v>1890</v>
      </c>
      <c r="AL394" s="116">
        <f t="shared" si="47"/>
        <v>565110000</v>
      </c>
      <c r="AM394" s="116">
        <v>64</v>
      </c>
      <c r="AN394" s="116">
        <v>18047574</v>
      </c>
      <c r="AO394" s="116">
        <v>421</v>
      </c>
      <c r="AP394" s="116">
        <v>121237987</v>
      </c>
      <c r="AQ394" s="116">
        <f t="shared" si="48"/>
        <v>988</v>
      </c>
      <c r="AR394" s="116">
        <f t="shared" si="49"/>
        <v>271779040</v>
      </c>
      <c r="AS394" s="118">
        <v>0.52275132275132274</v>
      </c>
    </row>
    <row r="395" spans="2:45" x14ac:dyDescent="0.3">
      <c r="B395" s="126" t="s">
        <v>543</v>
      </c>
      <c r="C395" s="98" t="str">
        <f t="shared" si="50"/>
        <v>DJ9G0</v>
      </c>
      <c r="D395" s="98" t="s">
        <v>55</v>
      </c>
      <c r="E395" s="98" t="str">
        <f t="shared" si="52"/>
        <v>W</v>
      </c>
      <c r="F395" s="98" t="str">
        <f t="shared" si="53"/>
        <v>DJ</v>
      </c>
      <c r="G395" s="98" t="s">
        <v>56</v>
      </c>
      <c r="H395" s="115" t="s">
        <v>540</v>
      </c>
      <c r="I395" s="98" t="s">
        <v>78</v>
      </c>
      <c r="J395" s="115" t="str">
        <f t="shared" si="51"/>
        <v/>
      </c>
      <c r="K395" s="115">
        <v>1</v>
      </c>
      <c r="L395" s="116">
        <v>299000</v>
      </c>
      <c r="M395" s="78" t="s">
        <v>509</v>
      </c>
      <c r="N395" s="98" t="s">
        <v>541</v>
      </c>
      <c r="O395" s="98" t="s">
        <v>485</v>
      </c>
      <c r="P395" s="98">
        <v>100</v>
      </c>
      <c r="Q395" s="32" t="s">
        <v>219</v>
      </c>
      <c r="R395" s="98" t="s">
        <v>220</v>
      </c>
      <c r="S395" s="32" t="s">
        <v>221</v>
      </c>
      <c r="T395" s="98" t="s">
        <v>122</v>
      </c>
      <c r="U395" s="98" t="s">
        <v>332</v>
      </c>
      <c r="V395" s="98" t="s">
        <v>66</v>
      </c>
      <c r="W395" s="98"/>
      <c r="X395" s="78" t="s">
        <v>67</v>
      </c>
      <c r="Y395" s="98" t="s">
        <v>68</v>
      </c>
      <c r="Z395" s="32" t="s">
        <v>69</v>
      </c>
      <c r="AA395" s="32" t="s">
        <v>341</v>
      </c>
      <c r="AB395" s="78" t="s">
        <v>71</v>
      </c>
      <c r="AC395" s="98" t="s">
        <v>62</v>
      </c>
      <c r="AD395" s="98" t="s">
        <v>72</v>
      </c>
      <c r="AE395" s="65" t="s">
        <v>137</v>
      </c>
      <c r="AF395" s="39" t="s">
        <v>158</v>
      </c>
      <c r="AG395" s="98" t="s">
        <v>127</v>
      </c>
      <c r="AH395" s="115">
        <v>650</v>
      </c>
      <c r="AI395" s="117" t="s">
        <v>128</v>
      </c>
      <c r="AJ395" s="115" t="s">
        <v>129</v>
      </c>
      <c r="AK395" s="73">
        <v>3816</v>
      </c>
      <c r="AL395" s="116">
        <f t="shared" si="47"/>
        <v>1140984000</v>
      </c>
      <c r="AM395" s="116">
        <v>169</v>
      </c>
      <c r="AN395" s="116">
        <v>47378795</v>
      </c>
      <c r="AO395" s="116">
        <v>687</v>
      </c>
      <c r="AP395" s="116">
        <v>197349018</v>
      </c>
      <c r="AQ395" s="116">
        <f t="shared" si="48"/>
        <v>1831.8</v>
      </c>
      <c r="AR395" s="116">
        <f t="shared" si="49"/>
        <v>503891544</v>
      </c>
      <c r="AS395" s="118">
        <v>0.48003144654088048</v>
      </c>
    </row>
    <row r="396" spans="2:45" x14ac:dyDescent="0.3">
      <c r="B396" s="126" t="s">
        <v>539</v>
      </c>
      <c r="C396" s="98" t="str">
        <f t="shared" si="50"/>
        <v>DJ9G0</v>
      </c>
      <c r="D396" s="98" t="s">
        <v>55</v>
      </c>
      <c r="E396" s="98" t="str">
        <f t="shared" si="52"/>
        <v>W</v>
      </c>
      <c r="F396" s="98" t="str">
        <f t="shared" si="53"/>
        <v>DJ</v>
      </c>
      <c r="G396" s="98" t="s">
        <v>56</v>
      </c>
      <c r="H396" s="115" t="s">
        <v>540</v>
      </c>
      <c r="I396" s="98" t="s">
        <v>385</v>
      </c>
      <c r="J396" s="115" t="str">
        <f t="shared" si="51"/>
        <v/>
      </c>
      <c r="K396" s="115">
        <v>1</v>
      </c>
      <c r="L396" s="116">
        <v>299000</v>
      </c>
      <c r="M396" s="78" t="s">
        <v>477</v>
      </c>
      <c r="N396" s="98" t="s">
        <v>544</v>
      </c>
      <c r="O396" s="98" t="s">
        <v>143</v>
      </c>
      <c r="P396" s="98">
        <v>100</v>
      </c>
      <c r="Q396" s="32" t="s">
        <v>62</v>
      </c>
      <c r="R396" s="98" t="s">
        <v>545</v>
      </c>
      <c r="S396" s="32" t="s">
        <v>546</v>
      </c>
      <c r="T396" s="98" t="s">
        <v>65</v>
      </c>
      <c r="U396" s="98"/>
      <c r="V396" s="98" t="s">
        <v>66</v>
      </c>
      <c r="W396" s="98"/>
      <c r="X396" s="78" t="s">
        <v>67</v>
      </c>
      <c r="Y396" s="98" t="s">
        <v>340</v>
      </c>
      <c r="Z396" s="32" t="s">
        <v>441</v>
      </c>
      <c r="AA396" s="32" t="s">
        <v>353</v>
      </c>
      <c r="AB396" s="78" t="s">
        <v>71</v>
      </c>
      <c r="AC396" s="98" t="s">
        <v>62</v>
      </c>
      <c r="AD396" s="98" t="s">
        <v>72</v>
      </c>
      <c r="AE396" s="65" t="s">
        <v>137</v>
      </c>
      <c r="AF396" s="39" t="s">
        <v>158</v>
      </c>
      <c r="AG396" s="98" t="s">
        <v>127</v>
      </c>
      <c r="AH396" s="115">
        <v>650</v>
      </c>
      <c r="AI396" s="117" t="s">
        <v>128</v>
      </c>
      <c r="AJ396" s="115" t="s">
        <v>129</v>
      </c>
      <c r="AK396" s="73">
        <v>965</v>
      </c>
      <c r="AL396" s="116">
        <f t="shared" si="47"/>
        <v>288535000</v>
      </c>
      <c r="AM396" s="116">
        <v>17</v>
      </c>
      <c r="AN396" s="116">
        <v>4798984</v>
      </c>
      <c r="AO396" s="116">
        <v>113</v>
      </c>
      <c r="AP396" s="116">
        <v>32520663</v>
      </c>
      <c r="AQ396" s="116">
        <f t="shared" si="48"/>
        <v>402.5</v>
      </c>
      <c r="AR396" s="116">
        <f t="shared" si="49"/>
        <v>110719700</v>
      </c>
      <c r="AS396" s="118">
        <v>0.41709844559585491</v>
      </c>
    </row>
    <row r="397" spans="2:45" x14ac:dyDescent="0.3">
      <c r="B397" s="126" t="s">
        <v>539</v>
      </c>
      <c r="C397" s="98" t="str">
        <f t="shared" si="50"/>
        <v>DJ9G0</v>
      </c>
      <c r="D397" s="98" t="s">
        <v>55</v>
      </c>
      <c r="E397" s="98" t="str">
        <f t="shared" si="52"/>
        <v>W</v>
      </c>
      <c r="F397" s="98" t="str">
        <f t="shared" si="53"/>
        <v>DJ</v>
      </c>
      <c r="G397" s="98" t="s">
        <v>56</v>
      </c>
      <c r="H397" s="115" t="s">
        <v>540</v>
      </c>
      <c r="I397" s="98" t="s">
        <v>547</v>
      </c>
      <c r="J397" s="115" t="str">
        <f t="shared" si="51"/>
        <v/>
      </c>
      <c r="K397" s="115">
        <v>1</v>
      </c>
      <c r="L397" s="116">
        <v>299000</v>
      </c>
      <c r="M397" s="78" t="s">
        <v>477</v>
      </c>
      <c r="N397" s="98" t="s">
        <v>544</v>
      </c>
      <c r="O397" s="98" t="s">
        <v>143</v>
      </c>
      <c r="P397" s="98">
        <v>100</v>
      </c>
      <c r="Q397" s="32" t="s">
        <v>62</v>
      </c>
      <c r="R397" s="98" t="s">
        <v>545</v>
      </c>
      <c r="S397" s="32" t="s">
        <v>546</v>
      </c>
      <c r="T397" s="98" t="s">
        <v>65</v>
      </c>
      <c r="U397" s="98"/>
      <c r="V397" s="98" t="s">
        <v>66</v>
      </c>
      <c r="W397" s="98"/>
      <c r="X397" s="78" t="s">
        <v>67</v>
      </c>
      <c r="Y397" s="98" t="s">
        <v>340</v>
      </c>
      <c r="Z397" s="32" t="s">
        <v>441</v>
      </c>
      <c r="AA397" s="32" t="s">
        <v>353</v>
      </c>
      <c r="AB397" s="78" t="s">
        <v>71</v>
      </c>
      <c r="AC397" s="98" t="s">
        <v>62</v>
      </c>
      <c r="AD397" s="98" t="s">
        <v>72</v>
      </c>
      <c r="AE397" s="65" t="s">
        <v>137</v>
      </c>
      <c r="AF397" s="39" t="s">
        <v>158</v>
      </c>
      <c r="AG397" s="98" t="s">
        <v>127</v>
      </c>
      <c r="AH397" s="115">
        <v>650</v>
      </c>
      <c r="AI397" s="117" t="s">
        <v>128</v>
      </c>
      <c r="AJ397" s="115" t="s">
        <v>129</v>
      </c>
      <c r="AK397" s="73">
        <v>997</v>
      </c>
      <c r="AL397" s="116">
        <f t="shared" si="47"/>
        <v>298103000</v>
      </c>
      <c r="AM397" s="116">
        <v>9</v>
      </c>
      <c r="AN397" s="116">
        <v>2573155</v>
      </c>
      <c r="AO397" s="116">
        <v>55</v>
      </c>
      <c r="AP397" s="116">
        <v>15905262</v>
      </c>
      <c r="AQ397" s="116">
        <f t="shared" si="48"/>
        <v>354.09999999999997</v>
      </c>
      <c r="AR397" s="116">
        <f t="shared" si="49"/>
        <v>97405827.999999985</v>
      </c>
      <c r="AS397" s="118">
        <v>0.35516549648946838</v>
      </c>
    </row>
    <row r="398" spans="2:45" x14ac:dyDescent="0.3">
      <c r="B398" s="126" t="s">
        <v>539</v>
      </c>
      <c r="C398" s="98" t="str">
        <f t="shared" si="50"/>
        <v>DJ9G0</v>
      </c>
      <c r="D398" s="98" t="s">
        <v>55</v>
      </c>
      <c r="E398" s="98" t="str">
        <f t="shared" si="52"/>
        <v>W</v>
      </c>
      <c r="F398" s="98" t="str">
        <f t="shared" si="53"/>
        <v>DJ</v>
      </c>
      <c r="G398" s="98" t="s">
        <v>56</v>
      </c>
      <c r="H398" s="115" t="s">
        <v>540</v>
      </c>
      <c r="I398" s="98" t="s">
        <v>140</v>
      </c>
      <c r="J398" s="115" t="str">
        <f t="shared" si="51"/>
        <v/>
      </c>
      <c r="K398" s="115">
        <v>1</v>
      </c>
      <c r="L398" s="116">
        <v>299000</v>
      </c>
      <c r="M398" s="78" t="s">
        <v>167</v>
      </c>
      <c r="N398" s="98" t="s">
        <v>168</v>
      </c>
      <c r="O398" s="98" t="s">
        <v>532</v>
      </c>
      <c r="P398" s="98">
        <v>100</v>
      </c>
      <c r="Q398" s="32" t="s">
        <v>119</v>
      </c>
      <c r="R398" s="98" t="s">
        <v>169</v>
      </c>
      <c r="S398" s="32" t="s">
        <v>152</v>
      </c>
      <c r="T398" s="98" t="s">
        <v>65</v>
      </c>
      <c r="U398" s="98"/>
      <c r="V398" s="98"/>
      <c r="W398" s="98"/>
      <c r="X398" s="78" t="s">
        <v>67</v>
      </c>
      <c r="Y398" s="98" t="s">
        <v>68</v>
      </c>
      <c r="Z398" s="32" t="s">
        <v>69</v>
      </c>
      <c r="AA398" s="32" t="s">
        <v>70</v>
      </c>
      <c r="AB398" s="78" t="s">
        <v>71</v>
      </c>
      <c r="AC398" s="98" t="s">
        <v>62</v>
      </c>
      <c r="AD398" s="98" t="s">
        <v>72</v>
      </c>
      <c r="AE398" s="65" t="s">
        <v>137</v>
      </c>
      <c r="AF398" s="39" t="s">
        <v>93</v>
      </c>
      <c r="AG398" s="98" t="s">
        <v>127</v>
      </c>
      <c r="AH398" s="115">
        <v>650</v>
      </c>
      <c r="AI398" s="117" t="s">
        <v>128</v>
      </c>
      <c r="AJ398" s="115" t="s">
        <v>129</v>
      </c>
      <c r="AK398" s="73">
        <v>7780</v>
      </c>
      <c r="AL398" s="116">
        <f t="shared" si="47"/>
        <v>2326220000</v>
      </c>
      <c r="AM398" s="116">
        <v>782</v>
      </c>
      <c r="AN398" s="116">
        <v>219965793</v>
      </c>
      <c r="AO398" s="116">
        <v>3764</v>
      </c>
      <c r="AP398" s="116">
        <v>1081370438</v>
      </c>
      <c r="AQ398" s="116">
        <f t="shared" si="48"/>
        <v>6098</v>
      </c>
      <c r="AR398" s="116">
        <f t="shared" si="49"/>
        <v>1677437840</v>
      </c>
      <c r="AS398" s="118">
        <v>0.78380462724935729</v>
      </c>
    </row>
    <row r="399" spans="2:45" x14ac:dyDescent="0.3">
      <c r="B399" s="126" t="s">
        <v>548</v>
      </c>
      <c r="C399" s="98" t="str">
        <f t="shared" si="50"/>
        <v>DJ960</v>
      </c>
      <c r="D399" s="98" t="s">
        <v>55</v>
      </c>
      <c r="E399" s="98" t="str">
        <f t="shared" si="52"/>
        <v>W</v>
      </c>
      <c r="F399" s="98" t="str">
        <f t="shared" si="53"/>
        <v>DJ</v>
      </c>
      <c r="G399" s="98" t="s">
        <v>56</v>
      </c>
      <c r="H399" s="115" t="s">
        <v>193</v>
      </c>
      <c r="I399" s="98" t="s">
        <v>79</v>
      </c>
      <c r="J399" s="115">
        <f t="shared" si="51"/>
        <v>1</v>
      </c>
      <c r="K399" s="115">
        <v>1</v>
      </c>
      <c r="L399" s="116">
        <v>399000</v>
      </c>
      <c r="M399" s="78" t="s">
        <v>509</v>
      </c>
      <c r="N399" s="98" t="s">
        <v>541</v>
      </c>
      <c r="O399" s="98" t="s">
        <v>485</v>
      </c>
      <c r="P399" s="98">
        <v>100</v>
      </c>
      <c r="Q399" s="32" t="s">
        <v>219</v>
      </c>
      <c r="R399" s="98" t="s">
        <v>220</v>
      </c>
      <c r="S399" s="32" t="s">
        <v>221</v>
      </c>
      <c r="T399" s="98" t="s">
        <v>122</v>
      </c>
      <c r="U399" s="98" t="s">
        <v>332</v>
      </c>
      <c r="V399" s="98" t="s">
        <v>66</v>
      </c>
      <c r="W399" s="98"/>
      <c r="X399" s="78" t="s">
        <v>67</v>
      </c>
      <c r="Y399" s="98" t="s">
        <v>68</v>
      </c>
      <c r="Z399" s="32" t="s">
        <v>69</v>
      </c>
      <c r="AA399" s="32" t="s">
        <v>341</v>
      </c>
      <c r="AB399" s="78" t="s">
        <v>71</v>
      </c>
      <c r="AC399" s="98" t="s">
        <v>62</v>
      </c>
      <c r="AD399" s="98" t="s">
        <v>72</v>
      </c>
      <c r="AE399" s="65" t="s">
        <v>73</v>
      </c>
      <c r="AF399" s="39" t="s">
        <v>549</v>
      </c>
      <c r="AG399" s="98" t="s">
        <v>127</v>
      </c>
      <c r="AH399" s="115">
        <v>650</v>
      </c>
      <c r="AI399" s="117" t="s">
        <v>99</v>
      </c>
      <c r="AJ399" s="115" t="s">
        <v>100</v>
      </c>
      <c r="AK399" s="73">
        <v>601</v>
      </c>
      <c r="AL399" s="116">
        <f t="shared" si="47"/>
        <v>239799000</v>
      </c>
      <c r="AM399" s="116">
        <v>12</v>
      </c>
      <c r="AN399" s="116">
        <v>4552851</v>
      </c>
      <c r="AO399" s="116">
        <v>86</v>
      </c>
      <c r="AP399" s="116">
        <v>33339438</v>
      </c>
      <c r="AQ399" s="116">
        <f t="shared" si="48"/>
        <v>296.34999999999997</v>
      </c>
      <c r="AR399" s="116">
        <f t="shared" si="49"/>
        <v>108784157.99999999</v>
      </c>
      <c r="AS399" s="118">
        <v>0.49309484193011643</v>
      </c>
    </row>
    <row r="400" spans="2:45" x14ac:dyDescent="0.3">
      <c r="B400" s="126" t="s">
        <v>548</v>
      </c>
      <c r="C400" s="98" t="str">
        <f t="shared" si="50"/>
        <v>DJ960</v>
      </c>
      <c r="D400" s="98" t="s">
        <v>55</v>
      </c>
      <c r="E400" s="98" t="str">
        <f t="shared" si="52"/>
        <v>W</v>
      </c>
      <c r="F400" s="98" t="str">
        <f t="shared" si="53"/>
        <v>DJ</v>
      </c>
      <c r="G400" s="98" t="s">
        <v>56</v>
      </c>
      <c r="H400" s="115" t="s">
        <v>193</v>
      </c>
      <c r="I400" s="98" t="s">
        <v>78</v>
      </c>
      <c r="J400" s="115" t="str">
        <f t="shared" si="51"/>
        <v/>
      </c>
      <c r="K400" s="115">
        <v>1</v>
      </c>
      <c r="L400" s="116">
        <v>399000</v>
      </c>
      <c r="M400" s="78" t="s">
        <v>509</v>
      </c>
      <c r="N400" s="98" t="s">
        <v>541</v>
      </c>
      <c r="O400" s="98" t="s">
        <v>485</v>
      </c>
      <c r="P400" s="98">
        <v>100</v>
      </c>
      <c r="Q400" s="32" t="s">
        <v>219</v>
      </c>
      <c r="R400" s="98" t="s">
        <v>220</v>
      </c>
      <c r="S400" s="32" t="s">
        <v>221</v>
      </c>
      <c r="T400" s="98" t="s">
        <v>122</v>
      </c>
      <c r="U400" s="98" t="s">
        <v>332</v>
      </c>
      <c r="V400" s="98" t="s">
        <v>66</v>
      </c>
      <c r="W400" s="98"/>
      <c r="X400" s="78" t="s">
        <v>67</v>
      </c>
      <c r="Y400" s="98" t="s">
        <v>68</v>
      </c>
      <c r="Z400" s="32" t="s">
        <v>69</v>
      </c>
      <c r="AA400" s="32" t="s">
        <v>341</v>
      </c>
      <c r="AB400" s="78" t="s">
        <v>71</v>
      </c>
      <c r="AC400" s="98" t="s">
        <v>62</v>
      </c>
      <c r="AD400" s="98" t="s">
        <v>72</v>
      </c>
      <c r="AE400" s="65" t="s">
        <v>73</v>
      </c>
      <c r="AF400" s="39" t="s">
        <v>549</v>
      </c>
      <c r="AG400" s="98" t="s">
        <v>127</v>
      </c>
      <c r="AH400" s="115">
        <v>650</v>
      </c>
      <c r="AI400" s="117" t="s">
        <v>99</v>
      </c>
      <c r="AJ400" s="115" t="s">
        <v>100</v>
      </c>
      <c r="AK400" s="73">
        <v>795</v>
      </c>
      <c r="AL400" s="116">
        <f t="shared" si="47"/>
        <v>317205000</v>
      </c>
      <c r="AM400" s="116">
        <v>72</v>
      </c>
      <c r="AN400" s="116">
        <v>26853268</v>
      </c>
      <c r="AO400" s="116">
        <v>344</v>
      </c>
      <c r="AP400" s="116">
        <v>132032983</v>
      </c>
      <c r="AQ400" s="116">
        <f t="shared" si="48"/>
        <v>622.25</v>
      </c>
      <c r="AR400" s="116">
        <f t="shared" si="49"/>
        <v>228415530</v>
      </c>
      <c r="AS400" s="118">
        <v>0.78270440251572326</v>
      </c>
    </row>
    <row r="401" spans="2:45" x14ac:dyDescent="0.3">
      <c r="B401" s="126" t="s">
        <v>550</v>
      </c>
      <c r="C401" s="98" t="str">
        <f t="shared" si="50"/>
        <v>DJ990</v>
      </c>
      <c r="D401" s="98" t="s">
        <v>55</v>
      </c>
      <c r="E401" s="98" t="str">
        <f t="shared" si="52"/>
        <v>W</v>
      </c>
      <c r="F401" s="98" t="str">
        <f t="shared" si="53"/>
        <v>DJ</v>
      </c>
      <c r="G401" s="98" t="s">
        <v>56</v>
      </c>
      <c r="H401" s="115" t="s">
        <v>211</v>
      </c>
      <c r="I401" s="98" t="s">
        <v>385</v>
      </c>
      <c r="J401" s="115">
        <f t="shared" si="51"/>
        <v>1</v>
      </c>
      <c r="K401" s="115">
        <v>1</v>
      </c>
      <c r="L401" s="116">
        <v>399000</v>
      </c>
      <c r="M401" s="78" t="s">
        <v>202</v>
      </c>
      <c r="N401" s="98" t="s">
        <v>203</v>
      </c>
      <c r="O401" s="98" t="s">
        <v>485</v>
      </c>
      <c r="P401" s="98">
        <v>100</v>
      </c>
      <c r="Q401" s="32" t="s">
        <v>204</v>
      </c>
      <c r="R401" s="98" t="s">
        <v>205</v>
      </c>
      <c r="S401" s="32" t="s">
        <v>551</v>
      </c>
      <c r="T401" s="98" t="s">
        <v>122</v>
      </c>
      <c r="U401" s="98" t="s">
        <v>207</v>
      </c>
      <c r="V401" s="98" t="s">
        <v>66</v>
      </c>
      <c r="W401" s="98"/>
      <c r="X401" s="78" t="s">
        <v>67</v>
      </c>
      <c r="Y401" s="98" t="s">
        <v>68</v>
      </c>
      <c r="Z401" s="32" t="s">
        <v>125</v>
      </c>
      <c r="AA401" s="32" t="s">
        <v>90</v>
      </c>
      <c r="AB401" s="78" t="s">
        <v>71</v>
      </c>
      <c r="AC401" s="98" t="s">
        <v>85</v>
      </c>
      <c r="AD401" s="98" t="s">
        <v>208</v>
      </c>
      <c r="AE401" s="65" t="s">
        <v>73</v>
      </c>
      <c r="AF401" s="39" t="s">
        <v>549</v>
      </c>
      <c r="AG401" s="98" t="s">
        <v>127</v>
      </c>
      <c r="AH401" s="115">
        <v>650</v>
      </c>
      <c r="AI401" s="117" t="s">
        <v>128</v>
      </c>
      <c r="AJ401" s="115" t="s">
        <v>94</v>
      </c>
      <c r="AK401" s="73">
        <v>3467</v>
      </c>
      <c r="AL401" s="116">
        <f t="shared" si="47"/>
        <v>1383333000</v>
      </c>
      <c r="AM401" s="116">
        <v>425</v>
      </c>
      <c r="AN401" s="116">
        <v>160228996</v>
      </c>
      <c r="AO401" s="116">
        <v>1613</v>
      </c>
      <c r="AP401" s="116">
        <v>621829687</v>
      </c>
      <c r="AQ401" s="116">
        <f t="shared" si="48"/>
        <v>2653.1</v>
      </c>
      <c r="AR401" s="116">
        <f t="shared" si="49"/>
        <v>973899948</v>
      </c>
      <c r="AS401" s="118">
        <v>0.76524372656475337</v>
      </c>
    </row>
    <row r="402" spans="2:45" x14ac:dyDescent="0.3">
      <c r="B402" s="126" t="s">
        <v>550</v>
      </c>
      <c r="C402" s="98" t="str">
        <f t="shared" si="50"/>
        <v>DJ990</v>
      </c>
      <c r="D402" s="98" t="s">
        <v>55</v>
      </c>
      <c r="E402" s="98" t="str">
        <f t="shared" si="52"/>
        <v>W</v>
      </c>
      <c r="F402" s="98" t="str">
        <f t="shared" si="53"/>
        <v>DJ</v>
      </c>
      <c r="G402" s="98" t="s">
        <v>56</v>
      </c>
      <c r="H402" s="115" t="s">
        <v>211</v>
      </c>
      <c r="I402" s="98" t="s">
        <v>78</v>
      </c>
      <c r="J402" s="115" t="str">
        <f t="shared" si="51"/>
        <v/>
      </c>
      <c r="K402" s="115">
        <v>1</v>
      </c>
      <c r="L402" s="116">
        <v>399000</v>
      </c>
      <c r="M402" s="78" t="s">
        <v>202</v>
      </c>
      <c r="N402" s="98" t="s">
        <v>203</v>
      </c>
      <c r="O402" s="98" t="s">
        <v>485</v>
      </c>
      <c r="P402" s="98">
        <v>100</v>
      </c>
      <c r="Q402" s="32" t="s">
        <v>204</v>
      </c>
      <c r="R402" s="98" t="s">
        <v>205</v>
      </c>
      <c r="S402" s="32" t="s">
        <v>551</v>
      </c>
      <c r="T402" s="98" t="s">
        <v>122</v>
      </c>
      <c r="U402" s="98" t="s">
        <v>207</v>
      </c>
      <c r="V402" s="98" t="s">
        <v>66</v>
      </c>
      <c r="W402" s="98"/>
      <c r="X402" s="78" t="s">
        <v>67</v>
      </c>
      <c r="Y402" s="98" t="s">
        <v>68</v>
      </c>
      <c r="Z402" s="32" t="s">
        <v>125</v>
      </c>
      <c r="AA402" s="32" t="s">
        <v>90</v>
      </c>
      <c r="AB402" s="78" t="s">
        <v>71</v>
      </c>
      <c r="AC402" s="98" t="s">
        <v>85</v>
      </c>
      <c r="AD402" s="98" t="s">
        <v>208</v>
      </c>
      <c r="AE402" s="65" t="s">
        <v>73</v>
      </c>
      <c r="AF402" s="39" t="s">
        <v>549</v>
      </c>
      <c r="AG402" s="98" t="s">
        <v>127</v>
      </c>
      <c r="AH402" s="115">
        <v>650</v>
      </c>
      <c r="AI402" s="117" t="s">
        <v>128</v>
      </c>
      <c r="AJ402" s="115" t="s">
        <v>94</v>
      </c>
      <c r="AK402" s="73">
        <v>4943</v>
      </c>
      <c r="AL402" s="116">
        <f t="shared" si="47"/>
        <v>1972257000</v>
      </c>
      <c r="AM402" s="116">
        <v>552</v>
      </c>
      <c r="AN402" s="116">
        <v>207719727</v>
      </c>
      <c r="AO402" s="116">
        <v>1963</v>
      </c>
      <c r="AP402" s="116">
        <v>755801731</v>
      </c>
      <c r="AQ402" s="116">
        <f t="shared" si="48"/>
        <v>3445.9</v>
      </c>
      <c r="AR402" s="116">
        <f t="shared" si="49"/>
        <v>1264920972</v>
      </c>
      <c r="AS402" s="118">
        <v>0.69712725065749548</v>
      </c>
    </row>
    <row r="403" spans="2:45" x14ac:dyDescent="0.3">
      <c r="B403" s="126" t="s">
        <v>550</v>
      </c>
      <c r="C403" s="98" t="str">
        <f t="shared" si="50"/>
        <v>DJ990</v>
      </c>
      <c r="D403" s="98" t="s">
        <v>55</v>
      </c>
      <c r="E403" s="98" t="str">
        <f t="shared" si="52"/>
        <v>W</v>
      </c>
      <c r="F403" s="98" t="str">
        <f t="shared" si="53"/>
        <v>DJ</v>
      </c>
      <c r="G403" s="98" t="s">
        <v>56</v>
      </c>
      <c r="H403" s="115" t="s">
        <v>211</v>
      </c>
      <c r="I403" s="98" t="s">
        <v>260</v>
      </c>
      <c r="J403" s="115" t="str">
        <f t="shared" si="51"/>
        <v/>
      </c>
      <c r="K403" s="115">
        <v>1</v>
      </c>
      <c r="L403" s="116">
        <v>399000</v>
      </c>
      <c r="M403" s="78" t="s">
        <v>202</v>
      </c>
      <c r="N403" s="98" t="s">
        <v>203</v>
      </c>
      <c r="O403" s="98" t="s">
        <v>485</v>
      </c>
      <c r="P403" s="98">
        <v>100</v>
      </c>
      <c r="Q403" s="32" t="s">
        <v>204</v>
      </c>
      <c r="R403" s="98" t="s">
        <v>205</v>
      </c>
      <c r="S403" s="32" t="s">
        <v>551</v>
      </c>
      <c r="T403" s="98" t="s">
        <v>122</v>
      </c>
      <c r="U403" s="98" t="s">
        <v>207</v>
      </c>
      <c r="V403" s="98" t="s">
        <v>66</v>
      </c>
      <c r="W403" s="98"/>
      <c r="X403" s="78" t="s">
        <v>67</v>
      </c>
      <c r="Y403" s="98" t="s">
        <v>68</v>
      </c>
      <c r="Z403" s="32" t="s">
        <v>125</v>
      </c>
      <c r="AA403" s="32" t="s">
        <v>90</v>
      </c>
      <c r="AB403" s="78" t="s">
        <v>71</v>
      </c>
      <c r="AC403" s="98" t="s">
        <v>85</v>
      </c>
      <c r="AD403" s="98" t="s">
        <v>208</v>
      </c>
      <c r="AE403" s="65" t="s">
        <v>73</v>
      </c>
      <c r="AF403" s="39" t="s">
        <v>549</v>
      </c>
      <c r="AG403" s="98" t="s">
        <v>127</v>
      </c>
      <c r="AH403" s="115">
        <v>650</v>
      </c>
      <c r="AI403" s="117" t="s">
        <v>128</v>
      </c>
      <c r="AJ403" s="115" t="s">
        <v>94</v>
      </c>
      <c r="AK403" s="73">
        <v>951</v>
      </c>
      <c r="AL403" s="116">
        <f t="shared" si="47"/>
        <v>379449000</v>
      </c>
      <c r="AM403" s="116">
        <v>135</v>
      </c>
      <c r="AN403" s="116">
        <v>52199498</v>
      </c>
      <c r="AO403" s="116">
        <v>655</v>
      </c>
      <c r="AP403" s="116">
        <v>255003042</v>
      </c>
      <c r="AQ403" s="116">
        <f t="shared" si="48"/>
        <v>940.3</v>
      </c>
      <c r="AR403" s="116">
        <f t="shared" si="49"/>
        <v>345165324</v>
      </c>
      <c r="AS403" s="118">
        <v>0.98874868559411144</v>
      </c>
    </row>
    <row r="404" spans="2:45" x14ac:dyDescent="0.3">
      <c r="B404" s="126" t="s">
        <v>552</v>
      </c>
      <c r="C404" s="98" t="str">
        <f t="shared" si="50"/>
        <v>DJ980</v>
      </c>
      <c r="D404" s="98" t="s">
        <v>55</v>
      </c>
      <c r="E404" s="98" t="str">
        <f t="shared" si="52"/>
        <v>W</v>
      </c>
      <c r="F404" s="98" t="str">
        <f t="shared" si="53"/>
        <v>DJ</v>
      </c>
      <c r="G404" s="98" t="s">
        <v>56</v>
      </c>
      <c r="H404" s="115" t="s">
        <v>201</v>
      </c>
      <c r="I404" s="98" t="s">
        <v>79</v>
      </c>
      <c r="J404" s="115">
        <f t="shared" si="51"/>
        <v>1</v>
      </c>
      <c r="K404" s="115">
        <v>1</v>
      </c>
      <c r="L404" s="116">
        <v>490000</v>
      </c>
      <c r="M404" s="78" t="s">
        <v>202</v>
      </c>
      <c r="N404" s="98" t="s">
        <v>203</v>
      </c>
      <c r="O404" s="98" t="s">
        <v>485</v>
      </c>
      <c r="P404" s="98">
        <v>100</v>
      </c>
      <c r="Q404" s="32" t="s">
        <v>204</v>
      </c>
      <c r="R404" s="98" t="s">
        <v>205</v>
      </c>
      <c r="S404" s="32" t="s">
        <v>551</v>
      </c>
      <c r="T404" s="98" t="s">
        <v>122</v>
      </c>
      <c r="U404" s="98" t="s">
        <v>207</v>
      </c>
      <c r="V404" s="98" t="s">
        <v>66</v>
      </c>
      <c r="W404" s="98"/>
      <c r="X404" s="78" t="s">
        <v>67</v>
      </c>
      <c r="Y404" s="98" t="s">
        <v>68</v>
      </c>
      <c r="Z404" s="32" t="s">
        <v>125</v>
      </c>
      <c r="AA404" s="32" t="s">
        <v>90</v>
      </c>
      <c r="AB404" s="78" t="s">
        <v>71</v>
      </c>
      <c r="AC404" s="98" t="s">
        <v>85</v>
      </c>
      <c r="AD404" s="98" t="s">
        <v>208</v>
      </c>
      <c r="AE404" s="65" t="s">
        <v>73</v>
      </c>
      <c r="AF404" s="39" t="s">
        <v>553</v>
      </c>
      <c r="AG404" s="98" t="s">
        <v>127</v>
      </c>
      <c r="AH404" s="115">
        <v>650</v>
      </c>
      <c r="AI404" s="117" t="s">
        <v>99</v>
      </c>
      <c r="AJ404" s="115" t="s">
        <v>100</v>
      </c>
      <c r="AK404" s="73">
        <v>1468</v>
      </c>
      <c r="AL404" s="116">
        <f t="shared" si="47"/>
        <v>719320000</v>
      </c>
      <c r="AM404" s="116">
        <v>191</v>
      </c>
      <c r="AN404" s="116">
        <v>87644245</v>
      </c>
      <c r="AO404" s="116">
        <v>653</v>
      </c>
      <c r="AP404" s="116">
        <v>306988411</v>
      </c>
      <c r="AQ404" s="116">
        <f t="shared" si="48"/>
        <v>1166.8</v>
      </c>
      <c r="AR404" s="116">
        <f t="shared" si="49"/>
        <v>525993440</v>
      </c>
      <c r="AS404" s="118">
        <v>0.79482288828337877</v>
      </c>
    </row>
    <row r="405" spans="2:45" x14ac:dyDescent="0.3">
      <c r="B405" s="126" t="s">
        <v>552</v>
      </c>
      <c r="C405" s="98" t="str">
        <f t="shared" si="50"/>
        <v>DJ980</v>
      </c>
      <c r="D405" s="98" t="s">
        <v>55</v>
      </c>
      <c r="E405" s="98" t="str">
        <f t="shared" si="52"/>
        <v>W</v>
      </c>
      <c r="F405" s="98" t="str">
        <f t="shared" si="53"/>
        <v>DJ</v>
      </c>
      <c r="G405" s="98" t="s">
        <v>56</v>
      </c>
      <c r="H405" s="115" t="s">
        <v>201</v>
      </c>
      <c r="I405" s="98" t="s">
        <v>554</v>
      </c>
      <c r="J405" s="115" t="str">
        <f t="shared" si="51"/>
        <v/>
      </c>
      <c r="K405" s="115">
        <v>1</v>
      </c>
      <c r="L405" s="116">
        <v>490000</v>
      </c>
      <c r="M405" s="78" t="s">
        <v>202</v>
      </c>
      <c r="N405" s="98" t="s">
        <v>203</v>
      </c>
      <c r="O405" s="98" t="s">
        <v>485</v>
      </c>
      <c r="P405" s="98">
        <v>100</v>
      </c>
      <c r="Q405" s="32" t="s">
        <v>204</v>
      </c>
      <c r="R405" s="98" t="s">
        <v>205</v>
      </c>
      <c r="S405" s="32" t="s">
        <v>551</v>
      </c>
      <c r="T405" s="98" t="s">
        <v>122</v>
      </c>
      <c r="U405" s="98" t="s">
        <v>207</v>
      </c>
      <c r="V405" s="98" t="s">
        <v>66</v>
      </c>
      <c r="W405" s="98"/>
      <c r="X405" s="78" t="s">
        <v>67</v>
      </c>
      <c r="Y405" s="98" t="s">
        <v>68</v>
      </c>
      <c r="Z405" s="32" t="s">
        <v>125</v>
      </c>
      <c r="AA405" s="32" t="s">
        <v>90</v>
      </c>
      <c r="AB405" s="78" t="s">
        <v>71</v>
      </c>
      <c r="AC405" s="98" t="s">
        <v>85</v>
      </c>
      <c r="AD405" s="98" t="s">
        <v>208</v>
      </c>
      <c r="AE405" s="65" t="s">
        <v>73</v>
      </c>
      <c r="AF405" s="39" t="s">
        <v>553</v>
      </c>
      <c r="AG405" s="98" t="s">
        <v>127</v>
      </c>
      <c r="AH405" s="115">
        <v>650</v>
      </c>
      <c r="AI405" s="117" t="s">
        <v>99</v>
      </c>
      <c r="AJ405" s="115" t="s">
        <v>100</v>
      </c>
      <c r="AK405" s="73">
        <v>814</v>
      </c>
      <c r="AL405" s="116">
        <f t="shared" si="47"/>
        <v>398860000</v>
      </c>
      <c r="AM405" s="116">
        <v>35</v>
      </c>
      <c r="AN405" s="116">
        <v>15834380</v>
      </c>
      <c r="AO405" s="116">
        <v>124</v>
      </c>
      <c r="AP405" s="116">
        <v>57960819</v>
      </c>
      <c r="AQ405" s="116">
        <f t="shared" si="48"/>
        <v>408.90000000000003</v>
      </c>
      <c r="AR405" s="116">
        <f t="shared" si="49"/>
        <v>184332120</v>
      </c>
      <c r="AS405" s="118">
        <v>0.50233415233415235</v>
      </c>
    </row>
    <row r="406" spans="2:45" x14ac:dyDescent="0.3">
      <c r="B406" s="126" t="s">
        <v>552</v>
      </c>
      <c r="C406" s="98" t="str">
        <f t="shared" si="50"/>
        <v>DJ980</v>
      </c>
      <c r="D406" s="98" t="s">
        <v>55</v>
      </c>
      <c r="E406" s="98" t="str">
        <f t="shared" si="52"/>
        <v>W</v>
      </c>
      <c r="F406" s="98" t="str">
        <f t="shared" si="53"/>
        <v>DJ</v>
      </c>
      <c r="G406" s="98" t="s">
        <v>56</v>
      </c>
      <c r="H406" s="115" t="s">
        <v>201</v>
      </c>
      <c r="I406" s="98" t="s">
        <v>78</v>
      </c>
      <c r="J406" s="115" t="str">
        <f t="shared" si="51"/>
        <v/>
      </c>
      <c r="K406" s="115">
        <v>1</v>
      </c>
      <c r="L406" s="116">
        <v>490000</v>
      </c>
      <c r="M406" s="78" t="s">
        <v>202</v>
      </c>
      <c r="N406" s="98" t="s">
        <v>203</v>
      </c>
      <c r="O406" s="98" t="s">
        <v>485</v>
      </c>
      <c r="P406" s="98">
        <v>100</v>
      </c>
      <c r="Q406" s="32" t="s">
        <v>204</v>
      </c>
      <c r="R406" s="98" t="s">
        <v>205</v>
      </c>
      <c r="S406" s="32" t="s">
        <v>551</v>
      </c>
      <c r="T406" s="98" t="s">
        <v>122</v>
      </c>
      <c r="U406" s="98" t="s">
        <v>207</v>
      </c>
      <c r="V406" s="98" t="s">
        <v>66</v>
      </c>
      <c r="W406" s="98"/>
      <c r="X406" s="78" t="s">
        <v>67</v>
      </c>
      <c r="Y406" s="98" t="s">
        <v>68</v>
      </c>
      <c r="Z406" s="32" t="s">
        <v>125</v>
      </c>
      <c r="AA406" s="32" t="s">
        <v>90</v>
      </c>
      <c r="AB406" s="78" t="s">
        <v>71</v>
      </c>
      <c r="AC406" s="98" t="s">
        <v>85</v>
      </c>
      <c r="AD406" s="98" t="s">
        <v>208</v>
      </c>
      <c r="AE406" s="65" t="s">
        <v>73</v>
      </c>
      <c r="AF406" s="39" t="s">
        <v>553</v>
      </c>
      <c r="AG406" s="98" t="s">
        <v>127</v>
      </c>
      <c r="AH406" s="115">
        <v>650</v>
      </c>
      <c r="AI406" s="117" t="s">
        <v>99</v>
      </c>
      <c r="AJ406" s="115" t="s">
        <v>100</v>
      </c>
      <c r="AK406" s="73">
        <v>3982</v>
      </c>
      <c r="AL406" s="116">
        <f t="shared" si="47"/>
        <v>1951180000</v>
      </c>
      <c r="AM406" s="116">
        <v>596</v>
      </c>
      <c r="AN406" s="116">
        <v>272551311</v>
      </c>
      <c r="AO406" s="116">
        <v>1724</v>
      </c>
      <c r="AP406" s="116">
        <v>806449448</v>
      </c>
      <c r="AQ406" s="116">
        <f t="shared" si="48"/>
        <v>3117.7</v>
      </c>
      <c r="AR406" s="116">
        <f t="shared" si="49"/>
        <v>1405459160</v>
      </c>
      <c r="AS406" s="118">
        <v>0.78294826720241084</v>
      </c>
    </row>
    <row r="407" spans="2:45" x14ac:dyDescent="0.3">
      <c r="B407" s="126" t="s">
        <v>552</v>
      </c>
      <c r="C407" s="98" t="str">
        <f t="shared" si="50"/>
        <v>DJ980</v>
      </c>
      <c r="D407" s="98" t="s">
        <v>55</v>
      </c>
      <c r="E407" s="98" t="str">
        <f t="shared" si="52"/>
        <v>W</v>
      </c>
      <c r="F407" s="98" t="str">
        <f t="shared" si="53"/>
        <v>DJ</v>
      </c>
      <c r="G407" s="98" t="s">
        <v>56</v>
      </c>
      <c r="H407" s="115" t="s">
        <v>201</v>
      </c>
      <c r="I407" s="98" t="s">
        <v>163</v>
      </c>
      <c r="J407" s="115" t="str">
        <f t="shared" si="51"/>
        <v/>
      </c>
      <c r="K407" s="115">
        <v>1</v>
      </c>
      <c r="L407" s="116">
        <v>490000</v>
      </c>
      <c r="M407" s="78" t="s">
        <v>202</v>
      </c>
      <c r="N407" s="98" t="s">
        <v>203</v>
      </c>
      <c r="O407" s="98" t="s">
        <v>485</v>
      </c>
      <c r="P407" s="98">
        <v>100</v>
      </c>
      <c r="Q407" s="32" t="s">
        <v>204</v>
      </c>
      <c r="R407" s="98" t="s">
        <v>205</v>
      </c>
      <c r="S407" s="32" t="s">
        <v>551</v>
      </c>
      <c r="T407" s="98" t="s">
        <v>122</v>
      </c>
      <c r="U407" s="98" t="s">
        <v>207</v>
      </c>
      <c r="V407" s="98" t="s">
        <v>66</v>
      </c>
      <c r="W407" s="98"/>
      <c r="X407" s="78" t="s">
        <v>67</v>
      </c>
      <c r="Y407" s="98" t="s">
        <v>68</v>
      </c>
      <c r="Z407" s="32" t="s">
        <v>125</v>
      </c>
      <c r="AA407" s="32" t="s">
        <v>90</v>
      </c>
      <c r="AB407" s="78" t="s">
        <v>71</v>
      </c>
      <c r="AC407" s="98" t="s">
        <v>85</v>
      </c>
      <c r="AD407" s="98" t="s">
        <v>208</v>
      </c>
      <c r="AE407" s="65" t="s">
        <v>73</v>
      </c>
      <c r="AF407" s="39" t="s">
        <v>553</v>
      </c>
      <c r="AG407" s="98" t="s">
        <v>127</v>
      </c>
      <c r="AH407" s="115">
        <v>650</v>
      </c>
      <c r="AI407" s="117" t="s">
        <v>99</v>
      </c>
      <c r="AJ407" s="115" t="s">
        <v>100</v>
      </c>
      <c r="AK407" s="73">
        <v>983</v>
      </c>
      <c r="AL407" s="116">
        <f t="shared" si="47"/>
        <v>481670000</v>
      </c>
      <c r="AM407" s="116">
        <v>125</v>
      </c>
      <c r="AN407" s="116">
        <v>57413992</v>
      </c>
      <c r="AO407" s="116">
        <v>441</v>
      </c>
      <c r="AP407" s="116">
        <v>206329333</v>
      </c>
      <c r="AQ407" s="116">
        <f t="shared" si="48"/>
        <v>785.05</v>
      </c>
      <c r="AR407" s="116">
        <f t="shared" si="49"/>
        <v>353900539.99999994</v>
      </c>
      <c r="AS407" s="118">
        <v>0.79862665310274661</v>
      </c>
    </row>
    <row r="408" spans="2:45" x14ac:dyDescent="0.3">
      <c r="B408" s="126" t="s">
        <v>555</v>
      </c>
      <c r="C408" s="98" t="str">
        <f t="shared" si="50"/>
        <v>DJ9A0</v>
      </c>
      <c r="D408" s="98" t="s">
        <v>55</v>
      </c>
      <c r="E408" s="98" t="str">
        <f t="shared" si="52"/>
        <v>W</v>
      </c>
      <c r="F408" s="98" t="str">
        <f t="shared" si="53"/>
        <v>DJ</v>
      </c>
      <c r="G408" s="98" t="s">
        <v>56</v>
      </c>
      <c r="H408" s="115" t="s">
        <v>213</v>
      </c>
      <c r="I408" s="98" t="s">
        <v>435</v>
      </c>
      <c r="J408" s="115">
        <f t="shared" si="51"/>
        <v>1</v>
      </c>
      <c r="K408" s="115">
        <v>1</v>
      </c>
      <c r="L408" s="116">
        <v>590000</v>
      </c>
      <c r="M408" s="78" t="s">
        <v>202</v>
      </c>
      <c r="N408" s="98" t="s">
        <v>556</v>
      </c>
      <c r="O408" s="98" t="s">
        <v>485</v>
      </c>
      <c r="P408" s="98">
        <v>100</v>
      </c>
      <c r="Q408" s="32" t="s">
        <v>204</v>
      </c>
      <c r="R408" s="98" t="s">
        <v>205</v>
      </c>
      <c r="S408" s="32" t="s">
        <v>551</v>
      </c>
      <c r="T408" s="98" t="s">
        <v>122</v>
      </c>
      <c r="U408" s="98" t="s">
        <v>207</v>
      </c>
      <c r="V408" s="98" t="s">
        <v>66</v>
      </c>
      <c r="W408" s="98"/>
      <c r="X408" s="78" t="s">
        <v>67</v>
      </c>
      <c r="Y408" s="98" t="s">
        <v>68</v>
      </c>
      <c r="Z408" s="32" t="s">
        <v>125</v>
      </c>
      <c r="AA408" s="32" t="s">
        <v>90</v>
      </c>
      <c r="AB408" s="78" t="s">
        <v>71</v>
      </c>
      <c r="AC408" s="98" t="s">
        <v>85</v>
      </c>
      <c r="AD408" s="98" t="s">
        <v>208</v>
      </c>
      <c r="AE408" s="65" t="s">
        <v>73</v>
      </c>
      <c r="AF408" s="39" t="s">
        <v>557</v>
      </c>
      <c r="AG408" s="98" t="s">
        <v>127</v>
      </c>
      <c r="AH408" s="115">
        <v>650</v>
      </c>
      <c r="AI408" s="117" t="s">
        <v>107</v>
      </c>
      <c r="AJ408" s="115" t="s">
        <v>108</v>
      </c>
      <c r="AK408" s="73">
        <v>1534</v>
      </c>
      <c r="AL408" s="116">
        <f t="shared" si="47"/>
        <v>905060000</v>
      </c>
      <c r="AM408" s="116">
        <v>184</v>
      </c>
      <c r="AN408" s="116">
        <v>101671233</v>
      </c>
      <c r="AO408" s="116">
        <v>478</v>
      </c>
      <c r="AP408" s="116">
        <v>269808861</v>
      </c>
      <c r="AQ408" s="116">
        <f t="shared" si="48"/>
        <v>938.19999999999993</v>
      </c>
      <c r="AR408" s="116">
        <f t="shared" si="49"/>
        <v>509254960</v>
      </c>
      <c r="AS408" s="118">
        <v>0.61160365058670141</v>
      </c>
    </row>
    <row r="409" spans="2:45" x14ac:dyDescent="0.3">
      <c r="B409" s="126" t="s">
        <v>555</v>
      </c>
      <c r="C409" s="98" t="str">
        <f t="shared" si="50"/>
        <v>DJ9A0</v>
      </c>
      <c r="D409" s="98" t="s">
        <v>55</v>
      </c>
      <c r="E409" s="98" t="str">
        <f t="shared" si="52"/>
        <v>W</v>
      </c>
      <c r="F409" s="98" t="str">
        <f t="shared" si="53"/>
        <v>DJ</v>
      </c>
      <c r="G409" s="98" t="s">
        <v>56</v>
      </c>
      <c r="H409" s="115" t="s">
        <v>213</v>
      </c>
      <c r="I409" s="98" t="s">
        <v>78</v>
      </c>
      <c r="J409" s="115" t="str">
        <f t="shared" si="51"/>
        <v/>
      </c>
      <c r="K409" s="115">
        <v>1</v>
      </c>
      <c r="L409" s="116">
        <v>590000</v>
      </c>
      <c r="M409" s="78" t="s">
        <v>202</v>
      </c>
      <c r="N409" s="98" t="s">
        <v>203</v>
      </c>
      <c r="O409" s="98" t="s">
        <v>485</v>
      </c>
      <c r="P409" s="98">
        <v>100</v>
      </c>
      <c r="Q409" s="32" t="s">
        <v>204</v>
      </c>
      <c r="R409" s="98" t="s">
        <v>205</v>
      </c>
      <c r="S409" s="32" t="s">
        <v>551</v>
      </c>
      <c r="T409" s="98" t="s">
        <v>122</v>
      </c>
      <c r="U409" s="98" t="s">
        <v>207</v>
      </c>
      <c r="V409" s="98" t="s">
        <v>66</v>
      </c>
      <c r="W409" s="98"/>
      <c r="X409" s="78" t="s">
        <v>67</v>
      </c>
      <c r="Y409" s="98" t="s">
        <v>68</v>
      </c>
      <c r="Z409" s="32" t="s">
        <v>125</v>
      </c>
      <c r="AA409" s="32" t="s">
        <v>90</v>
      </c>
      <c r="AB409" s="78" t="s">
        <v>71</v>
      </c>
      <c r="AC409" s="98" t="s">
        <v>85</v>
      </c>
      <c r="AD409" s="98" t="s">
        <v>208</v>
      </c>
      <c r="AE409" s="65" t="s">
        <v>73</v>
      </c>
      <c r="AF409" s="39" t="s">
        <v>557</v>
      </c>
      <c r="AG409" s="98" t="s">
        <v>127</v>
      </c>
      <c r="AH409" s="115">
        <v>650</v>
      </c>
      <c r="AI409" s="117" t="s">
        <v>107</v>
      </c>
      <c r="AJ409" s="115" t="s">
        <v>108</v>
      </c>
      <c r="AK409" s="73">
        <v>8061</v>
      </c>
      <c r="AL409" s="116">
        <f t="shared" ref="AL409:AL472" si="54">AK409*L409</f>
        <v>4755990000</v>
      </c>
      <c r="AM409" s="116">
        <v>734</v>
      </c>
      <c r="AN409" s="116">
        <v>407368575</v>
      </c>
      <c r="AO409" s="116">
        <v>1934</v>
      </c>
      <c r="AP409" s="116">
        <v>1097569012</v>
      </c>
      <c r="AQ409" s="116">
        <f t="shared" ref="AQ409:AQ472" si="55">AK409*AS409</f>
        <v>4352.3</v>
      </c>
      <c r="AR409" s="116">
        <f t="shared" ref="AR409:AR472" si="56">(AL409*AS409)*0.92</f>
        <v>2362428440</v>
      </c>
      <c r="AS409" s="118">
        <v>0.53992060538394737</v>
      </c>
    </row>
    <row r="410" spans="2:45" x14ac:dyDescent="0.3">
      <c r="B410" s="126" t="s">
        <v>555</v>
      </c>
      <c r="C410" s="98" t="str">
        <f t="shared" ref="C410:C473" si="57">MID(B410,3,5)</f>
        <v>DJ9A0</v>
      </c>
      <c r="D410" s="98" t="s">
        <v>55</v>
      </c>
      <c r="E410" s="98" t="str">
        <f t="shared" si="52"/>
        <v>W</v>
      </c>
      <c r="F410" s="98" t="str">
        <f t="shared" si="53"/>
        <v>DJ</v>
      </c>
      <c r="G410" s="98" t="s">
        <v>56</v>
      </c>
      <c r="H410" s="115" t="s">
        <v>213</v>
      </c>
      <c r="I410" s="98" t="s">
        <v>385</v>
      </c>
      <c r="J410" s="115" t="str">
        <f t="shared" ref="J410:J473" si="58">IF(B410=B409,"",1)</f>
        <v/>
      </c>
      <c r="K410" s="115">
        <v>1</v>
      </c>
      <c r="L410" s="116">
        <v>590000</v>
      </c>
      <c r="M410" s="78" t="s">
        <v>202</v>
      </c>
      <c r="N410" s="98" t="s">
        <v>203</v>
      </c>
      <c r="O410" s="98" t="s">
        <v>485</v>
      </c>
      <c r="P410" s="98">
        <v>100</v>
      </c>
      <c r="Q410" s="32" t="s">
        <v>204</v>
      </c>
      <c r="R410" s="98" t="s">
        <v>205</v>
      </c>
      <c r="S410" s="32" t="s">
        <v>551</v>
      </c>
      <c r="T410" s="98" t="s">
        <v>122</v>
      </c>
      <c r="U410" s="98" t="s">
        <v>207</v>
      </c>
      <c r="V410" s="98" t="s">
        <v>66</v>
      </c>
      <c r="W410" s="98"/>
      <c r="X410" s="78" t="s">
        <v>67</v>
      </c>
      <c r="Y410" s="98" t="s">
        <v>68</v>
      </c>
      <c r="Z410" s="32" t="s">
        <v>125</v>
      </c>
      <c r="AA410" s="32" t="s">
        <v>90</v>
      </c>
      <c r="AB410" s="78" t="s">
        <v>71</v>
      </c>
      <c r="AC410" s="98" t="s">
        <v>85</v>
      </c>
      <c r="AD410" s="98" t="s">
        <v>208</v>
      </c>
      <c r="AE410" s="65" t="s">
        <v>73</v>
      </c>
      <c r="AF410" s="39" t="s">
        <v>557</v>
      </c>
      <c r="AG410" s="98" t="s">
        <v>127</v>
      </c>
      <c r="AH410" s="115">
        <v>650</v>
      </c>
      <c r="AI410" s="117" t="s">
        <v>107</v>
      </c>
      <c r="AJ410" s="115" t="s">
        <v>108</v>
      </c>
      <c r="AK410" s="73">
        <v>2997</v>
      </c>
      <c r="AL410" s="116">
        <f t="shared" si="54"/>
        <v>1768230000</v>
      </c>
      <c r="AM410" s="116">
        <v>327</v>
      </c>
      <c r="AN410" s="116">
        <v>182012751</v>
      </c>
      <c r="AO410" s="116">
        <v>887</v>
      </c>
      <c r="AP410" s="116">
        <v>501403248</v>
      </c>
      <c r="AQ410" s="116">
        <f t="shared" si="55"/>
        <v>1786.0999999999997</v>
      </c>
      <c r="AR410" s="116">
        <f t="shared" si="56"/>
        <v>969495079.99999988</v>
      </c>
      <c r="AS410" s="118">
        <v>0.59596262929596255</v>
      </c>
    </row>
    <row r="411" spans="2:45" x14ac:dyDescent="0.3">
      <c r="B411" s="126" t="s">
        <v>555</v>
      </c>
      <c r="C411" s="98" t="str">
        <f t="shared" si="57"/>
        <v>DJ9A0</v>
      </c>
      <c r="D411" s="98" t="s">
        <v>55</v>
      </c>
      <c r="E411" s="98" t="str">
        <f t="shared" si="52"/>
        <v>W</v>
      </c>
      <c r="F411" s="98" t="str">
        <f t="shared" si="53"/>
        <v>DJ</v>
      </c>
      <c r="G411" s="98" t="s">
        <v>56</v>
      </c>
      <c r="H411" s="115" t="s">
        <v>213</v>
      </c>
      <c r="I411" s="98" t="s">
        <v>260</v>
      </c>
      <c r="J411" s="115" t="str">
        <f t="shared" si="58"/>
        <v/>
      </c>
      <c r="K411" s="115">
        <v>1</v>
      </c>
      <c r="L411" s="116">
        <v>590000</v>
      </c>
      <c r="M411" s="78" t="s">
        <v>202</v>
      </c>
      <c r="N411" s="98" t="s">
        <v>203</v>
      </c>
      <c r="O411" s="98" t="s">
        <v>485</v>
      </c>
      <c r="P411" s="98">
        <v>100</v>
      </c>
      <c r="Q411" s="32" t="s">
        <v>204</v>
      </c>
      <c r="R411" s="98" t="s">
        <v>205</v>
      </c>
      <c r="S411" s="32" t="s">
        <v>551</v>
      </c>
      <c r="T411" s="98" t="s">
        <v>122</v>
      </c>
      <c r="U411" s="98" t="s">
        <v>207</v>
      </c>
      <c r="V411" s="98" t="s">
        <v>66</v>
      </c>
      <c r="W411" s="98"/>
      <c r="X411" s="78" t="s">
        <v>67</v>
      </c>
      <c r="Y411" s="98" t="s">
        <v>68</v>
      </c>
      <c r="Z411" s="32" t="s">
        <v>125</v>
      </c>
      <c r="AA411" s="32" t="s">
        <v>90</v>
      </c>
      <c r="AB411" s="78" t="s">
        <v>71</v>
      </c>
      <c r="AC411" s="98" t="s">
        <v>85</v>
      </c>
      <c r="AD411" s="98" t="s">
        <v>208</v>
      </c>
      <c r="AE411" s="65" t="s">
        <v>73</v>
      </c>
      <c r="AF411" s="39" t="s">
        <v>557</v>
      </c>
      <c r="AG411" s="98" t="s">
        <v>127</v>
      </c>
      <c r="AH411" s="115">
        <v>650</v>
      </c>
      <c r="AI411" s="117" t="s">
        <v>107</v>
      </c>
      <c r="AJ411" s="115" t="s">
        <v>108</v>
      </c>
      <c r="AK411" s="73">
        <v>2045</v>
      </c>
      <c r="AL411" s="116">
        <f t="shared" si="54"/>
        <v>1206550000</v>
      </c>
      <c r="AM411" s="116">
        <v>95</v>
      </c>
      <c r="AN411" s="116">
        <v>52524844</v>
      </c>
      <c r="AO411" s="116">
        <v>237</v>
      </c>
      <c r="AP411" s="116">
        <v>133422082</v>
      </c>
      <c r="AQ411" s="116">
        <f t="shared" si="55"/>
        <v>850.5</v>
      </c>
      <c r="AR411" s="116">
        <f t="shared" si="56"/>
        <v>461651400</v>
      </c>
      <c r="AS411" s="118">
        <v>0.41589242053789732</v>
      </c>
    </row>
    <row r="412" spans="2:45" x14ac:dyDescent="0.3">
      <c r="B412" s="126" t="s">
        <v>555</v>
      </c>
      <c r="C412" s="98" t="str">
        <f t="shared" si="57"/>
        <v>DJ9A0</v>
      </c>
      <c r="D412" s="98" t="s">
        <v>55</v>
      </c>
      <c r="E412" s="98" t="str">
        <f t="shared" si="52"/>
        <v>W</v>
      </c>
      <c r="F412" s="98" t="str">
        <f t="shared" si="53"/>
        <v>DJ</v>
      </c>
      <c r="G412" s="98" t="s">
        <v>56</v>
      </c>
      <c r="H412" s="115" t="s">
        <v>213</v>
      </c>
      <c r="I412" s="98" t="s">
        <v>318</v>
      </c>
      <c r="J412" s="115" t="str">
        <f t="shared" si="58"/>
        <v/>
      </c>
      <c r="K412" s="115">
        <v>1</v>
      </c>
      <c r="L412" s="116">
        <v>590000</v>
      </c>
      <c r="M412" s="78" t="s">
        <v>202</v>
      </c>
      <c r="N412" s="98" t="s">
        <v>203</v>
      </c>
      <c r="O412" s="98" t="s">
        <v>485</v>
      </c>
      <c r="P412" s="98">
        <v>100</v>
      </c>
      <c r="Q412" s="32" t="s">
        <v>204</v>
      </c>
      <c r="R412" s="98" t="s">
        <v>205</v>
      </c>
      <c r="S412" s="32" t="s">
        <v>551</v>
      </c>
      <c r="T412" s="98" t="s">
        <v>122</v>
      </c>
      <c r="U412" s="98" t="s">
        <v>207</v>
      </c>
      <c r="V412" s="98" t="s">
        <v>66</v>
      </c>
      <c r="W412" s="98"/>
      <c r="X412" s="78" t="s">
        <v>67</v>
      </c>
      <c r="Y412" s="98" t="s">
        <v>68</v>
      </c>
      <c r="Z412" s="32" t="s">
        <v>125</v>
      </c>
      <c r="AA412" s="32" t="s">
        <v>90</v>
      </c>
      <c r="AB412" s="78" t="s">
        <v>71</v>
      </c>
      <c r="AC412" s="98" t="s">
        <v>85</v>
      </c>
      <c r="AD412" s="98" t="s">
        <v>208</v>
      </c>
      <c r="AE412" s="65" t="s">
        <v>73</v>
      </c>
      <c r="AF412" s="39" t="s">
        <v>557</v>
      </c>
      <c r="AG412" s="98" t="s">
        <v>127</v>
      </c>
      <c r="AH412" s="115">
        <v>650</v>
      </c>
      <c r="AI412" s="117" t="s">
        <v>107</v>
      </c>
      <c r="AJ412" s="115" t="s">
        <v>108</v>
      </c>
      <c r="AK412" s="73">
        <v>1033</v>
      </c>
      <c r="AL412" s="116">
        <f t="shared" si="54"/>
        <v>609470000</v>
      </c>
      <c r="AM412" s="116">
        <v>105</v>
      </c>
      <c r="AN412" s="116">
        <v>58060781</v>
      </c>
      <c r="AO412" s="116">
        <v>284</v>
      </c>
      <c r="AP412" s="116">
        <v>161014817</v>
      </c>
      <c r="AQ412" s="116">
        <f t="shared" si="55"/>
        <v>593.9</v>
      </c>
      <c r="AR412" s="116">
        <f t="shared" si="56"/>
        <v>322368920</v>
      </c>
      <c r="AS412" s="118">
        <v>0.5749273959341723</v>
      </c>
    </row>
    <row r="413" spans="2:45" x14ac:dyDescent="0.3">
      <c r="B413" s="126" t="s">
        <v>555</v>
      </c>
      <c r="C413" s="98" t="str">
        <f t="shared" si="57"/>
        <v>DJ9A0</v>
      </c>
      <c r="D413" s="98" t="s">
        <v>148</v>
      </c>
      <c r="E413" s="98" t="str">
        <f t="shared" si="52"/>
        <v>W</v>
      </c>
      <c r="F413" s="98" t="str">
        <f t="shared" si="53"/>
        <v>DJ</v>
      </c>
      <c r="G413" s="98" t="s">
        <v>56</v>
      </c>
      <c r="H413" s="115" t="s">
        <v>213</v>
      </c>
      <c r="I413" s="98" t="s">
        <v>79</v>
      </c>
      <c r="J413" s="115" t="str">
        <f t="shared" si="58"/>
        <v/>
      </c>
      <c r="K413" s="115">
        <v>1</v>
      </c>
      <c r="L413" s="116">
        <v>590000</v>
      </c>
      <c r="M413" s="78" t="s">
        <v>202</v>
      </c>
      <c r="N413" s="98" t="s">
        <v>203</v>
      </c>
      <c r="O413" s="98" t="s">
        <v>485</v>
      </c>
      <c r="P413" s="98">
        <v>100</v>
      </c>
      <c r="Q413" s="32" t="s">
        <v>204</v>
      </c>
      <c r="R413" s="98" t="s">
        <v>205</v>
      </c>
      <c r="S413" s="32" t="s">
        <v>551</v>
      </c>
      <c r="T413" s="98" t="s">
        <v>122</v>
      </c>
      <c r="U413" s="98" t="s">
        <v>207</v>
      </c>
      <c r="V413" s="98" t="s">
        <v>66</v>
      </c>
      <c r="W413" s="98"/>
      <c r="X413" s="78" t="s">
        <v>67</v>
      </c>
      <c r="Y413" s="98" t="s">
        <v>68</v>
      </c>
      <c r="Z413" s="32" t="s">
        <v>125</v>
      </c>
      <c r="AA413" s="32" t="s">
        <v>90</v>
      </c>
      <c r="AB413" s="78" t="s">
        <v>71</v>
      </c>
      <c r="AC413" s="98" t="s">
        <v>85</v>
      </c>
      <c r="AD413" s="98" t="s">
        <v>208</v>
      </c>
      <c r="AE413" s="65" t="s">
        <v>73</v>
      </c>
      <c r="AF413" s="39" t="s">
        <v>557</v>
      </c>
      <c r="AG413" s="98" t="s">
        <v>127</v>
      </c>
      <c r="AH413" s="115">
        <v>650</v>
      </c>
      <c r="AI413" s="117" t="s">
        <v>107</v>
      </c>
      <c r="AJ413" s="115" t="s">
        <v>108</v>
      </c>
      <c r="AK413" s="73">
        <v>503</v>
      </c>
      <c r="AL413" s="116">
        <f t="shared" si="54"/>
        <v>296770000</v>
      </c>
      <c r="AM413" s="116">
        <v>38</v>
      </c>
      <c r="AN413" s="116">
        <v>21774870</v>
      </c>
      <c r="AO413" s="116">
        <v>128</v>
      </c>
      <c r="AP413" s="116">
        <v>74073300</v>
      </c>
      <c r="AQ413" s="116">
        <f t="shared" si="55"/>
        <v>278.89999999999998</v>
      </c>
      <c r="AR413" s="116">
        <f t="shared" si="56"/>
        <v>151386920</v>
      </c>
      <c r="AS413" s="118">
        <v>0.55447316103379718</v>
      </c>
    </row>
    <row r="414" spans="2:45" x14ac:dyDescent="0.3">
      <c r="B414" s="126" t="s">
        <v>558</v>
      </c>
      <c r="C414" s="98" t="str">
        <f t="shared" si="57"/>
        <v>DJ9P0</v>
      </c>
      <c r="D414" s="98" t="s">
        <v>55</v>
      </c>
      <c r="E414" s="98" t="str">
        <f t="shared" si="52"/>
        <v>W</v>
      </c>
      <c r="F414" s="98" t="str">
        <f t="shared" si="53"/>
        <v>DJ</v>
      </c>
      <c r="G414" s="98" t="s">
        <v>56</v>
      </c>
      <c r="H414" s="115" t="s">
        <v>559</v>
      </c>
      <c r="I414" s="98" t="s">
        <v>78</v>
      </c>
      <c r="J414" s="115">
        <f t="shared" si="58"/>
        <v>1</v>
      </c>
      <c r="K414" s="115">
        <v>1</v>
      </c>
      <c r="L414" s="116">
        <v>299000</v>
      </c>
      <c r="M414" s="78" t="s">
        <v>560</v>
      </c>
      <c r="N414" s="98" t="s">
        <v>561</v>
      </c>
      <c r="O414" s="98" t="s">
        <v>143</v>
      </c>
      <c r="P414" s="98">
        <v>100</v>
      </c>
      <c r="Q414" s="32" t="s">
        <v>62</v>
      </c>
      <c r="R414" s="98" t="s">
        <v>461</v>
      </c>
      <c r="S414" s="32" t="s">
        <v>562</v>
      </c>
      <c r="T414" s="98" t="s">
        <v>65</v>
      </c>
      <c r="U414" s="98"/>
      <c r="V414" s="98" t="s">
        <v>66</v>
      </c>
      <c r="W414" s="98"/>
      <c r="X414" s="78" t="s">
        <v>67</v>
      </c>
      <c r="Y414" s="98" t="s">
        <v>68</v>
      </c>
      <c r="Z414" s="32" t="s">
        <v>238</v>
      </c>
      <c r="AA414" s="32" t="s">
        <v>90</v>
      </c>
      <c r="AB414" s="78" t="s">
        <v>71</v>
      </c>
      <c r="AC414" s="98" t="s">
        <v>62</v>
      </c>
      <c r="AD414" s="98" t="s">
        <v>72</v>
      </c>
      <c r="AE414" s="65" t="s">
        <v>137</v>
      </c>
      <c r="AF414" s="39" t="s">
        <v>370</v>
      </c>
      <c r="AG414" s="98" t="s">
        <v>127</v>
      </c>
      <c r="AH414" s="115">
        <v>650</v>
      </c>
      <c r="AI414" s="117" t="s">
        <v>128</v>
      </c>
      <c r="AJ414" s="115" t="s">
        <v>129</v>
      </c>
      <c r="AK414" s="73">
        <v>1002</v>
      </c>
      <c r="AL414" s="116">
        <f t="shared" si="54"/>
        <v>299598000</v>
      </c>
      <c r="AM414" s="116">
        <v>30</v>
      </c>
      <c r="AN414" s="116">
        <v>8297385</v>
      </c>
      <c r="AO414" s="116">
        <v>173</v>
      </c>
      <c r="AP414" s="116">
        <v>49566354</v>
      </c>
      <c r="AQ414" s="116">
        <f t="shared" si="55"/>
        <v>473.6</v>
      </c>
      <c r="AR414" s="116">
        <f t="shared" si="56"/>
        <v>130277888</v>
      </c>
      <c r="AS414" s="118">
        <v>0.47265469061876247</v>
      </c>
    </row>
    <row r="415" spans="2:45" x14ac:dyDescent="0.3">
      <c r="B415" s="126" t="s">
        <v>558</v>
      </c>
      <c r="C415" s="98" t="str">
        <f t="shared" si="57"/>
        <v>DJ9P0</v>
      </c>
      <c r="D415" s="98" t="s">
        <v>55</v>
      </c>
      <c r="E415" s="98" t="str">
        <f t="shared" si="52"/>
        <v>W</v>
      </c>
      <c r="F415" s="98" t="str">
        <f t="shared" si="53"/>
        <v>DJ</v>
      </c>
      <c r="G415" s="98" t="s">
        <v>56</v>
      </c>
      <c r="H415" s="115" t="s">
        <v>559</v>
      </c>
      <c r="I415" s="98" t="s">
        <v>159</v>
      </c>
      <c r="J415" s="115" t="str">
        <f t="shared" si="58"/>
        <v/>
      </c>
      <c r="K415" s="115">
        <v>1</v>
      </c>
      <c r="L415" s="116">
        <v>299000</v>
      </c>
      <c r="M415" s="78" t="s">
        <v>560</v>
      </c>
      <c r="N415" s="98" t="s">
        <v>561</v>
      </c>
      <c r="O415" s="98" t="s">
        <v>143</v>
      </c>
      <c r="P415" s="98">
        <v>100</v>
      </c>
      <c r="Q415" s="32" t="s">
        <v>62</v>
      </c>
      <c r="R415" s="98" t="s">
        <v>461</v>
      </c>
      <c r="S415" s="32" t="s">
        <v>562</v>
      </c>
      <c r="T415" s="98" t="s">
        <v>65</v>
      </c>
      <c r="U415" s="98"/>
      <c r="V415" s="98" t="s">
        <v>66</v>
      </c>
      <c r="W415" s="98"/>
      <c r="X415" s="78" t="s">
        <v>67</v>
      </c>
      <c r="Y415" s="98" t="s">
        <v>68</v>
      </c>
      <c r="Z415" s="32" t="s">
        <v>238</v>
      </c>
      <c r="AA415" s="32" t="s">
        <v>90</v>
      </c>
      <c r="AB415" s="78" t="s">
        <v>71</v>
      </c>
      <c r="AC415" s="98" t="s">
        <v>62</v>
      </c>
      <c r="AD415" s="98" t="s">
        <v>72</v>
      </c>
      <c r="AE415" s="65" t="s">
        <v>137</v>
      </c>
      <c r="AF415" s="39" t="s">
        <v>370</v>
      </c>
      <c r="AG415" s="98" t="s">
        <v>127</v>
      </c>
      <c r="AH415" s="115">
        <v>650</v>
      </c>
      <c r="AI415" s="117" t="s">
        <v>128</v>
      </c>
      <c r="AJ415" s="115" t="s">
        <v>129</v>
      </c>
      <c r="AK415" s="73">
        <v>798</v>
      </c>
      <c r="AL415" s="116">
        <f t="shared" si="54"/>
        <v>238602000</v>
      </c>
      <c r="AM415" s="116">
        <v>28</v>
      </c>
      <c r="AN415" s="116">
        <v>7776678</v>
      </c>
      <c r="AO415" s="116">
        <v>214</v>
      </c>
      <c r="AP415" s="116">
        <v>60993917</v>
      </c>
      <c r="AQ415" s="116">
        <f t="shared" si="55"/>
        <v>453.4</v>
      </c>
      <c r="AR415" s="116">
        <f t="shared" si="56"/>
        <v>124721272</v>
      </c>
      <c r="AS415" s="118">
        <v>0.56817042606516288</v>
      </c>
    </row>
    <row r="416" spans="2:45" x14ac:dyDescent="0.3">
      <c r="B416" s="126" t="s">
        <v>558</v>
      </c>
      <c r="C416" s="98" t="str">
        <f t="shared" si="57"/>
        <v>DJ9P0</v>
      </c>
      <c r="D416" s="98" t="s">
        <v>55</v>
      </c>
      <c r="E416" s="98" t="str">
        <f t="shared" si="52"/>
        <v>W</v>
      </c>
      <c r="F416" s="98" t="str">
        <f t="shared" si="53"/>
        <v>DJ</v>
      </c>
      <c r="G416" s="98" t="s">
        <v>56</v>
      </c>
      <c r="H416" s="115" t="s">
        <v>559</v>
      </c>
      <c r="I416" s="98" t="s">
        <v>385</v>
      </c>
      <c r="J416" s="115" t="str">
        <f t="shared" si="58"/>
        <v/>
      </c>
      <c r="K416" s="115">
        <v>1</v>
      </c>
      <c r="L416" s="116">
        <v>299000</v>
      </c>
      <c r="M416" s="78" t="s">
        <v>560</v>
      </c>
      <c r="N416" s="98" t="s">
        <v>561</v>
      </c>
      <c r="O416" s="98" t="s">
        <v>143</v>
      </c>
      <c r="P416" s="98">
        <v>100</v>
      </c>
      <c r="Q416" s="32" t="s">
        <v>62</v>
      </c>
      <c r="R416" s="98" t="s">
        <v>461</v>
      </c>
      <c r="S416" s="32" t="s">
        <v>562</v>
      </c>
      <c r="T416" s="98" t="s">
        <v>65</v>
      </c>
      <c r="U416" s="98"/>
      <c r="V416" s="98" t="s">
        <v>66</v>
      </c>
      <c r="W416" s="98"/>
      <c r="X416" s="78" t="s">
        <v>67</v>
      </c>
      <c r="Y416" s="98" t="s">
        <v>68</v>
      </c>
      <c r="Z416" s="32" t="s">
        <v>238</v>
      </c>
      <c r="AA416" s="32" t="s">
        <v>90</v>
      </c>
      <c r="AB416" s="78" t="s">
        <v>71</v>
      </c>
      <c r="AC416" s="98" t="s">
        <v>62</v>
      </c>
      <c r="AD416" s="98" t="s">
        <v>72</v>
      </c>
      <c r="AE416" s="65" t="s">
        <v>137</v>
      </c>
      <c r="AF416" s="39" t="s">
        <v>370</v>
      </c>
      <c r="AG416" s="98" t="s">
        <v>127</v>
      </c>
      <c r="AH416" s="115">
        <v>650</v>
      </c>
      <c r="AI416" s="117" t="s">
        <v>128</v>
      </c>
      <c r="AJ416" s="115" t="s">
        <v>129</v>
      </c>
      <c r="AK416" s="73">
        <v>800</v>
      </c>
      <c r="AL416" s="116">
        <f t="shared" si="54"/>
        <v>239200000</v>
      </c>
      <c r="AM416" s="116">
        <v>25</v>
      </c>
      <c r="AN416" s="116">
        <v>6953388</v>
      </c>
      <c r="AO416" s="116">
        <v>160</v>
      </c>
      <c r="AP416" s="116">
        <v>45742147</v>
      </c>
      <c r="AQ416" s="116">
        <f t="shared" si="55"/>
        <v>400</v>
      </c>
      <c r="AR416" s="116">
        <f t="shared" si="56"/>
        <v>110032000</v>
      </c>
      <c r="AS416" s="118">
        <v>0.5</v>
      </c>
    </row>
    <row r="417" spans="2:45" x14ac:dyDescent="0.3">
      <c r="B417" s="126" t="s">
        <v>563</v>
      </c>
      <c r="C417" s="98" t="str">
        <f t="shared" si="57"/>
        <v>DJ750</v>
      </c>
      <c r="D417" s="98" t="s">
        <v>55</v>
      </c>
      <c r="E417" s="98" t="str">
        <f t="shared" si="52"/>
        <v>M</v>
      </c>
      <c r="F417" s="98" t="str">
        <f t="shared" si="53"/>
        <v>DJ</v>
      </c>
      <c r="G417" s="98" t="s">
        <v>56</v>
      </c>
      <c r="H417" s="115" t="s">
        <v>335</v>
      </c>
      <c r="I417" s="98" t="s">
        <v>82</v>
      </c>
      <c r="J417" s="115">
        <f t="shared" si="58"/>
        <v>1</v>
      </c>
      <c r="K417" s="115">
        <v>1</v>
      </c>
      <c r="L417" s="116">
        <v>249000</v>
      </c>
      <c r="M417" s="78" t="s">
        <v>477</v>
      </c>
      <c r="N417" s="98" t="s">
        <v>478</v>
      </c>
      <c r="O417" s="98" t="s">
        <v>143</v>
      </c>
      <c r="P417" s="98">
        <v>100</v>
      </c>
      <c r="Q417" s="32" t="s">
        <v>479</v>
      </c>
      <c r="R417" s="98" t="s">
        <v>480</v>
      </c>
      <c r="S417" s="32" t="s">
        <v>481</v>
      </c>
      <c r="T417" s="98" t="s">
        <v>65</v>
      </c>
      <c r="U417" s="98"/>
      <c r="V417" s="98" t="s">
        <v>66</v>
      </c>
      <c r="W417" s="98"/>
      <c r="X417" s="78" t="s">
        <v>67</v>
      </c>
      <c r="Y417" s="98" t="s">
        <v>340</v>
      </c>
      <c r="Z417" s="32" t="s">
        <v>125</v>
      </c>
      <c r="AA417" s="32" t="s">
        <v>70</v>
      </c>
      <c r="AB417" s="78" t="s">
        <v>342</v>
      </c>
      <c r="AC417" s="119" t="s">
        <v>92</v>
      </c>
      <c r="AD417" s="119" t="s">
        <v>92</v>
      </c>
      <c r="AE417" s="65" t="s">
        <v>73</v>
      </c>
      <c r="AF417" s="39" t="s">
        <v>343</v>
      </c>
      <c r="AG417" s="98" t="s">
        <v>240</v>
      </c>
      <c r="AH417" s="115">
        <v>650</v>
      </c>
      <c r="AI417" s="117" t="s">
        <v>289</v>
      </c>
      <c r="AJ417" s="115" t="s">
        <v>241</v>
      </c>
      <c r="AK417" s="73">
        <v>1000</v>
      </c>
      <c r="AL417" s="116">
        <f t="shared" si="54"/>
        <v>249000000</v>
      </c>
      <c r="AM417" s="116">
        <v>19</v>
      </c>
      <c r="AN417" s="116">
        <v>3311700</v>
      </c>
      <c r="AO417" s="116">
        <v>162</v>
      </c>
      <c r="AP417" s="116">
        <v>30508157</v>
      </c>
      <c r="AQ417" s="116">
        <f t="shared" si="55"/>
        <v>412.00000000000006</v>
      </c>
      <c r="AR417" s="116">
        <f t="shared" si="56"/>
        <v>94380960.000000015</v>
      </c>
      <c r="AS417" s="118">
        <v>0.41200000000000003</v>
      </c>
    </row>
    <row r="418" spans="2:45" x14ac:dyDescent="0.3">
      <c r="B418" s="126" t="s">
        <v>563</v>
      </c>
      <c r="C418" s="98" t="str">
        <f t="shared" si="57"/>
        <v>DJ750</v>
      </c>
      <c r="D418" s="98" t="s">
        <v>55</v>
      </c>
      <c r="E418" s="98" t="str">
        <f t="shared" si="52"/>
        <v>M</v>
      </c>
      <c r="F418" s="98" t="str">
        <f t="shared" si="53"/>
        <v>DJ</v>
      </c>
      <c r="G418" s="98" t="s">
        <v>56</v>
      </c>
      <c r="H418" s="115" t="s">
        <v>335</v>
      </c>
      <c r="I418" s="98" t="s">
        <v>564</v>
      </c>
      <c r="J418" s="115" t="str">
        <f t="shared" si="58"/>
        <v/>
      </c>
      <c r="K418" s="115">
        <v>1</v>
      </c>
      <c r="L418" s="116">
        <v>249000</v>
      </c>
      <c r="M418" s="78" t="s">
        <v>477</v>
      </c>
      <c r="N418" s="98" t="s">
        <v>478</v>
      </c>
      <c r="O418" s="98" t="s">
        <v>143</v>
      </c>
      <c r="P418" s="98">
        <v>100</v>
      </c>
      <c r="Q418" s="32" t="s">
        <v>479</v>
      </c>
      <c r="R418" s="98" t="s">
        <v>480</v>
      </c>
      <c r="S418" s="32" t="s">
        <v>481</v>
      </c>
      <c r="T418" s="98" t="s">
        <v>65</v>
      </c>
      <c r="U418" s="98"/>
      <c r="V418" s="98" t="s">
        <v>66</v>
      </c>
      <c r="W418" s="98"/>
      <c r="X418" s="78" t="s">
        <v>67</v>
      </c>
      <c r="Y418" s="98" t="s">
        <v>340</v>
      </c>
      <c r="Z418" s="32" t="s">
        <v>125</v>
      </c>
      <c r="AA418" s="32" t="s">
        <v>70</v>
      </c>
      <c r="AB418" s="78" t="s">
        <v>342</v>
      </c>
      <c r="AC418" s="119" t="s">
        <v>92</v>
      </c>
      <c r="AD418" s="119" t="s">
        <v>92</v>
      </c>
      <c r="AE418" s="65" t="s">
        <v>73</v>
      </c>
      <c r="AF418" s="39" t="s">
        <v>343</v>
      </c>
      <c r="AG418" s="98" t="s">
        <v>240</v>
      </c>
      <c r="AH418" s="115">
        <v>650</v>
      </c>
      <c r="AI418" s="117" t="s">
        <v>289</v>
      </c>
      <c r="AJ418" s="115" t="s">
        <v>241</v>
      </c>
      <c r="AK418" s="73">
        <v>798</v>
      </c>
      <c r="AL418" s="116">
        <f t="shared" si="54"/>
        <v>198702000</v>
      </c>
      <c r="AM418" s="116">
        <v>4</v>
      </c>
      <c r="AN418" s="116">
        <v>721200</v>
      </c>
      <c r="AO418" s="116">
        <v>89</v>
      </c>
      <c r="AP418" s="116">
        <v>17591714</v>
      </c>
      <c r="AQ418" s="116">
        <f t="shared" si="55"/>
        <v>288.5</v>
      </c>
      <c r="AR418" s="116">
        <f t="shared" si="56"/>
        <v>66089580</v>
      </c>
      <c r="AS418" s="118">
        <v>0.36152882205513781</v>
      </c>
    </row>
    <row r="419" spans="2:45" x14ac:dyDescent="0.3">
      <c r="B419" s="126" t="s">
        <v>563</v>
      </c>
      <c r="C419" s="98" t="str">
        <f t="shared" si="57"/>
        <v>DJ750</v>
      </c>
      <c r="D419" s="98" t="s">
        <v>55</v>
      </c>
      <c r="E419" s="98" t="str">
        <f t="shared" si="52"/>
        <v>M</v>
      </c>
      <c r="F419" s="98" t="str">
        <f t="shared" si="53"/>
        <v>DJ</v>
      </c>
      <c r="G419" s="98" t="s">
        <v>56</v>
      </c>
      <c r="H419" s="115" t="s">
        <v>335</v>
      </c>
      <c r="I419" s="98" t="s">
        <v>435</v>
      </c>
      <c r="J419" s="115" t="str">
        <f t="shared" si="58"/>
        <v/>
      </c>
      <c r="K419" s="115">
        <v>1</v>
      </c>
      <c r="L419" s="116">
        <v>249000</v>
      </c>
      <c r="M419" s="78" t="s">
        <v>477</v>
      </c>
      <c r="N419" s="98" t="s">
        <v>478</v>
      </c>
      <c r="O419" s="98" t="s">
        <v>143</v>
      </c>
      <c r="P419" s="98">
        <v>100</v>
      </c>
      <c r="Q419" s="32" t="s">
        <v>479</v>
      </c>
      <c r="R419" s="98" t="s">
        <v>480</v>
      </c>
      <c r="S419" s="32" t="s">
        <v>481</v>
      </c>
      <c r="T419" s="98" t="s">
        <v>65</v>
      </c>
      <c r="U419" s="98"/>
      <c r="V419" s="98" t="s">
        <v>66</v>
      </c>
      <c r="W419" s="98"/>
      <c r="X419" s="78" t="s">
        <v>67</v>
      </c>
      <c r="Y419" s="98" t="s">
        <v>340</v>
      </c>
      <c r="Z419" s="32" t="s">
        <v>125</v>
      </c>
      <c r="AA419" s="32" t="s">
        <v>70</v>
      </c>
      <c r="AB419" s="78" t="s">
        <v>342</v>
      </c>
      <c r="AC419" s="119" t="s">
        <v>92</v>
      </c>
      <c r="AD419" s="119" t="s">
        <v>92</v>
      </c>
      <c r="AE419" s="65" t="s">
        <v>73</v>
      </c>
      <c r="AF419" s="39" t="s">
        <v>343</v>
      </c>
      <c r="AG419" s="98" t="s">
        <v>240</v>
      </c>
      <c r="AH419" s="115">
        <v>650</v>
      </c>
      <c r="AI419" s="117" t="s">
        <v>289</v>
      </c>
      <c r="AJ419" s="115" t="s">
        <v>241</v>
      </c>
      <c r="AK419" s="73">
        <v>996</v>
      </c>
      <c r="AL419" s="116">
        <f t="shared" si="54"/>
        <v>248004000</v>
      </c>
      <c r="AM419" s="116">
        <v>28</v>
      </c>
      <c r="AN419" s="116">
        <v>4805700</v>
      </c>
      <c r="AO419" s="116">
        <v>339</v>
      </c>
      <c r="AP419" s="116">
        <v>67625846</v>
      </c>
      <c r="AQ419" s="116">
        <f t="shared" si="55"/>
        <v>588</v>
      </c>
      <c r="AR419" s="116">
        <f t="shared" si="56"/>
        <v>134699040</v>
      </c>
      <c r="AS419" s="118">
        <v>0.59036144578313254</v>
      </c>
    </row>
    <row r="420" spans="2:45" x14ac:dyDescent="0.3">
      <c r="B420" s="126" t="s">
        <v>563</v>
      </c>
      <c r="C420" s="98" t="str">
        <f t="shared" si="57"/>
        <v>DJ750</v>
      </c>
      <c r="D420" s="98" t="s">
        <v>55</v>
      </c>
      <c r="E420" s="98" t="str">
        <f t="shared" si="52"/>
        <v>M</v>
      </c>
      <c r="F420" s="98" t="str">
        <f t="shared" si="53"/>
        <v>DJ</v>
      </c>
      <c r="G420" s="98" t="s">
        <v>56</v>
      </c>
      <c r="H420" s="115" t="s">
        <v>335</v>
      </c>
      <c r="I420" s="98" t="s">
        <v>78</v>
      </c>
      <c r="J420" s="115" t="str">
        <f t="shared" si="58"/>
        <v/>
      </c>
      <c r="K420" s="115">
        <v>1</v>
      </c>
      <c r="L420" s="116">
        <v>249000</v>
      </c>
      <c r="M420" s="78" t="s">
        <v>477</v>
      </c>
      <c r="N420" s="98" t="s">
        <v>478</v>
      </c>
      <c r="O420" s="98" t="s">
        <v>143</v>
      </c>
      <c r="P420" s="98">
        <v>100</v>
      </c>
      <c r="Q420" s="32" t="s">
        <v>479</v>
      </c>
      <c r="R420" s="98" t="s">
        <v>480</v>
      </c>
      <c r="S420" s="32" t="s">
        <v>481</v>
      </c>
      <c r="T420" s="98" t="s">
        <v>65</v>
      </c>
      <c r="U420" s="98"/>
      <c r="V420" s="98" t="s">
        <v>66</v>
      </c>
      <c r="W420" s="98"/>
      <c r="X420" s="78" t="s">
        <v>67</v>
      </c>
      <c r="Y420" s="98" t="s">
        <v>340</v>
      </c>
      <c r="Z420" s="32" t="s">
        <v>125</v>
      </c>
      <c r="AA420" s="32" t="s">
        <v>70</v>
      </c>
      <c r="AB420" s="78" t="s">
        <v>342</v>
      </c>
      <c r="AC420" s="119" t="s">
        <v>92</v>
      </c>
      <c r="AD420" s="119" t="s">
        <v>92</v>
      </c>
      <c r="AE420" s="65" t="s">
        <v>73</v>
      </c>
      <c r="AF420" s="39" t="s">
        <v>343</v>
      </c>
      <c r="AG420" s="98" t="s">
        <v>240</v>
      </c>
      <c r="AH420" s="115">
        <v>650</v>
      </c>
      <c r="AI420" s="117" t="s">
        <v>289</v>
      </c>
      <c r="AJ420" s="115" t="s">
        <v>241</v>
      </c>
      <c r="AK420" s="73">
        <v>3479</v>
      </c>
      <c r="AL420" s="116">
        <f t="shared" si="54"/>
        <v>866271000</v>
      </c>
      <c r="AM420" s="116">
        <v>108</v>
      </c>
      <c r="AN420" s="116">
        <v>18781400</v>
      </c>
      <c r="AO420" s="116">
        <v>962</v>
      </c>
      <c r="AP420" s="116">
        <v>181952052</v>
      </c>
      <c r="AQ420" s="116">
        <f t="shared" si="55"/>
        <v>1831.7500000000002</v>
      </c>
      <c r="AR420" s="116">
        <f t="shared" si="56"/>
        <v>419617290.00000006</v>
      </c>
      <c r="AS420" s="118">
        <v>0.52651624029893651</v>
      </c>
    </row>
    <row r="421" spans="2:45" x14ac:dyDescent="0.3">
      <c r="B421" s="126" t="s">
        <v>563</v>
      </c>
      <c r="C421" s="98" t="str">
        <f t="shared" si="57"/>
        <v>DJ750</v>
      </c>
      <c r="D421" s="98" t="s">
        <v>148</v>
      </c>
      <c r="E421" s="98" t="str">
        <f t="shared" si="52"/>
        <v>M</v>
      </c>
      <c r="F421" s="98" t="str">
        <f t="shared" si="53"/>
        <v>DJ</v>
      </c>
      <c r="G421" s="98" t="s">
        <v>56</v>
      </c>
      <c r="H421" s="115" t="s">
        <v>335</v>
      </c>
      <c r="I421" s="98" t="s">
        <v>414</v>
      </c>
      <c r="J421" s="115" t="str">
        <f t="shared" si="58"/>
        <v/>
      </c>
      <c r="K421" s="115">
        <v>1</v>
      </c>
      <c r="L421" s="116">
        <v>249000</v>
      </c>
      <c r="M421" s="78" t="s">
        <v>477</v>
      </c>
      <c r="N421" s="98" t="s">
        <v>478</v>
      </c>
      <c r="O421" s="98" t="s">
        <v>143</v>
      </c>
      <c r="P421" s="98">
        <v>100</v>
      </c>
      <c r="Q421" s="32" t="s">
        <v>479</v>
      </c>
      <c r="R421" s="98" t="s">
        <v>480</v>
      </c>
      <c r="S421" s="32" t="s">
        <v>481</v>
      </c>
      <c r="T421" s="98" t="s">
        <v>65</v>
      </c>
      <c r="U421" s="98"/>
      <c r="V421" s="98" t="s">
        <v>66</v>
      </c>
      <c r="W421" s="98"/>
      <c r="X421" s="78" t="s">
        <v>67</v>
      </c>
      <c r="Y421" s="98" t="s">
        <v>340</v>
      </c>
      <c r="Z421" s="32" t="s">
        <v>125</v>
      </c>
      <c r="AA421" s="32" t="s">
        <v>70</v>
      </c>
      <c r="AB421" s="78" t="s">
        <v>342</v>
      </c>
      <c r="AC421" s="119" t="s">
        <v>92</v>
      </c>
      <c r="AD421" s="119" t="s">
        <v>92</v>
      </c>
      <c r="AE421" s="65" t="s">
        <v>73</v>
      </c>
      <c r="AF421" s="39" t="s">
        <v>343</v>
      </c>
      <c r="AG421" s="98" t="s">
        <v>240</v>
      </c>
      <c r="AH421" s="115">
        <v>650</v>
      </c>
      <c r="AI421" s="117" t="s">
        <v>289</v>
      </c>
      <c r="AJ421" s="115" t="s">
        <v>241</v>
      </c>
      <c r="AK421" s="73">
        <v>489</v>
      </c>
      <c r="AL421" s="116">
        <f t="shared" si="54"/>
        <v>121761000</v>
      </c>
      <c r="AM421" s="116">
        <v>7</v>
      </c>
      <c r="AN421" s="116">
        <v>1198100</v>
      </c>
      <c r="AO421" s="116">
        <v>169</v>
      </c>
      <c r="AP421" s="116">
        <v>32649249</v>
      </c>
      <c r="AQ421" s="116">
        <f t="shared" si="55"/>
        <v>291.25000000000006</v>
      </c>
      <c r="AR421" s="116">
        <f t="shared" si="56"/>
        <v>66719550.000000015</v>
      </c>
      <c r="AS421" s="118">
        <v>0.59560327198364016</v>
      </c>
    </row>
    <row r="422" spans="2:45" x14ac:dyDescent="0.3">
      <c r="B422" s="126" t="s">
        <v>565</v>
      </c>
      <c r="C422" s="98" t="str">
        <f t="shared" si="57"/>
        <v>DJ760</v>
      </c>
      <c r="D422" s="98" t="s">
        <v>55</v>
      </c>
      <c r="E422" s="98" t="str">
        <f t="shared" si="52"/>
        <v>W</v>
      </c>
      <c r="F422" s="98" t="str">
        <f t="shared" si="53"/>
        <v>DJ</v>
      </c>
      <c r="G422" s="98" t="s">
        <v>56</v>
      </c>
      <c r="H422" s="115" t="s">
        <v>347</v>
      </c>
      <c r="I422" s="98" t="s">
        <v>82</v>
      </c>
      <c r="J422" s="115">
        <f t="shared" si="58"/>
        <v>1</v>
      </c>
      <c r="K422" s="115">
        <v>1</v>
      </c>
      <c r="L422" s="116">
        <v>249000</v>
      </c>
      <c r="M422" s="78" t="s">
        <v>477</v>
      </c>
      <c r="N422" s="98" t="s">
        <v>478</v>
      </c>
      <c r="O422" s="98" t="s">
        <v>143</v>
      </c>
      <c r="P422" s="98">
        <v>100</v>
      </c>
      <c r="Q422" s="32" t="s">
        <v>479</v>
      </c>
      <c r="R422" s="98" t="s">
        <v>480</v>
      </c>
      <c r="S422" s="32" t="s">
        <v>481</v>
      </c>
      <c r="T422" s="98" t="s">
        <v>65</v>
      </c>
      <c r="U422" s="98"/>
      <c r="V422" s="98" t="s">
        <v>66</v>
      </c>
      <c r="W422" s="98"/>
      <c r="X422" s="78" t="s">
        <v>67</v>
      </c>
      <c r="Y422" s="98" t="s">
        <v>340</v>
      </c>
      <c r="Z422" s="32" t="s">
        <v>125</v>
      </c>
      <c r="AA422" s="32" t="s">
        <v>70</v>
      </c>
      <c r="AB422" s="78" t="s">
        <v>342</v>
      </c>
      <c r="AC422" s="119" t="s">
        <v>92</v>
      </c>
      <c r="AD422" s="119" t="s">
        <v>92</v>
      </c>
      <c r="AE422" s="65" t="s">
        <v>73</v>
      </c>
      <c r="AF422" s="39" t="s">
        <v>566</v>
      </c>
      <c r="AG422" s="98" t="s">
        <v>240</v>
      </c>
      <c r="AH422" s="115">
        <v>650</v>
      </c>
      <c r="AI422" s="117" t="s">
        <v>289</v>
      </c>
      <c r="AJ422" s="115" t="s">
        <v>241</v>
      </c>
      <c r="AK422" s="73">
        <v>2408</v>
      </c>
      <c r="AL422" s="116">
        <f t="shared" si="54"/>
        <v>599592000</v>
      </c>
      <c r="AM422" s="116">
        <v>13</v>
      </c>
      <c r="AN422" s="116">
        <v>2191200</v>
      </c>
      <c r="AO422" s="116">
        <v>199</v>
      </c>
      <c r="AP422" s="116">
        <v>38493036</v>
      </c>
      <c r="AQ422" s="116">
        <f t="shared" si="55"/>
        <v>800.99999999999989</v>
      </c>
      <c r="AR422" s="116">
        <f t="shared" si="56"/>
        <v>183493079.99999997</v>
      </c>
      <c r="AS422" s="118">
        <v>0.33264119601328901</v>
      </c>
    </row>
    <row r="423" spans="2:45" x14ac:dyDescent="0.3">
      <c r="B423" s="126" t="s">
        <v>565</v>
      </c>
      <c r="C423" s="98" t="str">
        <f t="shared" si="57"/>
        <v>DJ760</v>
      </c>
      <c r="D423" s="98" t="s">
        <v>55</v>
      </c>
      <c r="E423" s="98" t="str">
        <f t="shared" si="52"/>
        <v>W</v>
      </c>
      <c r="F423" s="98" t="str">
        <f t="shared" si="53"/>
        <v>DJ</v>
      </c>
      <c r="G423" s="98" t="s">
        <v>56</v>
      </c>
      <c r="H423" s="115" t="s">
        <v>347</v>
      </c>
      <c r="I423" s="98" t="s">
        <v>78</v>
      </c>
      <c r="J423" s="115" t="str">
        <f t="shared" si="58"/>
        <v/>
      </c>
      <c r="K423" s="115">
        <v>1</v>
      </c>
      <c r="L423" s="116">
        <v>249000</v>
      </c>
      <c r="M423" s="78" t="s">
        <v>477</v>
      </c>
      <c r="N423" s="98" t="s">
        <v>478</v>
      </c>
      <c r="O423" s="98" t="s">
        <v>143</v>
      </c>
      <c r="P423" s="98">
        <v>100</v>
      </c>
      <c r="Q423" s="32" t="s">
        <v>479</v>
      </c>
      <c r="R423" s="98" t="s">
        <v>480</v>
      </c>
      <c r="S423" s="32" t="s">
        <v>481</v>
      </c>
      <c r="T423" s="98" t="s">
        <v>65</v>
      </c>
      <c r="U423" s="98"/>
      <c r="V423" s="98" t="s">
        <v>66</v>
      </c>
      <c r="W423" s="98"/>
      <c r="X423" s="78" t="s">
        <v>67</v>
      </c>
      <c r="Y423" s="98" t="s">
        <v>340</v>
      </c>
      <c r="Z423" s="32" t="s">
        <v>125</v>
      </c>
      <c r="AA423" s="32" t="s">
        <v>70</v>
      </c>
      <c r="AB423" s="78" t="s">
        <v>342</v>
      </c>
      <c r="AC423" s="119" t="s">
        <v>92</v>
      </c>
      <c r="AD423" s="119" t="s">
        <v>92</v>
      </c>
      <c r="AE423" s="65" t="s">
        <v>73</v>
      </c>
      <c r="AF423" s="39" t="s">
        <v>566</v>
      </c>
      <c r="AG423" s="98" t="s">
        <v>240</v>
      </c>
      <c r="AH423" s="115">
        <v>650</v>
      </c>
      <c r="AI423" s="117" t="s">
        <v>289</v>
      </c>
      <c r="AJ423" s="115" t="s">
        <v>241</v>
      </c>
      <c r="AK423" s="73">
        <v>1696</v>
      </c>
      <c r="AL423" s="116">
        <f t="shared" si="54"/>
        <v>422304000</v>
      </c>
      <c r="AM423" s="116">
        <v>25</v>
      </c>
      <c r="AN423" s="116">
        <v>4346500</v>
      </c>
      <c r="AO423" s="116">
        <v>392</v>
      </c>
      <c r="AP423" s="116">
        <v>73111442</v>
      </c>
      <c r="AQ423" s="116">
        <f t="shared" si="55"/>
        <v>816</v>
      </c>
      <c r="AR423" s="116">
        <f t="shared" si="56"/>
        <v>186929280</v>
      </c>
      <c r="AS423" s="118">
        <v>0.48113207547169812</v>
      </c>
    </row>
    <row r="424" spans="2:45" x14ac:dyDescent="0.3">
      <c r="B424" s="126" t="s">
        <v>567</v>
      </c>
      <c r="C424" s="98" t="str">
        <f t="shared" si="57"/>
        <v>DJ7I0</v>
      </c>
      <c r="D424" s="98" t="s">
        <v>55</v>
      </c>
      <c r="E424" s="98" t="str">
        <f t="shared" si="52"/>
        <v>M</v>
      </c>
      <c r="F424" s="98" t="str">
        <f t="shared" si="53"/>
        <v>DJ</v>
      </c>
      <c r="G424" s="98" t="s">
        <v>56</v>
      </c>
      <c r="H424" s="115" t="s">
        <v>568</v>
      </c>
      <c r="I424" s="98" t="s">
        <v>78</v>
      </c>
      <c r="J424" s="115">
        <f t="shared" si="58"/>
        <v>1</v>
      </c>
      <c r="K424" s="115">
        <v>1</v>
      </c>
      <c r="L424" s="116">
        <v>259000</v>
      </c>
      <c r="M424" s="78" t="s">
        <v>477</v>
      </c>
      <c r="N424" s="98" t="s">
        <v>478</v>
      </c>
      <c r="O424" s="98" t="s">
        <v>143</v>
      </c>
      <c r="P424" s="98">
        <v>100</v>
      </c>
      <c r="Q424" s="32" t="s">
        <v>479</v>
      </c>
      <c r="R424" s="98" t="s">
        <v>480</v>
      </c>
      <c r="S424" s="32" t="s">
        <v>481</v>
      </c>
      <c r="T424" s="98" t="s">
        <v>65</v>
      </c>
      <c r="U424" s="98"/>
      <c r="V424" s="98" t="s">
        <v>66</v>
      </c>
      <c r="W424" s="98"/>
      <c r="X424" s="78" t="s">
        <v>67</v>
      </c>
      <c r="Y424" s="98" t="s">
        <v>340</v>
      </c>
      <c r="Z424" s="32" t="s">
        <v>125</v>
      </c>
      <c r="AA424" s="32" t="s">
        <v>70</v>
      </c>
      <c r="AB424" s="78" t="s">
        <v>342</v>
      </c>
      <c r="AC424" s="119" t="s">
        <v>92</v>
      </c>
      <c r="AD424" s="119" t="s">
        <v>92</v>
      </c>
      <c r="AE424" s="65" t="s">
        <v>73</v>
      </c>
      <c r="AF424" s="39" t="s">
        <v>569</v>
      </c>
      <c r="AG424" s="98" t="s">
        <v>240</v>
      </c>
      <c r="AH424" s="115">
        <v>650</v>
      </c>
      <c r="AI424" s="117" t="s">
        <v>289</v>
      </c>
      <c r="AJ424" s="115" t="s">
        <v>241</v>
      </c>
      <c r="AK424" s="73">
        <v>3289</v>
      </c>
      <c r="AL424" s="116">
        <f t="shared" si="54"/>
        <v>851851000</v>
      </c>
      <c r="AM424" s="116">
        <v>146</v>
      </c>
      <c r="AN424" s="116">
        <v>26456270</v>
      </c>
      <c r="AO424" s="116">
        <v>1694</v>
      </c>
      <c r="AP424" s="116">
        <v>331637806</v>
      </c>
      <c r="AQ424" s="116">
        <f t="shared" si="55"/>
        <v>2516.25</v>
      </c>
      <c r="AR424" s="116">
        <f t="shared" si="56"/>
        <v>599572050</v>
      </c>
      <c r="AS424" s="118">
        <v>0.76505016722408026</v>
      </c>
    </row>
    <row r="425" spans="2:45" x14ac:dyDescent="0.3">
      <c r="B425" s="126" t="s">
        <v>567</v>
      </c>
      <c r="C425" s="98" t="str">
        <f t="shared" si="57"/>
        <v>DJ7I0</v>
      </c>
      <c r="D425" s="98" t="s">
        <v>55</v>
      </c>
      <c r="E425" s="98" t="str">
        <f t="shared" si="52"/>
        <v>M</v>
      </c>
      <c r="F425" s="98" t="str">
        <f t="shared" si="53"/>
        <v>DJ</v>
      </c>
      <c r="G425" s="98" t="s">
        <v>56</v>
      </c>
      <c r="H425" s="115" t="s">
        <v>568</v>
      </c>
      <c r="I425" s="98" t="s">
        <v>242</v>
      </c>
      <c r="J425" s="115" t="str">
        <f t="shared" si="58"/>
        <v/>
      </c>
      <c r="K425" s="115">
        <v>1</v>
      </c>
      <c r="L425" s="116">
        <v>259000</v>
      </c>
      <c r="M425" s="78" t="s">
        <v>477</v>
      </c>
      <c r="N425" s="98" t="s">
        <v>478</v>
      </c>
      <c r="O425" s="98" t="s">
        <v>143</v>
      </c>
      <c r="P425" s="98">
        <v>100</v>
      </c>
      <c r="Q425" s="32" t="s">
        <v>479</v>
      </c>
      <c r="R425" s="98" t="s">
        <v>480</v>
      </c>
      <c r="S425" s="32" t="s">
        <v>481</v>
      </c>
      <c r="T425" s="98" t="s">
        <v>65</v>
      </c>
      <c r="U425" s="98"/>
      <c r="V425" s="98" t="s">
        <v>66</v>
      </c>
      <c r="W425" s="98"/>
      <c r="X425" s="78" t="s">
        <v>67</v>
      </c>
      <c r="Y425" s="98" t="s">
        <v>340</v>
      </c>
      <c r="Z425" s="32" t="s">
        <v>125</v>
      </c>
      <c r="AA425" s="32" t="s">
        <v>70</v>
      </c>
      <c r="AB425" s="78" t="s">
        <v>342</v>
      </c>
      <c r="AC425" s="119" t="s">
        <v>92</v>
      </c>
      <c r="AD425" s="119" t="s">
        <v>92</v>
      </c>
      <c r="AE425" s="65" t="s">
        <v>73</v>
      </c>
      <c r="AF425" s="39" t="s">
        <v>569</v>
      </c>
      <c r="AG425" s="98" t="s">
        <v>240</v>
      </c>
      <c r="AH425" s="115">
        <v>650</v>
      </c>
      <c r="AI425" s="117" t="s">
        <v>289</v>
      </c>
      <c r="AJ425" s="115" t="s">
        <v>241</v>
      </c>
      <c r="AK425" s="73">
        <v>1193</v>
      </c>
      <c r="AL425" s="116">
        <f t="shared" si="54"/>
        <v>308987000</v>
      </c>
      <c r="AM425" s="116">
        <v>29</v>
      </c>
      <c r="AN425" s="116">
        <v>5260210</v>
      </c>
      <c r="AO425" s="116">
        <v>415</v>
      </c>
      <c r="AP425" s="116">
        <v>84831482</v>
      </c>
      <c r="AQ425" s="116">
        <f t="shared" si="55"/>
        <v>713.24999999999989</v>
      </c>
      <c r="AR425" s="116">
        <f t="shared" si="56"/>
        <v>169953209.99999997</v>
      </c>
      <c r="AS425" s="118">
        <v>0.59786253143336121</v>
      </c>
    </row>
    <row r="426" spans="2:45" x14ac:dyDescent="0.3">
      <c r="B426" s="126" t="s">
        <v>567</v>
      </c>
      <c r="C426" s="98" t="str">
        <f t="shared" si="57"/>
        <v>DJ7I0</v>
      </c>
      <c r="D426" s="98" t="s">
        <v>55</v>
      </c>
      <c r="E426" s="98" t="str">
        <f t="shared" si="52"/>
        <v>M</v>
      </c>
      <c r="F426" s="98" t="str">
        <f t="shared" si="53"/>
        <v>DJ</v>
      </c>
      <c r="G426" s="98" t="s">
        <v>56</v>
      </c>
      <c r="H426" s="115" t="s">
        <v>568</v>
      </c>
      <c r="I426" s="98" t="s">
        <v>570</v>
      </c>
      <c r="J426" s="115" t="str">
        <f t="shared" si="58"/>
        <v/>
      </c>
      <c r="K426" s="115">
        <v>1</v>
      </c>
      <c r="L426" s="116">
        <v>259000</v>
      </c>
      <c r="M426" s="78" t="s">
        <v>477</v>
      </c>
      <c r="N426" s="98" t="s">
        <v>478</v>
      </c>
      <c r="O426" s="98" t="s">
        <v>143</v>
      </c>
      <c r="P426" s="98">
        <v>100</v>
      </c>
      <c r="Q426" s="32" t="s">
        <v>479</v>
      </c>
      <c r="R426" s="98" t="s">
        <v>480</v>
      </c>
      <c r="S426" s="32" t="s">
        <v>481</v>
      </c>
      <c r="T426" s="98" t="s">
        <v>65</v>
      </c>
      <c r="U426" s="98"/>
      <c r="V426" s="98" t="s">
        <v>66</v>
      </c>
      <c r="W426" s="98"/>
      <c r="X426" s="78" t="s">
        <v>67</v>
      </c>
      <c r="Y426" s="98" t="s">
        <v>340</v>
      </c>
      <c r="Z426" s="32" t="s">
        <v>125</v>
      </c>
      <c r="AA426" s="32" t="s">
        <v>70</v>
      </c>
      <c r="AB426" s="78" t="s">
        <v>342</v>
      </c>
      <c r="AC426" s="119" t="s">
        <v>92</v>
      </c>
      <c r="AD426" s="119" t="s">
        <v>92</v>
      </c>
      <c r="AE426" s="65" t="s">
        <v>73</v>
      </c>
      <c r="AF426" s="39" t="s">
        <v>569</v>
      </c>
      <c r="AG426" s="98" t="s">
        <v>240</v>
      </c>
      <c r="AH426" s="115">
        <v>650</v>
      </c>
      <c r="AI426" s="117" t="s">
        <v>289</v>
      </c>
      <c r="AJ426" s="115" t="s">
        <v>241</v>
      </c>
      <c r="AK426" s="73">
        <v>1193</v>
      </c>
      <c r="AL426" s="116">
        <f t="shared" si="54"/>
        <v>308987000</v>
      </c>
      <c r="AM426" s="116">
        <v>36</v>
      </c>
      <c r="AN426" s="116">
        <v>6448100</v>
      </c>
      <c r="AO426" s="116">
        <v>591</v>
      </c>
      <c r="AP426" s="116">
        <v>115633997</v>
      </c>
      <c r="AQ426" s="116">
        <f t="shared" si="55"/>
        <v>889.24999999999989</v>
      </c>
      <c r="AR426" s="116">
        <f t="shared" si="56"/>
        <v>211890489.99999997</v>
      </c>
      <c r="AS426" s="118">
        <v>0.74538977367979875</v>
      </c>
    </row>
    <row r="427" spans="2:45" x14ac:dyDescent="0.3">
      <c r="B427" s="126" t="s">
        <v>571</v>
      </c>
      <c r="C427" s="98" t="str">
        <f t="shared" si="57"/>
        <v>DJ7J0</v>
      </c>
      <c r="D427" s="98" t="s">
        <v>55</v>
      </c>
      <c r="E427" s="98" t="str">
        <f t="shared" si="52"/>
        <v>W</v>
      </c>
      <c r="F427" s="98" t="str">
        <f t="shared" si="53"/>
        <v>DJ</v>
      </c>
      <c r="G427" s="98" t="s">
        <v>56</v>
      </c>
      <c r="H427" s="115" t="s">
        <v>572</v>
      </c>
      <c r="I427" s="98" t="s">
        <v>179</v>
      </c>
      <c r="J427" s="115">
        <f t="shared" si="58"/>
        <v>1</v>
      </c>
      <c r="K427" s="115">
        <v>1</v>
      </c>
      <c r="L427" s="116">
        <v>259000</v>
      </c>
      <c r="M427" s="78" t="s">
        <v>477</v>
      </c>
      <c r="N427" s="98" t="s">
        <v>478</v>
      </c>
      <c r="O427" s="98" t="s">
        <v>143</v>
      </c>
      <c r="P427" s="98">
        <v>100</v>
      </c>
      <c r="Q427" s="32" t="s">
        <v>479</v>
      </c>
      <c r="R427" s="98" t="s">
        <v>480</v>
      </c>
      <c r="S427" s="32" t="s">
        <v>481</v>
      </c>
      <c r="T427" s="98" t="s">
        <v>65</v>
      </c>
      <c r="U427" s="98"/>
      <c r="V427" s="98" t="s">
        <v>66</v>
      </c>
      <c r="W427" s="98"/>
      <c r="X427" s="78" t="s">
        <v>67</v>
      </c>
      <c r="Y427" s="98" t="s">
        <v>340</v>
      </c>
      <c r="Z427" s="32" t="s">
        <v>125</v>
      </c>
      <c r="AA427" s="32" t="s">
        <v>70</v>
      </c>
      <c r="AB427" s="78" t="s">
        <v>342</v>
      </c>
      <c r="AC427" s="119" t="s">
        <v>92</v>
      </c>
      <c r="AD427" s="119" t="s">
        <v>92</v>
      </c>
      <c r="AE427" s="65" t="s">
        <v>73</v>
      </c>
      <c r="AF427" s="39" t="s">
        <v>566</v>
      </c>
      <c r="AG427" s="98" t="s">
        <v>240</v>
      </c>
      <c r="AH427" s="115">
        <v>650</v>
      </c>
      <c r="AI427" s="117" t="s">
        <v>289</v>
      </c>
      <c r="AJ427" s="115" t="s">
        <v>241</v>
      </c>
      <c r="AK427" s="73">
        <v>796</v>
      </c>
      <c r="AL427" s="116">
        <f t="shared" si="54"/>
        <v>206164000</v>
      </c>
      <c r="AM427" s="116">
        <v>37</v>
      </c>
      <c r="AN427" s="116">
        <v>6704100</v>
      </c>
      <c r="AO427" s="116">
        <v>477</v>
      </c>
      <c r="AP427" s="116">
        <v>91470944</v>
      </c>
      <c r="AQ427" s="116">
        <f t="shared" si="55"/>
        <v>676</v>
      </c>
      <c r="AR427" s="116">
        <f t="shared" si="56"/>
        <v>161077280</v>
      </c>
      <c r="AS427" s="118">
        <v>0.84924623115577891</v>
      </c>
    </row>
    <row r="428" spans="2:45" x14ac:dyDescent="0.3">
      <c r="B428" s="126" t="s">
        <v>571</v>
      </c>
      <c r="C428" s="98" t="str">
        <f t="shared" si="57"/>
        <v>DJ7J0</v>
      </c>
      <c r="D428" s="98" t="s">
        <v>55</v>
      </c>
      <c r="E428" s="98" t="str">
        <f t="shared" si="52"/>
        <v>W</v>
      </c>
      <c r="F428" s="98" t="str">
        <f t="shared" si="53"/>
        <v>DJ</v>
      </c>
      <c r="G428" s="98" t="s">
        <v>56</v>
      </c>
      <c r="H428" s="115" t="s">
        <v>572</v>
      </c>
      <c r="I428" s="98" t="s">
        <v>573</v>
      </c>
      <c r="J428" s="115" t="str">
        <f t="shared" si="58"/>
        <v/>
      </c>
      <c r="K428" s="115">
        <v>1</v>
      </c>
      <c r="L428" s="116">
        <v>259000</v>
      </c>
      <c r="M428" s="78" t="s">
        <v>477</v>
      </c>
      <c r="N428" s="98" t="s">
        <v>478</v>
      </c>
      <c r="O428" s="98" t="s">
        <v>143</v>
      </c>
      <c r="P428" s="98">
        <v>100</v>
      </c>
      <c r="Q428" s="32" t="s">
        <v>479</v>
      </c>
      <c r="R428" s="98" t="s">
        <v>480</v>
      </c>
      <c r="S428" s="32" t="s">
        <v>481</v>
      </c>
      <c r="T428" s="98" t="s">
        <v>65</v>
      </c>
      <c r="U428" s="98"/>
      <c r="V428" s="98" t="s">
        <v>66</v>
      </c>
      <c r="W428" s="98"/>
      <c r="X428" s="78" t="s">
        <v>67</v>
      </c>
      <c r="Y428" s="98" t="s">
        <v>340</v>
      </c>
      <c r="Z428" s="32" t="s">
        <v>125</v>
      </c>
      <c r="AA428" s="32" t="s">
        <v>70</v>
      </c>
      <c r="AB428" s="78" t="s">
        <v>342</v>
      </c>
      <c r="AC428" s="119" t="s">
        <v>92</v>
      </c>
      <c r="AD428" s="119" t="s">
        <v>92</v>
      </c>
      <c r="AE428" s="65" t="s">
        <v>73</v>
      </c>
      <c r="AF428" s="39" t="s">
        <v>566</v>
      </c>
      <c r="AG428" s="98" t="s">
        <v>240</v>
      </c>
      <c r="AH428" s="115">
        <v>650</v>
      </c>
      <c r="AI428" s="117" t="s">
        <v>289</v>
      </c>
      <c r="AJ428" s="115" t="s">
        <v>241</v>
      </c>
      <c r="AK428" s="73">
        <v>800</v>
      </c>
      <c r="AL428" s="116">
        <f t="shared" si="54"/>
        <v>207200000</v>
      </c>
      <c r="AM428" s="116">
        <v>11</v>
      </c>
      <c r="AN428" s="116">
        <v>2006300</v>
      </c>
      <c r="AO428" s="116">
        <v>169</v>
      </c>
      <c r="AP428" s="116">
        <v>35025749</v>
      </c>
      <c r="AQ428" s="116">
        <f t="shared" si="55"/>
        <v>369</v>
      </c>
      <c r="AR428" s="116">
        <f t="shared" si="56"/>
        <v>87925320</v>
      </c>
      <c r="AS428" s="118">
        <v>0.46124999999999999</v>
      </c>
    </row>
    <row r="429" spans="2:45" x14ac:dyDescent="0.3">
      <c r="B429" s="126" t="s">
        <v>571</v>
      </c>
      <c r="C429" s="98" t="str">
        <f t="shared" si="57"/>
        <v>DJ7J0</v>
      </c>
      <c r="D429" s="98" t="s">
        <v>55</v>
      </c>
      <c r="E429" s="98" t="str">
        <f t="shared" si="52"/>
        <v>W</v>
      </c>
      <c r="F429" s="98" t="str">
        <f t="shared" si="53"/>
        <v>DJ</v>
      </c>
      <c r="G429" s="98" t="s">
        <v>56</v>
      </c>
      <c r="H429" s="115" t="s">
        <v>572</v>
      </c>
      <c r="I429" s="98" t="s">
        <v>78</v>
      </c>
      <c r="J429" s="115" t="str">
        <f t="shared" si="58"/>
        <v/>
      </c>
      <c r="K429" s="115">
        <v>1</v>
      </c>
      <c r="L429" s="116">
        <v>259000</v>
      </c>
      <c r="M429" s="78" t="s">
        <v>477</v>
      </c>
      <c r="N429" s="98" t="s">
        <v>478</v>
      </c>
      <c r="O429" s="98" t="s">
        <v>143</v>
      </c>
      <c r="P429" s="98">
        <v>100</v>
      </c>
      <c r="Q429" s="32" t="s">
        <v>479</v>
      </c>
      <c r="R429" s="98" t="s">
        <v>480</v>
      </c>
      <c r="S429" s="32" t="s">
        <v>481</v>
      </c>
      <c r="T429" s="98" t="s">
        <v>65</v>
      </c>
      <c r="U429" s="98"/>
      <c r="V429" s="98" t="s">
        <v>66</v>
      </c>
      <c r="W429" s="98"/>
      <c r="X429" s="78" t="s">
        <v>67</v>
      </c>
      <c r="Y429" s="98" t="s">
        <v>340</v>
      </c>
      <c r="Z429" s="32" t="s">
        <v>125</v>
      </c>
      <c r="AA429" s="32" t="s">
        <v>70</v>
      </c>
      <c r="AB429" s="78" t="s">
        <v>342</v>
      </c>
      <c r="AC429" s="119" t="s">
        <v>92</v>
      </c>
      <c r="AD429" s="119" t="s">
        <v>92</v>
      </c>
      <c r="AE429" s="65" t="s">
        <v>73</v>
      </c>
      <c r="AF429" s="39" t="s">
        <v>566</v>
      </c>
      <c r="AG429" s="98" t="s">
        <v>240</v>
      </c>
      <c r="AH429" s="115">
        <v>650</v>
      </c>
      <c r="AI429" s="117" t="s">
        <v>289</v>
      </c>
      <c r="AJ429" s="115" t="s">
        <v>241</v>
      </c>
      <c r="AK429" s="73">
        <v>1399</v>
      </c>
      <c r="AL429" s="116">
        <f t="shared" si="54"/>
        <v>362341000</v>
      </c>
      <c r="AM429" s="116">
        <v>49</v>
      </c>
      <c r="AN429" s="116">
        <v>8796320</v>
      </c>
      <c r="AO429" s="116">
        <v>820</v>
      </c>
      <c r="AP429" s="116">
        <v>160786905</v>
      </c>
      <c r="AQ429" s="116">
        <f t="shared" si="55"/>
        <v>1169.75</v>
      </c>
      <c r="AR429" s="116">
        <f t="shared" si="56"/>
        <v>278728030</v>
      </c>
      <c r="AS429" s="118">
        <v>0.83613295210864902</v>
      </c>
    </row>
    <row r="430" spans="2:45" x14ac:dyDescent="0.3">
      <c r="B430" s="126" t="s">
        <v>574</v>
      </c>
      <c r="C430" s="98" t="str">
        <f t="shared" si="57"/>
        <v>DJ7M0</v>
      </c>
      <c r="D430" s="98" t="s">
        <v>55</v>
      </c>
      <c r="E430" s="98" t="str">
        <f t="shared" si="52"/>
        <v>M</v>
      </c>
      <c r="F430" s="98" t="str">
        <f t="shared" si="53"/>
        <v>DJ</v>
      </c>
      <c r="G430" s="98" t="s">
        <v>56</v>
      </c>
      <c r="H430" s="115" t="s">
        <v>575</v>
      </c>
      <c r="I430" s="98" t="s">
        <v>576</v>
      </c>
      <c r="J430" s="115">
        <f t="shared" si="58"/>
        <v>1</v>
      </c>
      <c r="K430" s="115">
        <v>1</v>
      </c>
      <c r="L430" s="116">
        <v>279000</v>
      </c>
      <c r="M430" s="78" t="s">
        <v>477</v>
      </c>
      <c r="N430" s="98" t="s">
        <v>478</v>
      </c>
      <c r="O430" s="98" t="s">
        <v>143</v>
      </c>
      <c r="P430" s="98">
        <v>100</v>
      </c>
      <c r="Q430" s="32" t="s">
        <v>479</v>
      </c>
      <c r="R430" s="98" t="s">
        <v>480</v>
      </c>
      <c r="S430" s="32" t="s">
        <v>481</v>
      </c>
      <c r="T430" s="98" t="s">
        <v>65</v>
      </c>
      <c r="U430" s="98"/>
      <c r="V430" s="98" t="s">
        <v>66</v>
      </c>
      <c r="W430" s="98"/>
      <c r="X430" s="78" t="s">
        <v>67</v>
      </c>
      <c r="Y430" s="98" t="s">
        <v>340</v>
      </c>
      <c r="Z430" s="32" t="s">
        <v>125</v>
      </c>
      <c r="AA430" s="32" t="s">
        <v>70</v>
      </c>
      <c r="AB430" s="78" t="s">
        <v>71</v>
      </c>
      <c r="AC430" s="98" t="s">
        <v>62</v>
      </c>
      <c r="AD430" s="98" t="s">
        <v>72</v>
      </c>
      <c r="AE430" s="65" t="s">
        <v>73</v>
      </c>
      <c r="AF430" s="39" t="s">
        <v>170</v>
      </c>
      <c r="AG430" s="98" t="s">
        <v>240</v>
      </c>
      <c r="AH430" s="115">
        <v>650</v>
      </c>
      <c r="AI430" s="117" t="s">
        <v>289</v>
      </c>
      <c r="AJ430" s="115" t="s">
        <v>241</v>
      </c>
      <c r="AK430" s="73">
        <v>1248</v>
      </c>
      <c r="AL430" s="116">
        <f t="shared" si="54"/>
        <v>348192000</v>
      </c>
      <c r="AM430" s="116">
        <v>43</v>
      </c>
      <c r="AN430" s="116">
        <v>11113535</v>
      </c>
      <c r="AO430" s="116">
        <v>291</v>
      </c>
      <c r="AP430" s="116">
        <v>76213824</v>
      </c>
      <c r="AQ430" s="116">
        <f t="shared" si="55"/>
        <v>603</v>
      </c>
      <c r="AR430" s="116">
        <f t="shared" si="56"/>
        <v>154778040</v>
      </c>
      <c r="AS430" s="118">
        <v>0.48317307692307693</v>
      </c>
    </row>
    <row r="431" spans="2:45" x14ac:dyDescent="0.3">
      <c r="B431" s="126" t="s">
        <v>574</v>
      </c>
      <c r="C431" s="98" t="str">
        <f t="shared" si="57"/>
        <v>DJ7M0</v>
      </c>
      <c r="D431" s="98" t="s">
        <v>55</v>
      </c>
      <c r="E431" s="98" t="str">
        <f t="shared" si="52"/>
        <v>M</v>
      </c>
      <c r="F431" s="98" t="str">
        <f t="shared" si="53"/>
        <v>DJ</v>
      </c>
      <c r="G431" s="98" t="s">
        <v>56</v>
      </c>
      <c r="H431" s="115" t="s">
        <v>575</v>
      </c>
      <c r="I431" s="98" t="s">
        <v>78</v>
      </c>
      <c r="J431" s="115" t="str">
        <f t="shared" si="58"/>
        <v/>
      </c>
      <c r="K431" s="115">
        <v>1</v>
      </c>
      <c r="L431" s="116">
        <v>279000</v>
      </c>
      <c r="M431" s="78" t="s">
        <v>477</v>
      </c>
      <c r="N431" s="98" t="s">
        <v>478</v>
      </c>
      <c r="O431" s="98" t="s">
        <v>143</v>
      </c>
      <c r="P431" s="98">
        <v>100</v>
      </c>
      <c r="Q431" s="32" t="s">
        <v>479</v>
      </c>
      <c r="R431" s="98" t="s">
        <v>480</v>
      </c>
      <c r="S431" s="32" t="s">
        <v>481</v>
      </c>
      <c r="T431" s="98" t="s">
        <v>65</v>
      </c>
      <c r="U431" s="98"/>
      <c r="V431" s="98" t="s">
        <v>66</v>
      </c>
      <c r="W431" s="98"/>
      <c r="X431" s="78" t="s">
        <v>67</v>
      </c>
      <c r="Y431" s="98" t="s">
        <v>340</v>
      </c>
      <c r="Z431" s="32" t="s">
        <v>125</v>
      </c>
      <c r="AA431" s="32" t="s">
        <v>70</v>
      </c>
      <c r="AB431" s="78" t="s">
        <v>71</v>
      </c>
      <c r="AC431" s="98" t="s">
        <v>62</v>
      </c>
      <c r="AD431" s="98" t="s">
        <v>72</v>
      </c>
      <c r="AE431" s="65" t="s">
        <v>73</v>
      </c>
      <c r="AF431" s="39" t="s">
        <v>170</v>
      </c>
      <c r="AG431" s="98" t="s">
        <v>240</v>
      </c>
      <c r="AH431" s="115">
        <v>650</v>
      </c>
      <c r="AI431" s="117" t="s">
        <v>289</v>
      </c>
      <c r="AJ431" s="115" t="s">
        <v>241</v>
      </c>
      <c r="AK431" s="73">
        <v>2594</v>
      </c>
      <c r="AL431" s="116">
        <f t="shared" si="54"/>
        <v>723726000</v>
      </c>
      <c r="AM431" s="116">
        <v>56</v>
      </c>
      <c r="AN431" s="116">
        <v>13524990</v>
      </c>
      <c r="AO431" s="116">
        <v>543</v>
      </c>
      <c r="AP431" s="116">
        <v>141591017</v>
      </c>
      <c r="AQ431" s="116">
        <f t="shared" si="55"/>
        <v>1191.5</v>
      </c>
      <c r="AR431" s="116">
        <f t="shared" si="56"/>
        <v>305834220</v>
      </c>
      <c r="AS431" s="118">
        <v>0.45932922127987663</v>
      </c>
    </row>
    <row r="432" spans="2:45" x14ac:dyDescent="0.3">
      <c r="B432" s="126" t="s">
        <v>577</v>
      </c>
      <c r="C432" s="98" t="str">
        <f t="shared" si="57"/>
        <v>DJ7G0</v>
      </c>
      <c r="D432" s="98" t="s">
        <v>55</v>
      </c>
      <c r="E432" s="98" t="str">
        <f t="shared" si="52"/>
        <v>M</v>
      </c>
      <c r="F432" s="98" t="str">
        <f t="shared" si="53"/>
        <v>DJ</v>
      </c>
      <c r="G432" s="98" t="s">
        <v>56</v>
      </c>
      <c r="H432" s="115" t="s">
        <v>578</v>
      </c>
      <c r="I432" s="98" t="s">
        <v>78</v>
      </c>
      <c r="J432" s="115">
        <f t="shared" si="58"/>
        <v>1</v>
      </c>
      <c r="K432" s="115">
        <v>1</v>
      </c>
      <c r="L432" s="116">
        <v>379000</v>
      </c>
      <c r="M432" s="78" t="s">
        <v>477</v>
      </c>
      <c r="N432" s="98" t="s">
        <v>478</v>
      </c>
      <c r="O432" s="98" t="s">
        <v>143</v>
      </c>
      <c r="P432" s="98">
        <v>100</v>
      </c>
      <c r="Q432" s="32" t="s">
        <v>479</v>
      </c>
      <c r="R432" s="98" t="s">
        <v>480</v>
      </c>
      <c r="S432" s="32" t="s">
        <v>481</v>
      </c>
      <c r="T432" s="98" t="s">
        <v>65</v>
      </c>
      <c r="U432" s="98"/>
      <c r="V432" s="98" t="s">
        <v>66</v>
      </c>
      <c r="W432" s="98"/>
      <c r="X432" s="78" t="s">
        <v>67</v>
      </c>
      <c r="Y432" s="98" t="s">
        <v>340</v>
      </c>
      <c r="Z432" s="32" t="s">
        <v>125</v>
      </c>
      <c r="AA432" s="32" t="s">
        <v>70</v>
      </c>
      <c r="AB432" s="78" t="s">
        <v>71</v>
      </c>
      <c r="AC432" s="98" t="s">
        <v>337</v>
      </c>
      <c r="AD432" s="98" t="s">
        <v>72</v>
      </c>
      <c r="AE432" s="65" t="s">
        <v>73</v>
      </c>
      <c r="AF432" s="39" t="s">
        <v>442</v>
      </c>
      <c r="AG432" s="98" t="s">
        <v>127</v>
      </c>
      <c r="AH432" s="115">
        <v>650</v>
      </c>
      <c r="AI432" s="117" t="s">
        <v>264</v>
      </c>
      <c r="AJ432" s="115" t="s">
        <v>241</v>
      </c>
      <c r="AK432" s="73">
        <v>3179</v>
      </c>
      <c r="AL432" s="116">
        <f t="shared" si="54"/>
        <v>1204841000</v>
      </c>
      <c r="AM432" s="116">
        <v>169</v>
      </c>
      <c r="AN432" s="116">
        <v>60006475</v>
      </c>
      <c r="AO432" s="116">
        <v>484</v>
      </c>
      <c r="AP432" s="116">
        <v>175152548</v>
      </c>
      <c r="AQ432" s="116">
        <f t="shared" si="55"/>
        <v>1596.6499999999999</v>
      </c>
      <c r="AR432" s="116">
        <f t="shared" si="56"/>
        <v>556719922</v>
      </c>
      <c r="AS432" s="118">
        <v>0.50224913494809686</v>
      </c>
    </row>
    <row r="433" spans="2:45" x14ac:dyDescent="0.3">
      <c r="B433" s="126" t="s">
        <v>577</v>
      </c>
      <c r="C433" s="98" t="str">
        <f t="shared" si="57"/>
        <v>DJ7G0</v>
      </c>
      <c r="D433" s="98" t="s">
        <v>55</v>
      </c>
      <c r="E433" s="98" t="str">
        <f t="shared" si="52"/>
        <v>M</v>
      </c>
      <c r="F433" s="98" t="str">
        <f t="shared" si="53"/>
        <v>DJ</v>
      </c>
      <c r="G433" s="98" t="s">
        <v>56</v>
      </c>
      <c r="H433" s="115" t="s">
        <v>578</v>
      </c>
      <c r="I433" s="98" t="s">
        <v>242</v>
      </c>
      <c r="J433" s="115" t="str">
        <f t="shared" si="58"/>
        <v/>
      </c>
      <c r="K433" s="115">
        <v>1</v>
      </c>
      <c r="L433" s="116">
        <v>379000</v>
      </c>
      <c r="M433" s="78" t="s">
        <v>477</v>
      </c>
      <c r="N433" s="98" t="s">
        <v>478</v>
      </c>
      <c r="O433" s="98" t="s">
        <v>143</v>
      </c>
      <c r="P433" s="98">
        <v>100</v>
      </c>
      <c r="Q433" s="32" t="s">
        <v>479</v>
      </c>
      <c r="R433" s="98" t="s">
        <v>480</v>
      </c>
      <c r="S433" s="32" t="s">
        <v>481</v>
      </c>
      <c r="T433" s="98" t="s">
        <v>65</v>
      </c>
      <c r="U433" s="98"/>
      <c r="V433" s="98" t="s">
        <v>66</v>
      </c>
      <c r="W433" s="98"/>
      <c r="X433" s="78" t="s">
        <v>67</v>
      </c>
      <c r="Y433" s="98" t="s">
        <v>340</v>
      </c>
      <c r="Z433" s="32" t="s">
        <v>125</v>
      </c>
      <c r="AA433" s="32" t="s">
        <v>70</v>
      </c>
      <c r="AB433" s="78" t="s">
        <v>71</v>
      </c>
      <c r="AC433" s="98" t="s">
        <v>337</v>
      </c>
      <c r="AD433" s="98" t="s">
        <v>72</v>
      </c>
      <c r="AE433" s="65" t="s">
        <v>73</v>
      </c>
      <c r="AF433" s="39" t="s">
        <v>442</v>
      </c>
      <c r="AG433" s="98" t="s">
        <v>127</v>
      </c>
      <c r="AH433" s="115">
        <v>650</v>
      </c>
      <c r="AI433" s="117" t="s">
        <v>264</v>
      </c>
      <c r="AJ433" s="115" t="s">
        <v>241</v>
      </c>
      <c r="AK433" s="73">
        <v>1189</v>
      </c>
      <c r="AL433" s="116">
        <f t="shared" si="54"/>
        <v>450631000</v>
      </c>
      <c r="AM433" s="116">
        <v>40</v>
      </c>
      <c r="AN433" s="116">
        <v>13957466</v>
      </c>
      <c r="AO433" s="116">
        <v>106</v>
      </c>
      <c r="AP433" s="116">
        <v>37886270</v>
      </c>
      <c r="AQ433" s="116">
        <f t="shared" si="55"/>
        <v>522.15</v>
      </c>
      <c r="AR433" s="116">
        <f t="shared" si="56"/>
        <v>182063262</v>
      </c>
      <c r="AS433" s="118">
        <v>0.43915054667788056</v>
      </c>
    </row>
    <row r="434" spans="2:45" x14ac:dyDescent="0.3">
      <c r="B434" s="126" t="s">
        <v>577</v>
      </c>
      <c r="C434" s="98" t="str">
        <f t="shared" si="57"/>
        <v>DJ7G0</v>
      </c>
      <c r="D434" s="98" t="s">
        <v>55</v>
      </c>
      <c r="E434" s="98" t="str">
        <f t="shared" si="52"/>
        <v>M</v>
      </c>
      <c r="F434" s="98" t="str">
        <f t="shared" si="53"/>
        <v>DJ</v>
      </c>
      <c r="G434" s="98" t="s">
        <v>56</v>
      </c>
      <c r="H434" s="115" t="s">
        <v>578</v>
      </c>
      <c r="I434" s="98" t="s">
        <v>82</v>
      </c>
      <c r="J434" s="115" t="str">
        <f t="shared" si="58"/>
        <v/>
      </c>
      <c r="K434" s="115">
        <v>1</v>
      </c>
      <c r="L434" s="116">
        <v>379000</v>
      </c>
      <c r="M434" s="78" t="s">
        <v>477</v>
      </c>
      <c r="N434" s="98" t="s">
        <v>478</v>
      </c>
      <c r="O434" s="98" t="s">
        <v>143</v>
      </c>
      <c r="P434" s="98">
        <v>100</v>
      </c>
      <c r="Q434" s="32" t="s">
        <v>479</v>
      </c>
      <c r="R434" s="98" t="s">
        <v>480</v>
      </c>
      <c r="S434" s="32" t="s">
        <v>481</v>
      </c>
      <c r="T434" s="98" t="s">
        <v>65</v>
      </c>
      <c r="U434" s="98"/>
      <c r="V434" s="98" t="s">
        <v>66</v>
      </c>
      <c r="W434" s="98"/>
      <c r="X434" s="78" t="s">
        <v>67</v>
      </c>
      <c r="Y434" s="98" t="s">
        <v>340</v>
      </c>
      <c r="Z434" s="32" t="s">
        <v>125</v>
      </c>
      <c r="AA434" s="32" t="s">
        <v>70</v>
      </c>
      <c r="AB434" s="78" t="s">
        <v>71</v>
      </c>
      <c r="AC434" s="98" t="s">
        <v>337</v>
      </c>
      <c r="AD434" s="98" t="s">
        <v>72</v>
      </c>
      <c r="AE434" s="65" t="s">
        <v>73</v>
      </c>
      <c r="AF434" s="39" t="s">
        <v>442</v>
      </c>
      <c r="AG434" s="98" t="s">
        <v>127</v>
      </c>
      <c r="AH434" s="115">
        <v>650</v>
      </c>
      <c r="AI434" s="117" t="s">
        <v>264</v>
      </c>
      <c r="AJ434" s="115" t="s">
        <v>241</v>
      </c>
      <c r="AK434" s="73">
        <v>1663</v>
      </c>
      <c r="AL434" s="116">
        <f t="shared" si="54"/>
        <v>630277000</v>
      </c>
      <c r="AM434" s="116">
        <v>22</v>
      </c>
      <c r="AN434" s="116">
        <v>7591100</v>
      </c>
      <c r="AO434" s="116">
        <v>97</v>
      </c>
      <c r="AP434" s="116">
        <v>34725358</v>
      </c>
      <c r="AQ434" s="116">
        <f t="shared" si="55"/>
        <v>679.05</v>
      </c>
      <c r="AR434" s="116">
        <f t="shared" si="56"/>
        <v>236771153.99999997</v>
      </c>
      <c r="AS434" s="118">
        <v>0.40832832230907995</v>
      </c>
    </row>
    <row r="435" spans="2:45" x14ac:dyDescent="0.3">
      <c r="B435" s="126" t="s">
        <v>579</v>
      </c>
      <c r="C435" s="98" t="str">
        <f t="shared" si="57"/>
        <v>DJ7H0</v>
      </c>
      <c r="D435" s="98" t="s">
        <v>55</v>
      </c>
      <c r="E435" s="98" t="str">
        <f t="shared" si="52"/>
        <v>W</v>
      </c>
      <c r="F435" s="98" t="str">
        <f t="shared" si="53"/>
        <v>DJ</v>
      </c>
      <c r="G435" s="98" t="s">
        <v>56</v>
      </c>
      <c r="H435" s="115" t="s">
        <v>580</v>
      </c>
      <c r="I435" s="98" t="s">
        <v>78</v>
      </c>
      <c r="J435" s="115">
        <f t="shared" si="58"/>
        <v>1</v>
      </c>
      <c r="K435" s="115">
        <v>1</v>
      </c>
      <c r="L435" s="116">
        <v>379000</v>
      </c>
      <c r="M435" s="78" t="s">
        <v>477</v>
      </c>
      <c r="N435" s="98" t="s">
        <v>478</v>
      </c>
      <c r="O435" s="98" t="s">
        <v>143</v>
      </c>
      <c r="P435" s="98">
        <v>100</v>
      </c>
      <c r="Q435" s="32" t="s">
        <v>479</v>
      </c>
      <c r="R435" s="98" t="s">
        <v>480</v>
      </c>
      <c r="S435" s="32" t="s">
        <v>481</v>
      </c>
      <c r="T435" s="98" t="s">
        <v>65</v>
      </c>
      <c r="U435" s="98"/>
      <c r="V435" s="98" t="s">
        <v>66</v>
      </c>
      <c r="W435" s="98"/>
      <c r="X435" s="78" t="s">
        <v>67</v>
      </c>
      <c r="Y435" s="98" t="s">
        <v>340</v>
      </c>
      <c r="Z435" s="32" t="s">
        <v>125</v>
      </c>
      <c r="AA435" s="32" t="s">
        <v>70</v>
      </c>
      <c r="AB435" s="78" t="s">
        <v>71</v>
      </c>
      <c r="AC435" s="98" t="s">
        <v>337</v>
      </c>
      <c r="AD435" s="98" t="s">
        <v>72</v>
      </c>
      <c r="AE435" s="65" t="s">
        <v>73</v>
      </c>
      <c r="AF435" s="39" t="s">
        <v>581</v>
      </c>
      <c r="AG435" s="98" t="s">
        <v>127</v>
      </c>
      <c r="AH435" s="115">
        <v>650</v>
      </c>
      <c r="AI435" s="117" t="s">
        <v>264</v>
      </c>
      <c r="AJ435" s="115" t="s">
        <v>241</v>
      </c>
      <c r="AK435" s="73">
        <v>1199</v>
      </c>
      <c r="AL435" s="116">
        <f t="shared" si="54"/>
        <v>454421000</v>
      </c>
      <c r="AM435" s="116">
        <v>77</v>
      </c>
      <c r="AN435" s="116">
        <v>27394930</v>
      </c>
      <c r="AO435" s="116">
        <v>295</v>
      </c>
      <c r="AP435" s="116">
        <v>107128040</v>
      </c>
      <c r="AQ435" s="116">
        <f t="shared" si="55"/>
        <v>714.65</v>
      </c>
      <c r="AR435" s="116">
        <f t="shared" si="56"/>
        <v>249184162</v>
      </c>
      <c r="AS435" s="118">
        <v>0.59603836530442034</v>
      </c>
    </row>
    <row r="436" spans="2:45" x14ac:dyDescent="0.3">
      <c r="B436" s="126" t="s">
        <v>579</v>
      </c>
      <c r="C436" s="98" t="str">
        <f t="shared" si="57"/>
        <v>DJ7H0</v>
      </c>
      <c r="D436" s="98" t="s">
        <v>55</v>
      </c>
      <c r="E436" s="98" t="str">
        <f t="shared" si="52"/>
        <v>W</v>
      </c>
      <c r="F436" s="98" t="str">
        <f t="shared" si="53"/>
        <v>DJ</v>
      </c>
      <c r="G436" s="98" t="s">
        <v>56</v>
      </c>
      <c r="H436" s="115" t="s">
        <v>580</v>
      </c>
      <c r="I436" s="98" t="s">
        <v>82</v>
      </c>
      <c r="J436" s="115" t="str">
        <f t="shared" si="58"/>
        <v/>
      </c>
      <c r="K436" s="115">
        <v>1</v>
      </c>
      <c r="L436" s="116">
        <v>379000</v>
      </c>
      <c r="M436" s="78" t="s">
        <v>477</v>
      </c>
      <c r="N436" s="98" t="s">
        <v>478</v>
      </c>
      <c r="O436" s="98" t="s">
        <v>143</v>
      </c>
      <c r="P436" s="98">
        <v>100</v>
      </c>
      <c r="Q436" s="32" t="s">
        <v>479</v>
      </c>
      <c r="R436" s="98" t="s">
        <v>480</v>
      </c>
      <c r="S436" s="32" t="s">
        <v>481</v>
      </c>
      <c r="T436" s="98" t="s">
        <v>65</v>
      </c>
      <c r="U436" s="98"/>
      <c r="V436" s="98" t="s">
        <v>66</v>
      </c>
      <c r="W436" s="98"/>
      <c r="X436" s="78" t="s">
        <v>67</v>
      </c>
      <c r="Y436" s="98" t="s">
        <v>340</v>
      </c>
      <c r="Z436" s="32" t="s">
        <v>125</v>
      </c>
      <c r="AA436" s="32" t="s">
        <v>70</v>
      </c>
      <c r="AB436" s="78" t="s">
        <v>71</v>
      </c>
      <c r="AC436" s="98" t="s">
        <v>337</v>
      </c>
      <c r="AD436" s="98" t="s">
        <v>72</v>
      </c>
      <c r="AE436" s="65" t="s">
        <v>73</v>
      </c>
      <c r="AF436" s="39" t="s">
        <v>581</v>
      </c>
      <c r="AG436" s="98" t="s">
        <v>127</v>
      </c>
      <c r="AH436" s="115">
        <v>650</v>
      </c>
      <c r="AI436" s="117" t="s">
        <v>264</v>
      </c>
      <c r="AJ436" s="115" t="s">
        <v>241</v>
      </c>
      <c r="AK436" s="73">
        <v>800</v>
      </c>
      <c r="AL436" s="116">
        <f t="shared" si="54"/>
        <v>303200000</v>
      </c>
      <c r="AM436" s="116">
        <v>16</v>
      </c>
      <c r="AN436" s="116">
        <v>5388504</v>
      </c>
      <c r="AO436" s="116">
        <v>63</v>
      </c>
      <c r="AP436" s="116">
        <v>22575098</v>
      </c>
      <c r="AQ436" s="116">
        <f t="shared" si="55"/>
        <v>343</v>
      </c>
      <c r="AR436" s="116">
        <f t="shared" si="56"/>
        <v>119597239.99999999</v>
      </c>
      <c r="AS436" s="118">
        <v>0.42874999999999996</v>
      </c>
    </row>
    <row r="437" spans="2:45" x14ac:dyDescent="0.3">
      <c r="B437" s="126" t="s">
        <v>582</v>
      </c>
      <c r="C437" s="98" t="str">
        <f t="shared" si="57"/>
        <v>DJ7S0</v>
      </c>
      <c r="D437" s="98" t="s">
        <v>55</v>
      </c>
      <c r="E437" s="98" t="str">
        <f t="shared" si="52"/>
        <v>M</v>
      </c>
      <c r="F437" s="98" t="str">
        <f t="shared" si="53"/>
        <v>DJ</v>
      </c>
      <c r="G437" s="98" t="s">
        <v>56</v>
      </c>
      <c r="H437" s="115" t="s">
        <v>583</v>
      </c>
      <c r="I437" s="98" t="s">
        <v>78</v>
      </c>
      <c r="J437" s="115">
        <f t="shared" si="58"/>
        <v>1</v>
      </c>
      <c r="K437" s="115">
        <v>1</v>
      </c>
      <c r="L437" s="116">
        <v>529000</v>
      </c>
      <c r="M437" s="78" t="s">
        <v>408</v>
      </c>
      <c r="N437" s="98" t="s">
        <v>584</v>
      </c>
      <c r="O437" s="98" t="s">
        <v>143</v>
      </c>
      <c r="P437" s="98">
        <v>100</v>
      </c>
      <c r="Q437" s="32" t="s">
        <v>62</v>
      </c>
      <c r="R437" s="98" t="s">
        <v>585</v>
      </c>
      <c r="S437" s="32" t="s">
        <v>586</v>
      </c>
      <c r="T437" s="98" t="s">
        <v>65</v>
      </c>
      <c r="U437" s="98"/>
      <c r="V437" s="98" t="s">
        <v>520</v>
      </c>
      <c r="W437" s="98" t="s">
        <v>408</v>
      </c>
      <c r="X437" s="78" t="s">
        <v>67</v>
      </c>
      <c r="Y437" s="98" t="s">
        <v>340</v>
      </c>
      <c r="Z437" s="32" t="s">
        <v>125</v>
      </c>
      <c r="AA437" s="32" t="s">
        <v>426</v>
      </c>
      <c r="AB437" s="78" t="s">
        <v>71</v>
      </c>
      <c r="AC437" s="98" t="s">
        <v>62</v>
      </c>
      <c r="AD437" s="98" t="s">
        <v>72</v>
      </c>
      <c r="AE437" s="65" t="s">
        <v>73</v>
      </c>
      <c r="AF437" s="39" t="s">
        <v>587</v>
      </c>
      <c r="AG437" s="98" t="s">
        <v>127</v>
      </c>
      <c r="AH437" s="115">
        <v>650</v>
      </c>
      <c r="AI437" s="117" t="s">
        <v>99</v>
      </c>
      <c r="AJ437" s="115" t="s">
        <v>100</v>
      </c>
      <c r="AK437" s="73">
        <v>2513</v>
      </c>
      <c r="AL437" s="116">
        <f t="shared" si="54"/>
        <v>1329377000</v>
      </c>
      <c r="AM437" s="116">
        <v>8</v>
      </c>
      <c r="AN437" s="116">
        <v>3720000</v>
      </c>
      <c r="AO437" s="116">
        <v>34</v>
      </c>
      <c r="AP437" s="116">
        <v>16988639</v>
      </c>
      <c r="AQ437" s="116">
        <f t="shared" si="55"/>
        <v>913.55</v>
      </c>
      <c r="AR437" s="116">
        <f t="shared" si="56"/>
        <v>444606514</v>
      </c>
      <c r="AS437" s="118">
        <v>0.36352964584162356</v>
      </c>
    </row>
    <row r="438" spans="2:45" x14ac:dyDescent="0.3">
      <c r="B438" s="126" t="s">
        <v>588</v>
      </c>
      <c r="C438" s="98" t="str">
        <f t="shared" si="57"/>
        <v>DJ7S0</v>
      </c>
      <c r="D438" s="98" t="s">
        <v>55</v>
      </c>
      <c r="E438" s="98" t="str">
        <f t="shared" si="52"/>
        <v>M</v>
      </c>
      <c r="F438" s="98" t="str">
        <f t="shared" si="53"/>
        <v>DJ</v>
      </c>
      <c r="G438" s="98" t="s">
        <v>56</v>
      </c>
      <c r="H438" s="115" t="s">
        <v>583</v>
      </c>
      <c r="I438" s="98" t="s">
        <v>281</v>
      </c>
      <c r="J438" s="115" t="str">
        <f t="shared" si="58"/>
        <v/>
      </c>
      <c r="K438" s="115">
        <v>1</v>
      </c>
      <c r="L438" s="116">
        <v>529000</v>
      </c>
      <c r="M438" s="78" t="s">
        <v>408</v>
      </c>
      <c r="N438" s="98" t="s">
        <v>584</v>
      </c>
      <c r="O438" s="98" t="s">
        <v>143</v>
      </c>
      <c r="P438" s="98">
        <v>100</v>
      </c>
      <c r="Q438" s="32" t="s">
        <v>62</v>
      </c>
      <c r="R438" s="98" t="s">
        <v>585</v>
      </c>
      <c r="S438" s="32" t="s">
        <v>586</v>
      </c>
      <c r="T438" s="98" t="s">
        <v>65</v>
      </c>
      <c r="U438" s="98"/>
      <c r="V438" s="98" t="s">
        <v>520</v>
      </c>
      <c r="W438" s="98" t="s">
        <v>408</v>
      </c>
      <c r="X438" s="78" t="s">
        <v>67</v>
      </c>
      <c r="Y438" s="98" t="s">
        <v>340</v>
      </c>
      <c r="Z438" s="32" t="s">
        <v>125</v>
      </c>
      <c r="AA438" s="32" t="s">
        <v>426</v>
      </c>
      <c r="AB438" s="78" t="s">
        <v>71</v>
      </c>
      <c r="AC438" s="98" t="s">
        <v>62</v>
      </c>
      <c r="AD438" s="98" t="s">
        <v>72</v>
      </c>
      <c r="AE438" s="65" t="s">
        <v>73</v>
      </c>
      <c r="AF438" s="39" t="s">
        <v>587</v>
      </c>
      <c r="AG438" s="98" t="s">
        <v>127</v>
      </c>
      <c r="AH438" s="115">
        <v>650</v>
      </c>
      <c r="AI438" s="117" t="s">
        <v>99</v>
      </c>
      <c r="AJ438" s="115" t="s">
        <v>100</v>
      </c>
      <c r="AK438" s="73">
        <v>961</v>
      </c>
      <c r="AL438" s="116">
        <f t="shared" si="54"/>
        <v>508369000</v>
      </c>
      <c r="AM438" s="116">
        <v>6</v>
      </c>
      <c r="AN438" s="116">
        <v>2823380</v>
      </c>
      <c r="AO438" s="116">
        <v>16</v>
      </c>
      <c r="AP438" s="116">
        <v>8008380</v>
      </c>
      <c r="AQ438" s="116">
        <f t="shared" si="55"/>
        <v>352.34999999999997</v>
      </c>
      <c r="AR438" s="116">
        <f t="shared" si="56"/>
        <v>171481698</v>
      </c>
      <c r="AS438" s="118">
        <v>0.36664932362122787</v>
      </c>
    </row>
    <row r="439" spans="2:45" x14ac:dyDescent="0.3">
      <c r="B439" s="126" t="s">
        <v>589</v>
      </c>
      <c r="C439" s="98" t="str">
        <f t="shared" si="57"/>
        <v>DJ7A0</v>
      </c>
      <c r="D439" s="98" t="s">
        <v>55</v>
      </c>
      <c r="E439" s="98" t="str">
        <f t="shared" si="52"/>
        <v>M</v>
      </c>
      <c r="F439" s="98" t="str">
        <f t="shared" si="53"/>
        <v>DJ</v>
      </c>
      <c r="G439" s="98" t="s">
        <v>56</v>
      </c>
      <c r="H439" s="115" t="s">
        <v>590</v>
      </c>
      <c r="I439" s="98" t="s">
        <v>591</v>
      </c>
      <c r="J439" s="115">
        <f t="shared" si="58"/>
        <v>1</v>
      </c>
      <c r="K439" s="115">
        <v>1</v>
      </c>
      <c r="L439" s="116">
        <v>399000</v>
      </c>
      <c r="M439" s="78" t="s">
        <v>117</v>
      </c>
      <c r="N439" s="98" t="s">
        <v>592</v>
      </c>
      <c r="O439" s="98" t="s">
        <v>485</v>
      </c>
      <c r="P439" s="98">
        <v>100</v>
      </c>
      <c r="Q439" s="32" t="s">
        <v>204</v>
      </c>
      <c r="R439" s="98" t="s">
        <v>566</v>
      </c>
      <c r="S439" s="32" t="s">
        <v>121</v>
      </c>
      <c r="T439" s="98" t="s">
        <v>122</v>
      </c>
      <c r="U439" s="98" t="s">
        <v>123</v>
      </c>
      <c r="V439" s="98"/>
      <c r="W439" s="98" t="s">
        <v>124</v>
      </c>
      <c r="X439" s="78" t="s">
        <v>67</v>
      </c>
      <c r="Y439" s="98" t="s">
        <v>68</v>
      </c>
      <c r="Z439" s="32" t="s">
        <v>125</v>
      </c>
      <c r="AA439" s="32" t="s">
        <v>90</v>
      </c>
      <c r="AB439" s="78" t="s">
        <v>71</v>
      </c>
      <c r="AC439" s="98" t="s">
        <v>62</v>
      </c>
      <c r="AD439" s="98" t="s">
        <v>72</v>
      </c>
      <c r="AE439" s="65" t="s">
        <v>73</v>
      </c>
      <c r="AF439" s="39" t="s">
        <v>343</v>
      </c>
      <c r="AG439" s="98" t="s">
        <v>240</v>
      </c>
      <c r="AH439" s="115">
        <v>650</v>
      </c>
      <c r="AI439" s="117" t="s">
        <v>76</v>
      </c>
      <c r="AJ439" s="115" t="s">
        <v>241</v>
      </c>
      <c r="AK439" s="73">
        <v>802</v>
      </c>
      <c r="AL439" s="116">
        <f t="shared" si="54"/>
        <v>319998000</v>
      </c>
      <c r="AM439" s="116">
        <v>9</v>
      </c>
      <c r="AN439" s="116">
        <v>2866137</v>
      </c>
      <c r="AO439" s="116">
        <v>91</v>
      </c>
      <c r="AP439" s="116">
        <v>33191669</v>
      </c>
      <c r="AQ439" s="116">
        <f t="shared" si="55"/>
        <v>275.46000000000004</v>
      </c>
      <c r="AR439" s="116">
        <f t="shared" si="56"/>
        <v>101115856.8</v>
      </c>
      <c r="AS439" s="118">
        <v>0.34346633416458855</v>
      </c>
    </row>
    <row r="440" spans="2:45" x14ac:dyDescent="0.3">
      <c r="B440" s="126" t="s">
        <v>589</v>
      </c>
      <c r="C440" s="98" t="str">
        <f t="shared" si="57"/>
        <v>DJ7A0</v>
      </c>
      <c r="D440" s="98" t="s">
        <v>55</v>
      </c>
      <c r="E440" s="98" t="str">
        <f t="shared" ref="E440:E503" si="59">MID($B440,2,1)</f>
        <v>M</v>
      </c>
      <c r="F440" s="98" t="str">
        <f t="shared" ref="F440:F503" si="60">MID($B440,3,2)</f>
        <v>DJ</v>
      </c>
      <c r="G440" s="98" t="s">
        <v>56</v>
      </c>
      <c r="H440" s="115" t="s">
        <v>590</v>
      </c>
      <c r="I440" s="98" t="s">
        <v>78</v>
      </c>
      <c r="J440" s="115" t="str">
        <f t="shared" si="58"/>
        <v/>
      </c>
      <c r="K440" s="115">
        <v>1</v>
      </c>
      <c r="L440" s="116">
        <v>399000</v>
      </c>
      <c r="M440" s="78" t="s">
        <v>117</v>
      </c>
      <c r="N440" s="98" t="s">
        <v>592</v>
      </c>
      <c r="O440" s="98" t="s">
        <v>485</v>
      </c>
      <c r="P440" s="98">
        <v>100</v>
      </c>
      <c r="Q440" s="32" t="s">
        <v>204</v>
      </c>
      <c r="R440" s="98" t="s">
        <v>566</v>
      </c>
      <c r="S440" s="32" t="s">
        <v>121</v>
      </c>
      <c r="T440" s="98" t="s">
        <v>122</v>
      </c>
      <c r="U440" s="98" t="s">
        <v>123</v>
      </c>
      <c r="V440" s="98"/>
      <c r="W440" s="98" t="s">
        <v>124</v>
      </c>
      <c r="X440" s="78" t="s">
        <v>67</v>
      </c>
      <c r="Y440" s="98" t="s">
        <v>68</v>
      </c>
      <c r="Z440" s="32" t="s">
        <v>125</v>
      </c>
      <c r="AA440" s="32" t="s">
        <v>90</v>
      </c>
      <c r="AB440" s="78" t="s">
        <v>71</v>
      </c>
      <c r="AC440" s="98" t="s">
        <v>62</v>
      </c>
      <c r="AD440" s="98" t="s">
        <v>72</v>
      </c>
      <c r="AE440" s="65" t="s">
        <v>73</v>
      </c>
      <c r="AF440" s="39" t="s">
        <v>343</v>
      </c>
      <c r="AG440" s="98" t="s">
        <v>240</v>
      </c>
      <c r="AH440" s="115">
        <v>650</v>
      </c>
      <c r="AI440" s="117" t="s">
        <v>76</v>
      </c>
      <c r="AJ440" s="115" t="s">
        <v>241</v>
      </c>
      <c r="AK440" s="73">
        <v>1500</v>
      </c>
      <c r="AL440" s="116">
        <f t="shared" si="54"/>
        <v>598500000</v>
      </c>
      <c r="AM440" s="116">
        <v>134</v>
      </c>
      <c r="AN440" s="116">
        <v>40774499</v>
      </c>
      <c r="AO440" s="116">
        <v>692</v>
      </c>
      <c r="AP440" s="116">
        <v>251802910</v>
      </c>
      <c r="AQ440" s="116">
        <f t="shared" si="55"/>
        <v>1037</v>
      </c>
      <c r="AR440" s="116">
        <f t="shared" si="56"/>
        <v>380661960</v>
      </c>
      <c r="AS440" s="118">
        <v>0.69133333333333336</v>
      </c>
    </row>
    <row r="441" spans="2:45" x14ac:dyDescent="0.3">
      <c r="B441" s="126" t="s">
        <v>593</v>
      </c>
      <c r="C441" s="98" t="str">
        <f t="shared" si="57"/>
        <v>DJ7B0</v>
      </c>
      <c r="D441" s="98" t="s">
        <v>55</v>
      </c>
      <c r="E441" s="98" t="str">
        <f t="shared" si="59"/>
        <v>W</v>
      </c>
      <c r="F441" s="98" t="str">
        <f t="shared" si="60"/>
        <v>DJ</v>
      </c>
      <c r="G441" s="98" t="s">
        <v>56</v>
      </c>
      <c r="H441" s="115" t="s">
        <v>594</v>
      </c>
      <c r="I441" s="98" t="s">
        <v>595</v>
      </c>
      <c r="J441" s="115">
        <f t="shared" si="58"/>
        <v>1</v>
      </c>
      <c r="K441" s="115">
        <v>1</v>
      </c>
      <c r="L441" s="116">
        <v>399000</v>
      </c>
      <c r="M441" s="78" t="s">
        <v>117</v>
      </c>
      <c r="N441" s="98" t="s">
        <v>592</v>
      </c>
      <c r="O441" s="98" t="s">
        <v>485</v>
      </c>
      <c r="P441" s="98">
        <v>100</v>
      </c>
      <c r="Q441" s="32" t="s">
        <v>204</v>
      </c>
      <c r="R441" s="98" t="s">
        <v>566</v>
      </c>
      <c r="S441" s="32" t="s">
        <v>121</v>
      </c>
      <c r="T441" s="98" t="s">
        <v>122</v>
      </c>
      <c r="U441" s="98" t="s">
        <v>123</v>
      </c>
      <c r="V441" s="98"/>
      <c r="W441" s="98" t="s">
        <v>124</v>
      </c>
      <c r="X441" s="78" t="s">
        <v>67</v>
      </c>
      <c r="Y441" s="98" t="s">
        <v>68</v>
      </c>
      <c r="Z441" s="32" t="s">
        <v>125</v>
      </c>
      <c r="AA441" s="32" t="s">
        <v>90</v>
      </c>
      <c r="AB441" s="78" t="s">
        <v>71</v>
      </c>
      <c r="AC441" s="98" t="s">
        <v>62</v>
      </c>
      <c r="AD441" s="98" t="s">
        <v>72</v>
      </c>
      <c r="AE441" s="65" t="s">
        <v>73</v>
      </c>
      <c r="AF441" s="39" t="s">
        <v>311</v>
      </c>
      <c r="AG441" s="98" t="s">
        <v>240</v>
      </c>
      <c r="AH441" s="115">
        <v>650</v>
      </c>
      <c r="AI441" s="117" t="s">
        <v>76</v>
      </c>
      <c r="AJ441" s="115" t="s">
        <v>241</v>
      </c>
      <c r="AK441" s="73">
        <v>590</v>
      </c>
      <c r="AL441" s="116">
        <f t="shared" si="54"/>
        <v>235410000</v>
      </c>
      <c r="AM441" s="116">
        <v>6</v>
      </c>
      <c r="AN441" s="116">
        <v>1922950</v>
      </c>
      <c r="AO441" s="116">
        <v>53</v>
      </c>
      <c r="AP441" s="116">
        <v>19579024</v>
      </c>
      <c r="AQ441" s="116">
        <f t="shared" si="55"/>
        <v>188.70000000000002</v>
      </c>
      <c r="AR441" s="116">
        <f t="shared" si="56"/>
        <v>69267996</v>
      </c>
      <c r="AS441" s="118">
        <v>0.31983050847457628</v>
      </c>
    </row>
    <row r="442" spans="2:45" x14ac:dyDescent="0.3">
      <c r="B442" s="126" t="s">
        <v>593</v>
      </c>
      <c r="C442" s="98" t="str">
        <f t="shared" si="57"/>
        <v>DJ7B0</v>
      </c>
      <c r="D442" s="98" t="s">
        <v>55</v>
      </c>
      <c r="E442" s="98" t="str">
        <f t="shared" si="59"/>
        <v>W</v>
      </c>
      <c r="F442" s="98" t="str">
        <f t="shared" si="60"/>
        <v>DJ</v>
      </c>
      <c r="G442" s="98" t="s">
        <v>56</v>
      </c>
      <c r="H442" s="115" t="s">
        <v>594</v>
      </c>
      <c r="I442" s="98" t="s">
        <v>78</v>
      </c>
      <c r="J442" s="115" t="str">
        <f t="shared" si="58"/>
        <v/>
      </c>
      <c r="K442" s="115">
        <v>1</v>
      </c>
      <c r="L442" s="116">
        <v>399000</v>
      </c>
      <c r="M442" s="78" t="s">
        <v>117</v>
      </c>
      <c r="N442" s="98" t="s">
        <v>592</v>
      </c>
      <c r="O442" s="98" t="s">
        <v>485</v>
      </c>
      <c r="P442" s="98">
        <v>100</v>
      </c>
      <c r="Q442" s="32" t="s">
        <v>204</v>
      </c>
      <c r="R442" s="98" t="s">
        <v>566</v>
      </c>
      <c r="S442" s="32" t="s">
        <v>121</v>
      </c>
      <c r="T442" s="98" t="s">
        <v>122</v>
      </c>
      <c r="U442" s="98" t="s">
        <v>123</v>
      </c>
      <c r="V442" s="98"/>
      <c r="W442" s="98" t="s">
        <v>124</v>
      </c>
      <c r="X442" s="78" t="s">
        <v>67</v>
      </c>
      <c r="Y442" s="98" t="s">
        <v>68</v>
      </c>
      <c r="Z442" s="32" t="s">
        <v>125</v>
      </c>
      <c r="AA442" s="32" t="s">
        <v>90</v>
      </c>
      <c r="AB442" s="78" t="s">
        <v>71</v>
      </c>
      <c r="AC442" s="98" t="s">
        <v>62</v>
      </c>
      <c r="AD442" s="98" t="s">
        <v>72</v>
      </c>
      <c r="AE442" s="65" t="s">
        <v>73</v>
      </c>
      <c r="AF442" s="39" t="s">
        <v>311</v>
      </c>
      <c r="AG442" s="98" t="s">
        <v>240</v>
      </c>
      <c r="AH442" s="115">
        <v>650</v>
      </c>
      <c r="AI442" s="117" t="s">
        <v>76</v>
      </c>
      <c r="AJ442" s="115" t="s">
        <v>241</v>
      </c>
      <c r="AK442" s="73">
        <v>1767</v>
      </c>
      <c r="AL442" s="116">
        <f t="shared" si="54"/>
        <v>705033000</v>
      </c>
      <c r="AM442" s="116">
        <v>17</v>
      </c>
      <c r="AN442" s="116">
        <v>5354872</v>
      </c>
      <c r="AO442" s="116">
        <v>135</v>
      </c>
      <c r="AP442" s="116">
        <v>49920063</v>
      </c>
      <c r="AQ442" s="116">
        <f t="shared" si="55"/>
        <v>541.41000000000008</v>
      </c>
      <c r="AR442" s="116">
        <f t="shared" si="56"/>
        <v>198740782.80000004</v>
      </c>
      <c r="AS442" s="118">
        <v>0.30640067911714775</v>
      </c>
    </row>
    <row r="443" spans="2:45" x14ac:dyDescent="0.3">
      <c r="B443" s="126" t="s">
        <v>593</v>
      </c>
      <c r="C443" s="98" t="str">
        <f t="shared" si="57"/>
        <v>DJ7B0</v>
      </c>
      <c r="D443" s="98" t="s">
        <v>148</v>
      </c>
      <c r="E443" s="98" t="str">
        <f t="shared" si="59"/>
        <v>W</v>
      </c>
      <c r="F443" s="98" t="str">
        <f t="shared" si="60"/>
        <v>DJ</v>
      </c>
      <c r="G443" s="98" t="s">
        <v>56</v>
      </c>
      <c r="H443" s="115" t="s">
        <v>594</v>
      </c>
      <c r="I443" s="98" t="s">
        <v>596</v>
      </c>
      <c r="J443" s="115" t="str">
        <f t="shared" si="58"/>
        <v/>
      </c>
      <c r="K443" s="115">
        <v>1</v>
      </c>
      <c r="L443" s="116">
        <v>399000</v>
      </c>
      <c r="M443" s="78" t="s">
        <v>117</v>
      </c>
      <c r="N443" s="98" t="s">
        <v>592</v>
      </c>
      <c r="O443" s="98" t="s">
        <v>485</v>
      </c>
      <c r="P443" s="98">
        <v>100</v>
      </c>
      <c r="Q443" s="32" t="s">
        <v>204</v>
      </c>
      <c r="R443" s="98" t="s">
        <v>566</v>
      </c>
      <c r="S443" s="32" t="s">
        <v>121</v>
      </c>
      <c r="T443" s="98" t="s">
        <v>122</v>
      </c>
      <c r="U443" s="98" t="s">
        <v>123</v>
      </c>
      <c r="V443" s="98"/>
      <c r="W443" s="98" t="s">
        <v>124</v>
      </c>
      <c r="X443" s="78" t="s">
        <v>67</v>
      </c>
      <c r="Y443" s="98" t="s">
        <v>68</v>
      </c>
      <c r="Z443" s="32" t="s">
        <v>125</v>
      </c>
      <c r="AA443" s="32" t="s">
        <v>90</v>
      </c>
      <c r="AB443" s="78" t="s">
        <v>71</v>
      </c>
      <c r="AC443" s="98" t="s">
        <v>62</v>
      </c>
      <c r="AD443" s="98" t="s">
        <v>72</v>
      </c>
      <c r="AE443" s="65" t="s">
        <v>73</v>
      </c>
      <c r="AF443" s="39" t="s">
        <v>311</v>
      </c>
      <c r="AG443" s="98" t="s">
        <v>240</v>
      </c>
      <c r="AH443" s="115">
        <v>650</v>
      </c>
      <c r="AI443" s="117" t="s">
        <v>76</v>
      </c>
      <c r="AJ443" s="115" t="s">
        <v>241</v>
      </c>
      <c r="AK443" s="73">
        <v>963</v>
      </c>
      <c r="AL443" s="116">
        <f t="shared" si="54"/>
        <v>384237000</v>
      </c>
      <c r="AM443" s="116">
        <v>6</v>
      </c>
      <c r="AN443" s="116">
        <v>1901846</v>
      </c>
      <c r="AO443" s="116">
        <v>41</v>
      </c>
      <c r="AP443" s="116">
        <v>14290574</v>
      </c>
      <c r="AQ443" s="116">
        <f t="shared" si="55"/>
        <v>262.49</v>
      </c>
      <c r="AR443" s="116">
        <f t="shared" si="56"/>
        <v>96354829.200000018</v>
      </c>
      <c r="AS443" s="118">
        <v>0.2725752855659398</v>
      </c>
    </row>
    <row r="444" spans="2:45" x14ac:dyDescent="0.3">
      <c r="B444" s="126" t="s">
        <v>597</v>
      </c>
      <c r="C444" s="98" t="str">
        <f t="shared" si="57"/>
        <v>DJ7K0</v>
      </c>
      <c r="D444" s="98" t="s">
        <v>55</v>
      </c>
      <c r="E444" s="98" t="str">
        <f t="shared" si="59"/>
        <v>M</v>
      </c>
      <c r="F444" s="98" t="str">
        <f t="shared" si="60"/>
        <v>DJ</v>
      </c>
      <c r="G444" s="98" t="s">
        <v>56</v>
      </c>
      <c r="H444" s="115" t="s">
        <v>364</v>
      </c>
      <c r="I444" s="98" t="s">
        <v>435</v>
      </c>
      <c r="J444" s="115">
        <f t="shared" si="58"/>
        <v>1</v>
      </c>
      <c r="K444" s="115">
        <v>1</v>
      </c>
      <c r="L444" s="116">
        <v>529000</v>
      </c>
      <c r="M444" s="78" t="s">
        <v>117</v>
      </c>
      <c r="N444" s="98" t="s">
        <v>592</v>
      </c>
      <c r="O444" s="98" t="s">
        <v>485</v>
      </c>
      <c r="P444" s="98">
        <v>100</v>
      </c>
      <c r="Q444" s="32" t="s">
        <v>204</v>
      </c>
      <c r="R444" s="98" t="s">
        <v>566</v>
      </c>
      <c r="S444" s="32" t="s">
        <v>121</v>
      </c>
      <c r="T444" s="98" t="s">
        <v>122</v>
      </c>
      <c r="U444" s="98" t="s">
        <v>123</v>
      </c>
      <c r="V444" s="98"/>
      <c r="W444" s="98" t="s">
        <v>124</v>
      </c>
      <c r="X444" s="78" t="s">
        <v>67</v>
      </c>
      <c r="Y444" s="98" t="s">
        <v>68</v>
      </c>
      <c r="Z444" s="32" t="s">
        <v>125</v>
      </c>
      <c r="AA444" s="32" t="s">
        <v>90</v>
      </c>
      <c r="AB444" s="78" t="s">
        <v>71</v>
      </c>
      <c r="AC444" s="98" t="s">
        <v>62</v>
      </c>
      <c r="AD444" s="98" t="s">
        <v>72</v>
      </c>
      <c r="AE444" s="65" t="s">
        <v>73</v>
      </c>
      <c r="AF444" s="39" t="s">
        <v>367</v>
      </c>
      <c r="AG444" s="98" t="s">
        <v>127</v>
      </c>
      <c r="AH444" s="115">
        <v>650</v>
      </c>
      <c r="AI444" s="117" t="s">
        <v>264</v>
      </c>
      <c r="AJ444" s="115" t="s">
        <v>241</v>
      </c>
      <c r="AK444" s="73">
        <v>1753</v>
      </c>
      <c r="AL444" s="116">
        <f t="shared" si="54"/>
        <v>927337000</v>
      </c>
      <c r="AM444" s="116">
        <v>63</v>
      </c>
      <c r="AN444" s="116">
        <v>30422103</v>
      </c>
      <c r="AO444" s="116">
        <v>215</v>
      </c>
      <c r="AP444" s="116">
        <v>108324586</v>
      </c>
      <c r="AQ444" s="116">
        <f t="shared" si="55"/>
        <v>828.55</v>
      </c>
      <c r="AR444" s="116">
        <f t="shared" si="56"/>
        <v>403238713.99999994</v>
      </c>
      <c r="AS444" s="118">
        <v>0.47264689104392466</v>
      </c>
    </row>
    <row r="445" spans="2:45" x14ac:dyDescent="0.3">
      <c r="B445" s="126" t="s">
        <v>597</v>
      </c>
      <c r="C445" s="98" t="str">
        <f t="shared" si="57"/>
        <v>DJ7K0</v>
      </c>
      <c r="D445" s="98" t="s">
        <v>55</v>
      </c>
      <c r="E445" s="98" t="str">
        <f t="shared" si="59"/>
        <v>M</v>
      </c>
      <c r="F445" s="98" t="str">
        <f t="shared" si="60"/>
        <v>DJ</v>
      </c>
      <c r="G445" s="98" t="s">
        <v>56</v>
      </c>
      <c r="H445" s="115" t="s">
        <v>364</v>
      </c>
      <c r="I445" s="98" t="s">
        <v>78</v>
      </c>
      <c r="J445" s="115" t="str">
        <f t="shared" si="58"/>
        <v/>
      </c>
      <c r="K445" s="115">
        <v>1</v>
      </c>
      <c r="L445" s="116">
        <v>529000</v>
      </c>
      <c r="M445" s="78" t="s">
        <v>117</v>
      </c>
      <c r="N445" s="98" t="s">
        <v>592</v>
      </c>
      <c r="O445" s="98" t="s">
        <v>485</v>
      </c>
      <c r="P445" s="98">
        <v>100</v>
      </c>
      <c r="Q445" s="32" t="s">
        <v>204</v>
      </c>
      <c r="R445" s="98" t="s">
        <v>566</v>
      </c>
      <c r="S445" s="32" t="s">
        <v>121</v>
      </c>
      <c r="T445" s="98" t="s">
        <v>122</v>
      </c>
      <c r="U445" s="98" t="s">
        <v>123</v>
      </c>
      <c r="V445" s="98"/>
      <c r="W445" s="98" t="s">
        <v>124</v>
      </c>
      <c r="X445" s="78" t="s">
        <v>67</v>
      </c>
      <c r="Y445" s="98" t="s">
        <v>68</v>
      </c>
      <c r="Z445" s="32" t="s">
        <v>125</v>
      </c>
      <c r="AA445" s="32" t="s">
        <v>90</v>
      </c>
      <c r="AB445" s="78" t="s">
        <v>71</v>
      </c>
      <c r="AC445" s="98" t="s">
        <v>62</v>
      </c>
      <c r="AD445" s="98" t="s">
        <v>72</v>
      </c>
      <c r="AE445" s="65" t="s">
        <v>73</v>
      </c>
      <c r="AF445" s="39" t="s">
        <v>367</v>
      </c>
      <c r="AG445" s="98" t="s">
        <v>127</v>
      </c>
      <c r="AH445" s="115">
        <v>650</v>
      </c>
      <c r="AI445" s="117" t="s">
        <v>264</v>
      </c>
      <c r="AJ445" s="115" t="s">
        <v>241</v>
      </c>
      <c r="AK445" s="73">
        <v>4422</v>
      </c>
      <c r="AL445" s="116">
        <f t="shared" si="54"/>
        <v>2339238000</v>
      </c>
      <c r="AM445" s="116">
        <v>140</v>
      </c>
      <c r="AN445" s="116">
        <v>67594943</v>
      </c>
      <c r="AO445" s="116">
        <v>508</v>
      </c>
      <c r="AP445" s="116">
        <v>252750445</v>
      </c>
      <c r="AQ445" s="116">
        <f t="shared" si="55"/>
        <v>2055.6999999999998</v>
      </c>
      <c r="AR445" s="116">
        <f t="shared" si="56"/>
        <v>1000468076</v>
      </c>
      <c r="AS445" s="118">
        <v>0.46488014473089101</v>
      </c>
    </row>
    <row r="446" spans="2:45" x14ac:dyDescent="0.3">
      <c r="B446" s="126" t="s">
        <v>597</v>
      </c>
      <c r="C446" s="98" t="str">
        <f t="shared" si="57"/>
        <v>DJ7K0</v>
      </c>
      <c r="D446" s="98" t="s">
        <v>55</v>
      </c>
      <c r="E446" s="98" t="str">
        <f t="shared" si="59"/>
        <v>M</v>
      </c>
      <c r="F446" s="98" t="str">
        <f t="shared" si="60"/>
        <v>DJ</v>
      </c>
      <c r="G446" s="98" t="s">
        <v>56</v>
      </c>
      <c r="H446" s="115" t="s">
        <v>364</v>
      </c>
      <c r="I446" s="98" t="s">
        <v>591</v>
      </c>
      <c r="J446" s="115" t="str">
        <f t="shared" si="58"/>
        <v/>
      </c>
      <c r="K446" s="115">
        <v>1</v>
      </c>
      <c r="L446" s="116">
        <v>529000</v>
      </c>
      <c r="M446" s="78" t="s">
        <v>117</v>
      </c>
      <c r="N446" s="98" t="s">
        <v>592</v>
      </c>
      <c r="O446" s="98" t="s">
        <v>485</v>
      </c>
      <c r="P446" s="98">
        <v>100</v>
      </c>
      <c r="Q446" s="32" t="s">
        <v>204</v>
      </c>
      <c r="R446" s="98" t="s">
        <v>566</v>
      </c>
      <c r="S446" s="32" t="s">
        <v>121</v>
      </c>
      <c r="T446" s="98" t="s">
        <v>122</v>
      </c>
      <c r="U446" s="98" t="s">
        <v>123</v>
      </c>
      <c r="V446" s="98"/>
      <c r="W446" s="98" t="s">
        <v>124</v>
      </c>
      <c r="X446" s="78" t="s">
        <v>67</v>
      </c>
      <c r="Y446" s="98" t="s">
        <v>68</v>
      </c>
      <c r="Z446" s="32" t="s">
        <v>125</v>
      </c>
      <c r="AA446" s="32" t="s">
        <v>90</v>
      </c>
      <c r="AB446" s="78" t="s">
        <v>71</v>
      </c>
      <c r="AC446" s="98" t="s">
        <v>62</v>
      </c>
      <c r="AD446" s="98" t="s">
        <v>72</v>
      </c>
      <c r="AE446" s="65" t="s">
        <v>73</v>
      </c>
      <c r="AF446" s="39" t="s">
        <v>367</v>
      </c>
      <c r="AG446" s="98" t="s">
        <v>127</v>
      </c>
      <c r="AH446" s="115">
        <v>650</v>
      </c>
      <c r="AI446" s="117" t="s">
        <v>264</v>
      </c>
      <c r="AJ446" s="115" t="s">
        <v>241</v>
      </c>
      <c r="AK446" s="73">
        <v>589</v>
      </c>
      <c r="AL446" s="116">
        <f t="shared" si="54"/>
        <v>311581000</v>
      </c>
      <c r="AM446" s="116">
        <v>2</v>
      </c>
      <c r="AN446" s="116">
        <v>923847</v>
      </c>
      <c r="AO446" s="116">
        <v>5</v>
      </c>
      <c r="AP446" s="116">
        <v>2440847</v>
      </c>
      <c r="AQ446" s="116">
        <f t="shared" si="55"/>
        <v>211.15</v>
      </c>
      <c r="AR446" s="116">
        <f t="shared" si="56"/>
        <v>102762482</v>
      </c>
      <c r="AS446" s="118">
        <v>0.35848896434634975</v>
      </c>
    </row>
    <row r="447" spans="2:45" x14ac:dyDescent="0.3">
      <c r="B447" s="126" t="s">
        <v>598</v>
      </c>
      <c r="C447" s="98" t="str">
        <f t="shared" si="57"/>
        <v>DJ7U0</v>
      </c>
      <c r="D447" s="98" t="s">
        <v>55</v>
      </c>
      <c r="E447" s="98" t="str">
        <f t="shared" si="59"/>
        <v>M</v>
      </c>
      <c r="F447" s="98" t="str">
        <f t="shared" si="60"/>
        <v>DJ</v>
      </c>
      <c r="G447" s="98" t="s">
        <v>56</v>
      </c>
      <c r="H447" s="115" t="s">
        <v>599</v>
      </c>
      <c r="I447" s="98" t="s">
        <v>78</v>
      </c>
      <c r="J447" s="115">
        <f t="shared" si="58"/>
        <v>1</v>
      </c>
      <c r="K447" s="115">
        <v>1</v>
      </c>
      <c r="L447" s="116">
        <v>590000</v>
      </c>
      <c r="M447" s="78" t="s">
        <v>225</v>
      </c>
      <c r="N447" s="98" t="s">
        <v>494</v>
      </c>
      <c r="O447" s="98" t="s">
        <v>485</v>
      </c>
      <c r="P447" s="98">
        <v>100</v>
      </c>
      <c r="Q447" s="32" t="s">
        <v>204</v>
      </c>
      <c r="R447" s="98" t="s">
        <v>495</v>
      </c>
      <c r="S447" s="32" t="s">
        <v>496</v>
      </c>
      <c r="T447" s="98" t="s">
        <v>228</v>
      </c>
      <c r="U447" s="98" t="s">
        <v>198</v>
      </c>
      <c r="V447" s="98" t="s">
        <v>66</v>
      </c>
      <c r="W447" s="98" t="s">
        <v>229</v>
      </c>
      <c r="X447" s="78" t="s">
        <v>67</v>
      </c>
      <c r="Y447" s="98" t="s">
        <v>68</v>
      </c>
      <c r="Z447" s="32" t="s">
        <v>125</v>
      </c>
      <c r="AA447" s="32" t="s">
        <v>90</v>
      </c>
      <c r="AB447" s="78" t="s">
        <v>71</v>
      </c>
      <c r="AC447" s="98" t="s">
        <v>62</v>
      </c>
      <c r="AD447" s="98" t="s">
        <v>72</v>
      </c>
      <c r="AE447" s="65" t="s">
        <v>73</v>
      </c>
      <c r="AF447" s="39" t="s">
        <v>362</v>
      </c>
      <c r="AG447" s="98" t="s">
        <v>127</v>
      </c>
      <c r="AH447" s="115">
        <v>650</v>
      </c>
      <c r="AI447" s="117" t="s">
        <v>107</v>
      </c>
      <c r="AJ447" s="115" t="s">
        <v>108</v>
      </c>
      <c r="AK447" s="73">
        <v>1467</v>
      </c>
      <c r="AL447" s="116">
        <f t="shared" si="54"/>
        <v>865530000</v>
      </c>
      <c r="AM447" s="116">
        <v>61</v>
      </c>
      <c r="AN447" s="116">
        <v>33181424</v>
      </c>
      <c r="AO447" s="116">
        <v>143</v>
      </c>
      <c r="AP447" s="116">
        <v>79956960</v>
      </c>
      <c r="AQ447" s="116">
        <f t="shared" si="55"/>
        <v>583.1</v>
      </c>
      <c r="AR447" s="116">
        <f t="shared" si="56"/>
        <v>316506680</v>
      </c>
      <c r="AS447" s="118">
        <v>0.39747784594410362</v>
      </c>
    </row>
    <row r="448" spans="2:45" x14ac:dyDescent="0.3">
      <c r="B448" s="126" t="s">
        <v>598</v>
      </c>
      <c r="C448" s="98" t="str">
        <f t="shared" si="57"/>
        <v>DJ7U0</v>
      </c>
      <c r="D448" s="98" t="s">
        <v>55</v>
      </c>
      <c r="E448" s="98" t="str">
        <f t="shared" si="59"/>
        <v>M</v>
      </c>
      <c r="F448" s="98" t="str">
        <f t="shared" si="60"/>
        <v>DJ</v>
      </c>
      <c r="G448" s="98" t="s">
        <v>56</v>
      </c>
      <c r="H448" s="115" t="s">
        <v>599</v>
      </c>
      <c r="I448" s="98" t="s">
        <v>435</v>
      </c>
      <c r="J448" s="115" t="str">
        <f t="shared" si="58"/>
        <v/>
      </c>
      <c r="K448" s="115">
        <v>1</v>
      </c>
      <c r="L448" s="116">
        <v>590000</v>
      </c>
      <c r="M448" s="78" t="s">
        <v>225</v>
      </c>
      <c r="N448" s="98" t="s">
        <v>494</v>
      </c>
      <c r="O448" s="98" t="s">
        <v>485</v>
      </c>
      <c r="P448" s="98">
        <v>100</v>
      </c>
      <c r="Q448" s="32" t="s">
        <v>204</v>
      </c>
      <c r="R448" s="98" t="s">
        <v>495</v>
      </c>
      <c r="S448" s="32" t="s">
        <v>496</v>
      </c>
      <c r="T448" s="98" t="s">
        <v>228</v>
      </c>
      <c r="U448" s="98" t="s">
        <v>198</v>
      </c>
      <c r="V448" s="98" t="s">
        <v>66</v>
      </c>
      <c r="W448" s="98" t="s">
        <v>229</v>
      </c>
      <c r="X448" s="78" t="s">
        <v>67</v>
      </c>
      <c r="Y448" s="98" t="s">
        <v>68</v>
      </c>
      <c r="Z448" s="32" t="s">
        <v>125</v>
      </c>
      <c r="AA448" s="32" t="s">
        <v>90</v>
      </c>
      <c r="AB448" s="78" t="s">
        <v>71</v>
      </c>
      <c r="AC448" s="98" t="s">
        <v>62</v>
      </c>
      <c r="AD448" s="98" t="s">
        <v>72</v>
      </c>
      <c r="AE448" s="65" t="s">
        <v>73</v>
      </c>
      <c r="AF448" s="39" t="s">
        <v>362</v>
      </c>
      <c r="AG448" s="98" t="s">
        <v>127</v>
      </c>
      <c r="AH448" s="115">
        <v>650</v>
      </c>
      <c r="AI448" s="117" t="s">
        <v>107</v>
      </c>
      <c r="AJ448" s="115" t="s">
        <v>108</v>
      </c>
      <c r="AK448" s="73">
        <v>676</v>
      </c>
      <c r="AL448" s="116">
        <f t="shared" si="54"/>
        <v>398840000</v>
      </c>
      <c r="AM448" s="116">
        <v>22</v>
      </c>
      <c r="AN448" s="116">
        <v>11960078</v>
      </c>
      <c r="AO448" s="116">
        <v>47</v>
      </c>
      <c r="AP448" s="116">
        <v>26027102</v>
      </c>
      <c r="AQ448" s="116">
        <f t="shared" si="55"/>
        <v>249.8</v>
      </c>
      <c r="AR448" s="116">
        <f t="shared" si="56"/>
        <v>135591440</v>
      </c>
      <c r="AS448" s="118">
        <v>0.36952662721893492</v>
      </c>
    </row>
    <row r="449" spans="2:45" x14ac:dyDescent="0.3">
      <c r="B449" s="126" t="s">
        <v>600</v>
      </c>
      <c r="C449" s="98" t="str">
        <f t="shared" si="57"/>
        <v>DJ7V0</v>
      </c>
      <c r="D449" s="98" t="s">
        <v>55</v>
      </c>
      <c r="E449" s="98" t="str">
        <f t="shared" si="59"/>
        <v>W</v>
      </c>
      <c r="F449" s="98" t="str">
        <f t="shared" si="60"/>
        <v>DJ</v>
      </c>
      <c r="G449" s="98" t="s">
        <v>56</v>
      </c>
      <c r="H449" s="115" t="s">
        <v>601</v>
      </c>
      <c r="I449" s="98" t="s">
        <v>78</v>
      </c>
      <c r="J449" s="115">
        <f t="shared" si="58"/>
        <v>1</v>
      </c>
      <c r="K449" s="115">
        <v>1</v>
      </c>
      <c r="L449" s="116">
        <v>590000</v>
      </c>
      <c r="M449" s="78" t="s">
        <v>225</v>
      </c>
      <c r="N449" s="98" t="s">
        <v>494</v>
      </c>
      <c r="O449" s="98" t="s">
        <v>485</v>
      </c>
      <c r="P449" s="98">
        <v>100</v>
      </c>
      <c r="Q449" s="32" t="s">
        <v>204</v>
      </c>
      <c r="R449" s="98" t="s">
        <v>495</v>
      </c>
      <c r="S449" s="32" t="s">
        <v>496</v>
      </c>
      <c r="T449" s="98" t="s">
        <v>228</v>
      </c>
      <c r="U449" s="98" t="s">
        <v>198</v>
      </c>
      <c r="V449" s="98" t="s">
        <v>66</v>
      </c>
      <c r="W449" s="98" t="s">
        <v>229</v>
      </c>
      <c r="X449" s="78" t="s">
        <v>67</v>
      </c>
      <c r="Y449" s="98" t="s">
        <v>68</v>
      </c>
      <c r="Z449" s="32" t="s">
        <v>125</v>
      </c>
      <c r="AA449" s="32" t="s">
        <v>90</v>
      </c>
      <c r="AB449" s="78" t="s">
        <v>71</v>
      </c>
      <c r="AC449" s="98" t="s">
        <v>62</v>
      </c>
      <c r="AD449" s="98" t="s">
        <v>72</v>
      </c>
      <c r="AE449" s="65" t="s">
        <v>73</v>
      </c>
      <c r="AF449" s="39" t="s">
        <v>602</v>
      </c>
      <c r="AG449" s="98" t="s">
        <v>127</v>
      </c>
      <c r="AH449" s="115">
        <v>650</v>
      </c>
      <c r="AI449" s="117" t="s">
        <v>107</v>
      </c>
      <c r="AJ449" s="115" t="s">
        <v>108</v>
      </c>
      <c r="AK449" s="73">
        <v>1005</v>
      </c>
      <c r="AL449" s="116">
        <f t="shared" si="54"/>
        <v>592950000</v>
      </c>
      <c r="AM449" s="116">
        <v>30</v>
      </c>
      <c r="AN449" s="116">
        <v>16282933</v>
      </c>
      <c r="AO449" s="116">
        <v>111</v>
      </c>
      <c r="AP449" s="116">
        <v>62456198</v>
      </c>
      <c r="AQ449" s="116">
        <f t="shared" si="55"/>
        <v>412.49999999999994</v>
      </c>
      <c r="AR449" s="116">
        <f t="shared" si="56"/>
        <v>223904999.99999997</v>
      </c>
      <c r="AS449" s="118">
        <v>0.41044776119402981</v>
      </c>
    </row>
    <row r="450" spans="2:45" x14ac:dyDescent="0.3">
      <c r="B450" s="126" t="s">
        <v>600</v>
      </c>
      <c r="C450" s="98" t="str">
        <f t="shared" si="57"/>
        <v>DJ7V0</v>
      </c>
      <c r="D450" s="98" t="s">
        <v>55</v>
      </c>
      <c r="E450" s="98" t="str">
        <f t="shared" si="59"/>
        <v>W</v>
      </c>
      <c r="F450" s="98" t="str">
        <f t="shared" si="60"/>
        <v>DJ</v>
      </c>
      <c r="G450" s="98" t="s">
        <v>56</v>
      </c>
      <c r="H450" s="115" t="s">
        <v>601</v>
      </c>
      <c r="I450" s="98" t="s">
        <v>385</v>
      </c>
      <c r="J450" s="115" t="str">
        <f t="shared" si="58"/>
        <v/>
      </c>
      <c r="K450" s="115">
        <v>1</v>
      </c>
      <c r="L450" s="116">
        <v>590000</v>
      </c>
      <c r="M450" s="78" t="s">
        <v>225</v>
      </c>
      <c r="N450" s="98" t="s">
        <v>494</v>
      </c>
      <c r="O450" s="98" t="s">
        <v>485</v>
      </c>
      <c r="P450" s="98">
        <v>100</v>
      </c>
      <c r="Q450" s="32" t="s">
        <v>204</v>
      </c>
      <c r="R450" s="98" t="s">
        <v>495</v>
      </c>
      <c r="S450" s="32" t="s">
        <v>496</v>
      </c>
      <c r="T450" s="98" t="s">
        <v>228</v>
      </c>
      <c r="U450" s="98" t="s">
        <v>198</v>
      </c>
      <c r="V450" s="98" t="s">
        <v>66</v>
      </c>
      <c r="W450" s="98" t="s">
        <v>229</v>
      </c>
      <c r="X450" s="78" t="s">
        <v>67</v>
      </c>
      <c r="Y450" s="98" t="s">
        <v>68</v>
      </c>
      <c r="Z450" s="32" t="s">
        <v>125</v>
      </c>
      <c r="AA450" s="32" t="s">
        <v>90</v>
      </c>
      <c r="AB450" s="78" t="s">
        <v>71</v>
      </c>
      <c r="AC450" s="98" t="s">
        <v>62</v>
      </c>
      <c r="AD450" s="98" t="s">
        <v>72</v>
      </c>
      <c r="AE450" s="65" t="s">
        <v>73</v>
      </c>
      <c r="AF450" s="39" t="s">
        <v>602</v>
      </c>
      <c r="AG450" s="98" t="s">
        <v>127</v>
      </c>
      <c r="AH450" s="115">
        <v>650</v>
      </c>
      <c r="AI450" s="117" t="s">
        <v>107</v>
      </c>
      <c r="AJ450" s="115" t="s">
        <v>108</v>
      </c>
      <c r="AK450" s="73">
        <v>589</v>
      </c>
      <c r="AL450" s="116">
        <f t="shared" si="54"/>
        <v>347510000</v>
      </c>
      <c r="AM450" s="116">
        <v>4</v>
      </c>
      <c r="AN450" s="116">
        <v>2260000</v>
      </c>
      <c r="AO450" s="116">
        <v>32</v>
      </c>
      <c r="AP450" s="116">
        <v>18044750</v>
      </c>
      <c r="AQ450" s="116">
        <f t="shared" si="55"/>
        <v>208.7</v>
      </c>
      <c r="AR450" s="116">
        <f t="shared" si="56"/>
        <v>113282360</v>
      </c>
      <c r="AS450" s="118">
        <v>0.35432937181663837</v>
      </c>
    </row>
    <row r="451" spans="2:45" x14ac:dyDescent="0.3">
      <c r="B451" s="126" t="s">
        <v>603</v>
      </c>
      <c r="C451" s="98" t="str">
        <f t="shared" si="57"/>
        <v>DJ8G0</v>
      </c>
      <c r="D451" s="98" t="s">
        <v>55</v>
      </c>
      <c r="E451" s="98" t="str">
        <f t="shared" si="59"/>
        <v>X</v>
      </c>
      <c r="F451" s="98" t="str">
        <f t="shared" si="60"/>
        <v>DJ</v>
      </c>
      <c r="G451" s="98" t="s">
        <v>56</v>
      </c>
      <c r="H451" s="115" t="s">
        <v>604</v>
      </c>
      <c r="I451" s="98" t="s">
        <v>387</v>
      </c>
      <c r="J451" s="115">
        <f t="shared" si="58"/>
        <v>1</v>
      </c>
      <c r="K451" s="115">
        <v>1</v>
      </c>
      <c r="L451" s="116">
        <v>319000</v>
      </c>
      <c r="M451" s="78" t="s">
        <v>217</v>
      </c>
      <c r="N451" s="98" t="s">
        <v>218</v>
      </c>
      <c r="O451" s="98" t="s">
        <v>485</v>
      </c>
      <c r="P451" s="98">
        <v>100</v>
      </c>
      <c r="Q451" s="32" t="s">
        <v>219</v>
      </c>
      <c r="R451" s="98" t="s">
        <v>220</v>
      </c>
      <c r="S451" s="32" t="s">
        <v>221</v>
      </c>
      <c r="T451" s="98" t="s">
        <v>65</v>
      </c>
      <c r="U451" s="98"/>
      <c r="V451" s="98" t="s">
        <v>520</v>
      </c>
      <c r="W451" s="98"/>
      <c r="X451" s="78" t="s">
        <v>67</v>
      </c>
      <c r="Y451" s="98" t="s">
        <v>68</v>
      </c>
      <c r="Z451" s="32" t="s">
        <v>69</v>
      </c>
      <c r="AA451" s="32" t="s">
        <v>70</v>
      </c>
      <c r="AB451" s="78" t="s">
        <v>71</v>
      </c>
      <c r="AC451" s="98" t="s">
        <v>62</v>
      </c>
      <c r="AD451" s="98" t="s">
        <v>72</v>
      </c>
      <c r="AE451" s="65" t="s">
        <v>137</v>
      </c>
      <c r="AF451" s="39" t="s">
        <v>442</v>
      </c>
      <c r="AG451" s="98" t="s">
        <v>127</v>
      </c>
      <c r="AH451" s="115">
        <v>650</v>
      </c>
      <c r="AI451" s="117" t="s">
        <v>264</v>
      </c>
      <c r="AJ451" s="115" t="s">
        <v>241</v>
      </c>
      <c r="AK451" s="73">
        <v>612</v>
      </c>
      <c r="AL451" s="116">
        <f t="shared" si="54"/>
        <v>195228000</v>
      </c>
      <c r="AM451" s="116">
        <v>12</v>
      </c>
      <c r="AN451" s="116">
        <v>3464030</v>
      </c>
      <c r="AO451" s="116">
        <v>46</v>
      </c>
      <c r="AP451" s="116">
        <v>13927595</v>
      </c>
      <c r="AQ451" s="116">
        <f t="shared" si="55"/>
        <v>260.2</v>
      </c>
      <c r="AR451" s="116">
        <f t="shared" si="56"/>
        <v>76363496</v>
      </c>
      <c r="AS451" s="118">
        <v>0.42516339869281045</v>
      </c>
    </row>
    <row r="452" spans="2:45" x14ac:dyDescent="0.3">
      <c r="B452" s="126" t="s">
        <v>603</v>
      </c>
      <c r="C452" s="98" t="str">
        <f t="shared" si="57"/>
        <v>DJ8G0</v>
      </c>
      <c r="D452" s="98" t="s">
        <v>55</v>
      </c>
      <c r="E452" s="98" t="str">
        <f t="shared" si="59"/>
        <v>X</v>
      </c>
      <c r="F452" s="98" t="str">
        <f t="shared" si="60"/>
        <v>DJ</v>
      </c>
      <c r="G452" s="98" t="s">
        <v>56</v>
      </c>
      <c r="H452" s="115" t="s">
        <v>604</v>
      </c>
      <c r="I452" s="98" t="s">
        <v>388</v>
      </c>
      <c r="J452" s="115" t="str">
        <f t="shared" si="58"/>
        <v/>
      </c>
      <c r="K452" s="115">
        <v>1</v>
      </c>
      <c r="L452" s="116">
        <v>319000</v>
      </c>
      <c r="M452" s="78" t="s">
        <v>217</v>
      </c>
      <c r="N452" s="98" t="s">
        <v>218</v>
      </c>
      <c r="O452" s="98" t="s">
        <v>485</v>
      </c>
      <c r="P452" s="98">
        <v>100</v>
      </c>
      <c r="Q452" s="32" t="s">
        <v>219</v>
      </c>
      <c r="R452" s="98" t="s">
        <v>220</v>
      </c>
      <c r="S452" s="32" t="s">
        <v>221</v>
      </c>
      <c r="T452" s="98" t="s">
        <v>65</v>
      </c>
      <c r="U452" s="98"/>
      <c r="V452" s="98" t="s">
        <v>520</v>
      </c>
      <c r="W452" s="98"/>
      <c r="X452" s="78" t="s">
        <v>67</v>
      </c>
      <c r="Y452" s="98" t="s">
        <v>68</v>
      </c>
      <c r="Z452" s="32" t="s">
        <v>69</v>
      </c>
      <c r="AA452" s="32" t="s">
        <v>70</v>
      </c>
      <c r="AB452" s="78" t="s">
        <v>71</v>
      </c>
      <c r="AC452" s="98" t="s">
        <v>62</v>
      </c>
      <c r="AD452" s="98" t="s">
        <v>72</v>
      </c>
      <c r="AE452" s="65" t="s">
        <v>137</v>
      </c>
      <c r="AF452" s="39" t="s">
        <v>442</v>
      </c>
      <c r="AG452" s="98" t="s">
        <v>127</v>
      </c>
      <c r="AH452" s="115">
        <v>650</v>
      </c>
      <c r="AI452" s="117" t="s">
        <v>264</v>
      </c>
      <c r="AJ452" s="115" t="s">
        <v>241</v>
      </c>
      <c r="AK452" s="73">
        <v>391</v>
      </c>
      <c r="AL452" s="116">
        <f t="shared" si="54"/>
        <v>124729000</v>
      </c>
      <c r="AM452" s="116">
        <v>10</v>
      </c>
      <c r="AN452" s="116">
        <v>2947829</v>
      </c>
      <c r="AO452" s="116">
        <v>56</v>
      </c>
      <c r="AP452" s="116">
        <v>17238558</v>
      </c>
      <c r="AQ452" s="116">
        <f t="shared" si="55"/>
        <v>192.85</v>
      </c>
      <c r="AR452" s="116">
        <f t="shared" si="56"/>
        <v>56597618</v>
      </c>
      <c r="AS452" s="118">
        <v>0.49322250639386189</v>
      </c>
    </row>
    <row r="453" spans="2:45" x14ac:dyDescent="0.3">
      <c r="B453" s="126" t="s">
        <v>605</v>
      </c>
      <c r="C453" s="98" t="str">
        <f t="shared" si="57"/>
        <v>DJ8M0</v>
      </c>
      <c r="D453" s="98" t="s">
        <v>55</v>
      </c>
      <c r="E453" s="98" t="str">
        <f t="shared" si="59"/>
        <v>M</v>
      </c>
      <c r="F453" s="98" t="str">
        <f t="shared" si="60"/>
        <v>DJ</v>
      </c>
      <c r="G453" s="98" t="s">
        <v>56</v>
      </c>
      <c r="H453" s="115" t="s">
        <v>606</v>
      </c>
      <c r="I453" s="98" t="s">
        <v>242</v>
      </c>
      <c r="J453" s="115">
        <f t="shared" si="58"/>
        <v>1</v>
      </c>
      <c r="K453" s="115">
        <v>1</v>
      </c>
      <c r="L453" s="116">
        <v>710000</v>
      </c>
      <c r="M453" s="78" t="s">
        <v>225</v>
      </c>
      <c r="N453" s="98" t="s">
        <v>489</v>
      </c>
      <c r="O453" s="98" t="s">
        <v>485</v>
      </c>
      <c r="P453" s="98">
        <v>100</v>
      </c>
      <c r="Q453" s="32" t="s">
        <v>85</v>
      </c>
      <c r="R453" s="98" t="s">
        <v>490</v>
      </c>
      <c r="S453" s="32" t="s">
        <v>491</v>
      </c>
      <c r="T453" s="98" t="s">
        <v>228</v>
      </c>
      <c r="U453" s="98" t="s">
        <v>123</v>
      </c>
      <c r="V453" s="98" t="s">
        <v>66</v>
      </c>
      <c r="W453" s="98" t="s">
        <v>229</v>
      </c>
      <c r="X453" s="78" t="s">
        <v>67</v>
      </c>
      <c r="Y453" s="98" t="s">
        <v>340</v>
      </c>
      <c r="Z453" s="32" t="s">
        <v>238</v>
      </c>
      <c r="AA453" s="32" t="s">
        <v>90</v>
      </c>
      <c r="AB453" s="78" t="s">
        <v>71</v>
      </c>
      <c r="AC453" s="98" t="s">
        <v>62</v>
      </c>
      <c r="AD453" s="98" t="s">
        <v>72</v>
      </c>
      <c r="AE453" s="65" t="s">
        <v>73</v>
      </c>
      <c r="AF453" s="39" t="s">
        <v>422</v>
      </c>
      <c r="AG453" s="98" t="s">
        <v>127</v>
      </c>
      <c r="AH453" s="115">
        <v>650</v>
      </c>
      <c r="AI453" s="117" t="s">
        <v>99</v>
      </c>
      <c r="AJ453" s="115" t="s">
        <v>100</v>
      </c>
      <c r="AK453" s="73">
        <v>689</v>
      </c>
      <c r="AL453" s="116">
        <f t="shared" si="54"/>
        <v>489190000</v>
      </c>
      <c r="AM453" s="116">
        <v>7</v>
      </c>
      <c r="AN453" s="116">
        <v>4540000</v>
      </c>
      <c r="AO453" s="116">
        <v>25</v>
      </c>
      <c r="AP453" s="116">
        <v>16689803</v>
      </c>
      <c r="AQ453" s="116">
        <f t="shared" si="55"/>
        <v>266.14999999999998</v>
      </c>
      <c r="AR453" s="116">
        <f t="shared" si="56"/>
        <v>173849180</v>
      </c>
      <c r="AS453" s="118">
        <v>0.3862844702467344</v>
      </c>
    </row>
    <row r="454" spans="2:45" x14ac:dyDescent="0.3">
      <c r="B454" s="126" t="s">
        <v>605</v>
      </c>
      <c r="C454" s="98" t="str">
        <f t="shared" si="57"/>
        <v>DJ8M0</v>
      </c>
      <c r="D454" s="98" t="s">
        <v>55</v>
      </c>
      <c r="E454" s="98" t="str">
        <f t="shared" si="59"/>
        <v>M</v>
      </c>
      <c r="F454" s="98" t="str">
        <f t="shared" si="60"/>
        <v>DJ</v>
      </c>
      <c r="G454" s="98" t="s">
        <v>56</v>
      </c>
      <c r="H454" s="115" t="s">
        <v>606</v>
      </c>
      <c r="I454" s="98" t="s">
        <v>215</v>
      </c>
      <c r="J454" s="115" t="str">
        <f t="shared" si="58"/>
        <v/>
      </c>
      <c r="K454" s="115">
        <v>1</v>
      </c>
      <c r="L454" s="116">
        <v>710000</v>
      </c>
      <c r="M454" s="78" t="s">
        <v>225</v>
      </c>
      <c r="N454" s="98" t="s">
        <v>489</v>
      </c>
      <c r="O454" s="98" t="s">
        <v>485</v>
      </c>
      <c r="P454" s="98">
        <v>100</v>
      </c>
      <c r="Q454" s="32" t="s">
        <v>85</v>
      </c>
      <c r="R454" s="98" t="s">
        <v>490</v>
      </c>
      <c r="S454" s="32" t="s">
        <v>491</v>
      </c>
      <c r="T454" s="98" t="s">
        <v>228</v>
      </c>
      <c r="U454" s="98" t="s">
        <v>123</v>
      </c>
      <c r="V454" s="98" t="s">
        <v>66</v>
      </c>
      <c r="W454" s="98" t="s">
        <v>229</v>
      </c>
      <c r="X454" s="78" t="s">
        <v>67</v>
      </c>
      <c r="Y454" s="98" t="s">
        <v>340</v>
      </c>
      <c r="Z454" s="32" t="s">
        <v>238</v>
      </c>
      <c r="AA454" s="32" t="s">
        <v>90</v>
      </c>
      <c r="AB454" s="78" t="s">
        <v>71</v>
      </c>
      <c r="AC454" s="98" t="s">
        <v>62</v>
      </c>
      <c r="AD454" s="98" t="s">
        <v>72</v>
      </c>
      <c r="AE454" s="65" t="s">
        <v>73</v>
      </c>
      <c r="AF454" s="39" t="s">
        <v>422</v>
      </c>
      <c r="AG454" s="98" t="s">
        <v>127</v>
      </c>
      <c r="AH454" s="115">
        <v>650</v>
      </c>
      <c r="AI454" s="117" t="s">
        <v>99</v>
      </c>
      <c r="AJ454" s="115" t="s">
        <v>100</v>
      </c>
      <c r="AK454" s="73">
        <v>1472</v>
      </c>
      <c r="AL454" s="116">
        <f t="shared" si="54"/>
        <v>1045120000</v>
      </c>
      <c r="AM454" s="116">
        <v>39</v>
      </c>
      <c r="AN454" s="116">
        <v>24755732</v>
      </c>
      <c r="AO454" s="116">
        <v>82</v>
      </c>
      <c r="AP454" s="116">
        <v>53581846</v>
      </c>
      <c r="AQ454" s="116">
        <f t="shared" si="55"/>
        <v>597.19999999999993</v>
      </c>
      <c r="AR454" s="116">
        <f t="shared" si="56"/>
        <v>390091040</v>
      </c>
      <c r="AS454" s="118">
        <v>0.40570652173913041</v>
      </c>
    </row>
    <row r="455" spans="2:45" x14ac:dyDescent="0.3">
      <c r="B455" s="126" t="s">
        <v>605</v>
      </c>
      <c r="C455" s="98" t="str">
        <f t="shared" si="57"/>
        <v>DJ8M0</v>
      </c>
      <c r="D455" s="98" t="s">
        <v>55</v>
      </c>
      <c r="E455" s="98" t="str">
        <f t="shared" si="59"/>
        <v>M</v>
      </c>
      <c r="F455" s="98" t="str">
        <f t="shared" si="60"/>
        <v>DJ</v>
      </c>
      <c r="G455" s="98" t="s">
        <v>56</v>
      </c>
      <c r="H455" s="115" t="s">
        <v>606</v>
      </c>
      <c r="I455" s="98" t="s">
        <v>78</v>
      </c>
      <c r="J455" s="115" t="str">
        <f t="shared" si="58"/>
        <v/>
      </c>
      <c r="K455" s="115">
        <v>1</v>
      </c>
      <c r="L455" s="116">
        <v>710000</v>
      </c>
      <c r="M455" s="78" t="s">
        <v>225</v>
      </c>
      <c r="N455" s="98" t="s">
        <v>607</v>
      </c>
      <c r="O455" s="98" t="s">
        <v>485</v>
      </c>
      <c r="P455" s="98">
        <v>100</v>
      </c>
      <c r="Q455" s="32" t="s">
        <v>85</v>
      </c>
      <c r="R455" s="98" t="s">
        <v>490</v>
      </c>
      <c r="S455" s="32" t="s">
        <v>491</v>
      </c>
      <c r="T455" s="98" t="s">
        <v>228</v>
      </c>
      <c r="U455" s="98" t="s">
        <v>123</v>
      </c>
      <c r="V455" s="98" t="s">
        <v>66</v>
      </c>
      <c r="W455" s="98" t="s">
        <v>229</v>
      </c>
      <c r="X455" s="78" t="s">
        <v>67</v>
      </c>
      <c r="Y455" s="98" t="s">
        <v>340</v>
      </c>
      <c r="Z455" s="32" t="s">
        <v>238</v>
      </c>
      <c r="AA455" s="32" t="s">
        <v>90</v>
      </c>
      <c r="AB455" s="78" t="s">
        <v>71</v>
      </c>
      <c r="AC455" s="98" t="s">
        <v>62</v>
      </c>
      <c r="AD455" s="98" t="s">
        <v>72</v>
      </c>
      <c r="AE455" s="65" t="s">
        <v>73</v>
      </c>
      <c r="AF455" s="39" t="s">
        <v>422</v>
      </c>
      <c r="AG455" s="98" t="s">
        <v>127</v>
      </c>
      <c r="AH455" s="115">
        <v>650</v>
      </c>
      <c r="AI455" s="117" t="s">
        <v>99</v>
      </c>
      <c r="AJ455" s="115" t="s">
        <v>100</v>
      </c>
      <c r="AK455" s="73">
        <v>2184</v>
      </c>
      <c r="AL455" s="116">
        <f t="shared" si="54"/>
        <v>1550640000</v>
      </c>
      <c r="AM455" s="116">
        <v>122</v>
      </c>
      <c r="AN455" s="116">
        <v>79128280</v>
      </c>
      <c r="AO455" s="116">
        <v>266</v>
      </c>
      <c r="AP455" s="116">
        <v>177049962</v>
      </c>
      <c r="AQ455" s="116">
        <f t="shared" si="55"/>
        <v>1030.3999999999999</v>
      </c>
      <c r="AR455" s="116">
        <f t="shared" si="56"/>
        <v>673057280</v>
      </c>
      <c r="AS455" s="118">
        <v>0.47179487179487178</v>
      </c>
    </row>
    <row r="456" spans="2:45" x14ac:dyDescent="0.3">
      <c r="B456" s="126" t="s">
        <v>605</v>
      </c>
      <c r="C456" s="98" t="str">
        <f t="shared" si="57"/>
        <v>DJ8M0</v>
      </c>
      <c r="D456" s="98" t="s">
        <v>55</v>
      </c>
      <c r="E456" s="98" t="str">
        <f t="shared" si="59"/>
        <v>M</v>
      </c>
      <c r="F456" s="98" t="str">
        <f t="shared" si="60"/>
        <v>DJ</v>
      </c>
      <c r="G456" s="98" t="s">
        <v>56</v>
      </c>
      <c r="H456" s="115" t="s">
        <v>606</v>
      </c>
      <c r="I456" s="98" t="s">
        <v>608</v>
      </c>
      <c r="J456" s="115" t="str">
        <f t="shared" si="58"/>
        <v/>
      </c>
      <c r="K456" s="115">
        <v>1</v>
      </c>
      <c r="L456" s="116">
        <v>710000</v>
      </c>
      <c r="M456" s="78" t="s">
        <v>225</v>
      </c>
      <c r="N456" s="98" t="s">
        <v>489</v>
      </c>
      <c r="O456" s="98" t="s">
        <v>485</v>
      </c>
      <c r="P456" s="98">
        <v>100</v>
      </c>
      <c r="Q456" s="32" t="s">
        <v>85</v>
      </c>
      <c r="R456" s="98" t="s">
        <v>490</v>
      </c>
      <c r="S456" s="32" t="s">
        <v>491</v>
      </c>
      <c r="T456" s="98" t="s">
        <v>228</v>
      </c>
      <c r="U456" s="98" t="s">
        <v>123</v>
      </c>
      <c r="V456" s="98" t="s">
        <v>66</v>
      </c>
      <c r="W456" s="98" t="s">
        <v>229</v>
      </c>
      <c r="X456" s="78" t="s">
        <v>67</v>
      </c>
      <c r="Y456" s="98" t="s">
        <v>340</v>
      </c>
      <c r="Z456" s="32" t="s">
        <v>238</v>
      </c>
      <c r="AA456" s="32" t="s">
        <v>90</v>
      </c>
      <c r="AB456" s="78" t="s">
        <v>71</v>
      </c>
      <c r="AC456" s="98" t="s">
        <v>62</v>
      </c>
      <c r="AD456" s="98" t="s">
        <v>72</v>
      </c>
      <c r="AE456" s="65" t="s">
        <v>73</v>
      </c>
      <c r="AF456" s="39" t="s">
        <v>422</v>
      </c>
      <c r="AG456" s="98" t="s">
        <v>127</v>
      </c>
      <c r="AH456" s="115">
        <v>650</v>
      </c>
      <c r="AI456" s="117" t="s">
        <v>99</v>
      </c>
      <c r="AJ456" s="115" t="s">
        <v>100</v>
      </c>
      <c r="AK456" s="73">
        <v>508</v>
      </c>
      <c r="AL456" s="116">
        <f t="shared" si="54"/>
        <v>360680000</v>
      </c>
      <c r="AM456" s="116">
        <v>4</v>
      </c>
      <c r="AN456" s="116">
        <v>2618000</v>
      </c>
      <c r="AO456" s="116">
        <v>13</v>
      </c>
      <c r="AP456" s="116">
        <v>8758000</v>
      </c>
      <c r="AQ456" s="116">
        <f t="shared" si="55"/>
        <v>190.79999999999998</v>
      </c>
      <c r="AR456" s="116">
        <f t="shared" si="56"/>
        <v>124630560</v>
      </c>
      <c r="AS456" s="118">
        <v>0.37559055118110235</v>
      </c>
    </row>
    <row r="457" spans="2:45" x14ac:dyDescent="0.3">
      <c r="B457" s="126" t="s">
        <v>609</v>
      </c>
      <c r="C457" s="98" t="str">
        <f t="shared" si="57"/>
        <v>DJ7O0</v>
      </c>
      <c r="D457" s="98" t="s">
        <v>55</v>
      </c>
      <c r="E457" s="98" t="str">
        <f t="shared" si="59"/>
        <v>M</v>
      </c>
      <c r="F457" s="98" t="str">
        <f t="shared" si="60"/>
        <v>DJ</v>
      </c>
      <c r="G457" s="98" t="s">
        <v>56</v>
      </c>
      <c r="H457" s="115" t="s">
        <v>610</v>
      </c>
      <c r="I457" s="98" t="s">
        <v>215</v>
      </c>
      <c r="J457" s="115">
        <f t="shared" si="58"/>
        <v>1</v>
      </c>
      <c r="K457" s="115">
        <v>1</v>
      </c>
      <c r="L457" s="116">
        <v>750000</v>
      </c>
      <c r="M457" s="78" t="s">
        <v>225</v>
      </c>
      <c r="N457" s="98" t="s">
        <v>494</v>
      </c>
      <c r="O457" s="98" t="s">
        <v>485</v>
      </c>
      <c r="P457" s="98">
        <v>100</v>
      </c>
      <c r="Q457" s="32" t="s">
        <v>204</v>
      </c>
      <c r="R457" s="98" t="s">
        <v>495</v>
      </c>
      <c r="S457" s="32" t="s">
        <v>496</v>
      </c>
      <c r="T457" s="98" t="s">
        <v>228</v>
      </c>
      <c r="U457" s="98" t="s">
        <v>198</v>
      </c>
      <c r="V457" s="98" t="s">
        <v>66</v>
      </c>
      <c r="W457" s="98" t="s">
        <v>229</v>
      </c>
      <c r="X457" s="78" t="s">
        <v>67</v>
      </c>
      <c r="Y457" s="98" t="s">
        <v>68</v>
      </c>
      <c r="Z457" s="32" t="s">
        <v>125</v>
      </c>
      <c r="AA457" s="32" t="s">
        <v>90</v>
      </c>
      <c r="AB457" s="78" t="s">
        <v>71</v>
      </c>
      <c r="AC457" s="98" t="s">
        <v>62</v>
      </c>
      <c r="AD457" s="98" t="s">
        <v>72</v>
      </c>
      <c r="AE457" s="65" t="s">
        <v>73</v>
      </c>
      <c r="AF457" s="39" t="s">
        <v>373</v>
      </c>
      <c r="AG457" s="98" t="s">
        <v>127</v>
      </c>
      <c r="AH457" s="115">
        <v>650</v>
      </c>
      <c r="AI457" s="117" t="s">
        <v>107</v>
      </c>
      <c r="AJ457" s="115" t="s">
        <v>108</v>
      </c>
      <c r="AK457" s="73">
        <v>816</v>
      </c>
      <c r="AL457" s="116">
        <f t="shared" si="54"/>
        <v>612000000</v>
      </c>
      <c r="AM457" s="116">
        <v>22</v>
      </c>
      <c r="AN457" s="116">
        <v>15228461</v>
      </c>
      <c r="AO457" s="116">
        <v>57</v>
      </c>
      <c r="AP457" s="116">
        <v>40684942</v>
      </c>
      <c r="AQ457" s="116">
        <f t="shared" si="55"/>
        <v>301.8</v>
      </c>
      <c r="AR457" s="116">
        <f t="shared" si="56"/>
        <v>208242000</v>
      </c>
      <c r="AS457" s="118">
        <v>0.36985294117647061</v>
      </c>
    </row>
    <row r="458" spans="2:45" x14ac:dyDescent="0.3">
      <c r="B458" s="126" t="s">
        <v>609</v>
      </c>
      <c r="C458" s="98" t="str">
        <f t="shared" si="57"/>
        <v>DJ7O0</v>
      </c>
      <c r="D458" s="98" t="s">
        <v>55</v>
      </c>
      <c r="E458" s="98" t="str">
        <f t="shared" si="59"/>
        <v>M</v>
      </c>
      <c r="F458" s="98" t="str">
        <f t="shared" si="60"/>
        <v>DJ</v>
      </c>
      <c r="G458" s="98" t="s">
        <v>56</v>
      </c>
      <c r="H458" s="115" t="s">
        <v>610</v>
      </c>
      <c r="I458" s="98" t="s">
        <v>78</v>
      </c>
      <c r="J458" s="115" t="str">
        <f t="shared" si="58"/>
        <v/>
      </c>
      <c r="K458" s="115">
        <v>1</v>
      </c>
      <c r="L458" s="116">
        <v>750000</v>
      </c>
      <c r="M458" s="78" t="s">
        <v>225</v>
      </c>
      <c r="N458" s="98" t="s">
        <v>494</v>
      </c>
      <c r="O458" s="98" t="s">
        <v>485</v>
      </c>
      <c r="P458" s="98">
        <v>100</v>
      </c>
      <c r="Q458" s="32" t="s">
        <v>204</v>
      </c>
      <c r="R458" s="98" t="s">
        <v>495</v>
      </c>
      <c r="S458" s="32" t="s">
        <v>496</v>
      </c>
      <c r="T458" s="98" t="s">
        <v>228</v>
      </c>
      <c r="U458" s="98" t="s">
        <v>198</v>
      </c>
      <c r="V458" s="98" t="s">
        <v>66</v>
      </c>
      <c r="W458" s="98" t="s">
        <v>229</v>
      </c>
      <c r="X458" s="78" t="s">
        <v>67</v>
      </c>
      <c r="Y458" s="98" t="s">
        <v>68</v>
      </c>
      <c r="Z458" s="32" t="s">
        <v>125</v>
      </c>
      <c r="AA458" s="32" t="s">
        <v>90</v>
      </c>
      <c r="AB458" s="78" t="s">
        <v>71</v>
      </c>
      <c r="AC458" s="98" t="s">
        <v>62</v>
      </c>
      <c r="AD458" s="98" t="s">
        <v>72</v>
      </c>
      <c r="AE458" s="65" t="s">
        <v>73</v>
      </c>
      <c r="AF458" s="39" t="s">
        <v>373</v>
      </c>
      <c r="AG458" s="98" t="s">
        <v>127</v>
      </c>
      <c r="AH458" s="115">
        <v>650</v>
      </c>
      <c r="AI458" s="117" t="s">
        <v>107</v>
      </c>
      <c r="AJ458" s="115" t="s">
        <v>108</v>
      </c>
      <c r="AK458" s="73">
        <v>1507</v>
      </c>
      <c r="AL458" s="116">
        <f t="shared" si="54"/>
        <v>1130250000</v>
      </c>
      <c r="AM458" s="116">
        <v>79</v>
      </c>
      <c r="AN458" s="116">
        <v>54476000</v>
      </c>
      <c r="AO458" s="116">
        <v>197</v>
      </c>
      <c r="AP458" s="116">
        <v>139922877</v>
      </c>
      <c r="AQ458" s="116">
        <f t="shared" si="55"/>
        <v>649.1</v>
      </c>
      <c r="AR458" s="116">
        <f t="shared" si="56"/>
        <v>447879000</v>
      </c>
      <c r="AS458" s="118">
        <v>0.43072329130723291</v>
      </c>
    </row>
    <row r="459" spans="2:45" x14ac:dyDescent="0.3">
      <c r="B459" s="126" t="s">
        <v>611</v>
      </c>
      <c r="C459" s="98" t="str">
        <f t="shared" si="57"/>
        <v>DJ8Q0</v>
      </c>
      <c r="D459" s="98" t="s">
        <v>55</v>
      </c>
      <c r="E459" s="98" t="str">
        <f t="shared" si="59"/>
        <v>M</v>
      </c>
      <c r="F459" s="98" t="str">
        <f t="shared" si="60"/>
        <v>DJ</v>
      </c>
      <c r="G459" s="98" t="s">
        <v>56</v>
      </c>
      <c r="H459" s="115" t="s">
        <v>612</v>
      </c>
      <c r="I459" s="98" t="s">
        <v>82</v>
      </c>
      <c r="J459" s="115">
        <f t="shared" si="58"/>
        <v>1</v>
      </c>
      <c r="K459" s="115">
        <v>1</v>
      </c>
      <c r="L459" s="116">
        <v>499000</v>
      </c>
      <c r="M459" s="78" t="s">
        <v>225</v>
      </c>
      <c r="N459" s="98" t="s">
        <v>494</v>
      </c>
      <c r="O459" s="98" t="s">
        <v>485</v>
      </c>
      <c r="P459" s="98">
        <v>100</v>
      </c>
      <c r="Q459" s="32" t="s">
        <v>204</v>
      </c>
      <c r="R459" s="98" t="s">
        <v>495</v>
      </c>
      <c r="S459" s="32" t="s">
        <v>496</v>
      </c>
      <c r="T459" s="98" t="s">
        <v>228</v>
      </c>
      <c r="U459" s="98" t="s">
        <v>198</v>
      </c>
      <c r="V459" s="98" t="s">
        <v>66</v>
      </c>
      <c r="W459" s="98" t="s">
        <v>229</v>
      </c>
      <c r="X459" s="78" t="s">
        <v>67</v>
      </c>
      <c r="Y459" s="98" t="s">
        <v>68</v>
      </c>
      <c r="Z459" s="32" t="s">
        <v>125</v>
      </c>
      <c r="AA459" s="32" t="s">
        <v>90</v>
      </c>
      <c r="AB459" s="78" t="s">
        <v>71</v>
      </c>
      <c r="AC459" s="98" t="s">
        <v>62</v>
      </c>
      <c r="AD459" s="98" t="s">
        <v>72</v>
      </c>
      <c r="AE459" s="65" t="s">
        <v>73</v>
      </c>
      <c r="AF459" s="39" t="s">
        <v>613</v>
      </c>
      <c r="AG459" s="98" t="s">
        <v>127</v>
      </c>
      <c r="AH459" s="115">
        <v>650</v>
      </c>
      <c r="AI459" s="117" t="s">
        <v>99</v>
      </c>
      <c r="AJ459" s="115" t="s">
        <v>100</v>
      </c>
      <c r="AK459" s="73">
        <v>1002</v>
      </c>
      <c r="AL459" s="116">
        <f t="shared" si="54"/>
        <v>499998000</v>
      </c>
      <c r="AM459" s="116">
        <v>28</v>
      </c>
      <c r="AN459" s="116">
        <v>12323636</v>
      </c>
      <c r="AO459" s="116">
        <v>106</v>
      </c>
      <c r="AP459" s="116">
        <v>49865067</v>
      </c>
      <c r="AQ459" s="116">
        <f t="shared" si="55"/>
        <v>456.7</v>
      </c>
      <c r="AR459" s="116">
        <f t="shared" si="56"/>
        <v>209661836</v>
      </c>
      <c r="AS459" s="118">
        <v>0.45578842315369261</v>
      </c>
    </row>
    <row r="460" spans="2:45" x14ac:dyDescent="0.3">
      <c r="B460" s="126" t="s">
        <v>611</v>
      </c>
      <c r="C460" s="98" t="str">
        <f t="shared" si="57"/>
        <v>DJ8Q0</v>
      </c>
      <c r="D460" s="98" t="s">
        <v>55</v>
      </c>
      <c r="E460" s="98" t="str">
        <f t="shared" si="59"/>
        <v>M</v>
      </c>
      <c r="F460" s="98" t="str">
        <f t="shared" si="60"/>
        <v>DJ</v>
      </c>
      <c r="G460" s="98" t="s">
        <v>56</v>
      </c>
      <c r="H460" s="115" t="s">
        <v>612</v>
      </c>
      <c r="I460" s="98" t="s">
        <v>78</v>
      </c>
      <c r="J460" s="115" t="str">
        <f t="shared" si="58"/>
        <v/>
      </c>
      <c r="K460" s="115">
        <v>1</v>
      </c>
      <c r="L460" s="116">
        <v>499000</v>
      </c>
      <c r="M460" s="78" t="s">
        <v>225</v>
      </c>
      <c r="N460" s="98" t="s">
        <v>494</v>
      </c>
      <c r="O460" s="98" t="s">
        <v>485</v>
      </c>
      <c r="P460" s="98">
        <v>100</v>
      </c>
      <c r="Q460" s="32" t="s">
        <v>204</v>
      </c>
      <c r="R460" s="98" t="s">
        <v>495</v>
      </c>
      <c r="S460" s="32" t="s">
        <v>496</v>
      </c>
      <c r="T460" s="98" t="s">
        <v>228</v>
      </c>
      <c r="U460" s="98" t="s">
        <v>198</v>
      </c>
      <c r="V460" s="98" t="s">
        <v>66</v>
      </c>
      <c r="W460" s="98" t="s">
        <v>229</v>
      </c>
      <c r="X460" s="78" t="s">
        <v>67</v>
      </c>
      <c r="Y460" s="98" t="s">
        <v>68</v>
      </c>
      <c r="Z460" s="32" t="s">
        <v>125</v>
      </c>
      <c r="AA460" s="32" t="s">
        <v>90</v>
      </c>
      <c r="AB460" s="78" t="s">
        <v>71</v>
      </c>
      <c r="AC460" s="98" t="s">
        <v>62</v>
      </c>
      <c r="AD460" s="98" t="s">
        <v>72</v>
      </c>
      <c r="AE460" s="65" t="s">
        <v>73</v>
      </c>
      <c r="AF460" s="39" t="s">
        <v>613</v>
      </c>
      <c r="AG460" s="98" t="s">
        <v>127</v>
      </c>
      <c r="AH460" s="115">
        <v>650</v>
      </c>
      <c r="AI460" s="117" t="s">
        <v>99</v>
      </c>
      <c r="AJ460" s="115" t="s">
        <v>100</v>
      </c>
      <c r="AK460" s="73">
        <v>2007</v>
      </c>
      <c r="AL460" s="116">
        <f t="shared" si="54"/>
        <v>1001493000</v>
      </c>
      <c r="AM460" s="116">
        <v>319</v>
      </c>
      <c r="AN460" s="116">
        <v>124160175</v>
      </c>
      <c r="AO460" s="116">
        <v>688</v>
      </c>
      <c r="AP460" s="116">
        <v>301766335</v>
      </c>
      <c r="AQ460" s="116">
        <f t="shared" si="55"/>
        <v>1390.4499999999998</v>
      </c>
      <c r="AR460" s="116">
        <f t="shared" si="56"/>
        <v>638327786</v>
      </c>
      <c r="AS460" s="118">
        <v>0.69280019930244141</v>
      </c>
    </row>
    <row r="461" spans="2:45" x14ac:dyDescent="0.3">
      <c r="B461" s="126" t="s">
        <v>611</v>
      </c>
      <c r="C461" s="98" t="str">
        <f t="shared" si="57"/>
        <v>DJ8Q0</v>
      </c>
      <c r="D461" s="98" t="s">
        <v>55</v>
      </c>
      <c r="E461" s="98" t="str">
        <f t="shared" si="59"/>
        <v>M</v>
      </c>
      <c r="F461" s="98" t="str">
        <f t="shared" si="60"/>
        <v>DJ</v>
      </c>
      <c r="G461" s="98" t="s">
        <v>56</v>
      </c>
      <c r="H461" s="115" t="s">
        <v>612</v>
      </c>
      <c r="I461" s="98" t="s">
        <v>614</v>
      </c>
      <c r="J461" s="115" t="str">
        <f t="shared" si="58"/>
        <v/>
      </c>
      <c r="K461" s="115">
        <v>1</v>
      </c>
      <c r="L461" s="116">
        <v>499000</v>
      </c>
      <c r="M461" s="78" t="s">
        <v>225</v>
      </c>
      <c r="N461" s="98" t="s">
        <v>494</v>
      </c>
      <c r="O461" s="98" t="s">
        <v>485</v>
      </c>
      <c r="P461" s="98">
        <v>100</v>
      </c>
      <c r="Q461" s="32" t="s">
        <v>204</v>
      </c>
      <c r="R461" s="98" t="s">
        <v>495</v>
      </c>
      <c r="S461" s="32" t="s">
        <v>496</v>
      </c>
      <c r="T461" s="98" t="s">
        <v>228</v>
      </c>
      <c r="U461" s="98" t="s">
        <v>198</v>
      </c>
      <c r="V461" s="98" t="s">
        <v>66</v>
      </c>
      <c r="W461" s="98" t="s">
        <v>229</v>
      </c>
      <c r="X461" s="78" t="s">
        <v>67</v>
      </c>
      <c r="Y461" s="98" t="s">
        <v>68</v>
      </c>
      <c r="Z461" s="32" t="s">
        <v>125</v>
      </c>
      <c r="AA461" s="32" t="s">
        <v>90</v>
      </c>
      <c r="AB461" s="78" t="s">
        <v>71</v>
      </c>
      <c r="AC461" s="98" t="s">
        <v>62</v>
      </c>
      <c r="AD461" s="98" t="s">
        <v>72</v>
      </c>
      <c r="AE461" s="65" t="s">
        <v>73</v>
      </c>
      <c r="AF461" s="39" t="s">
        <v>613</v>
      </c>
      <c r="AG461" s="98" t="s">
        <v>127</v>
      </c>
      <c r="AH461" s="115">
        <v>650</v>
      </c>
      <c r="AI461" s="117" t="s">
        <v>99</v>
      </c>
      <c r="AJ461" s="115" t="s">
        <v>100</v>
      </c>
      <c r="AK461" s="73">
        <v>500</v>
      </c>
      <c r="AL461" s="116">
        <f t="shared" si="54"/>
        <v>249500000</v>
      </c>
      <c r="AM461" s="116">
        <v>9</v>
      </c>
      <c r="AN461" s="116">
        <v>4085292</v>
      </c>
      <c r="AO461" s="116">
        <v>17</v>
      </c>
      <c r="AP461" s="116">
        <v>7991092</v>
      </c>
      <c r="AQ461" s="116">
        <f t="shared" si="55"/>
        <v>192</v>
      </c>
      <c r="AR461" s="116">
        <f t="shared" si="56"/>
        <v>88143360</v>
      </c>
      <c r="AS461" s="118">
        <v>0.38400000000000001</v>
      </c>
    </row>
    <row r="462" spans="2:45" x14ac:dyDescent="0.3">
      <c r="B462" s="126" t="s">
        <v>615</v>
      </c>
      <c r="C462" s="98" t="str">
        <f t="shared" si="57"/>
        <v>DJ710</v>
      </c>
      <c r="D462" s="98" t="s">
        <v>55</v>
      </c>
      <c r="E462" s="98" t="str">
        <f t="shared" si="59"/>
        <v>M</v>
      </c>
      <c r="F462" s="98" t="str">
        <f t="shared" si="60"/>
        <v>DJ</v>
      </c>
      <c r="G462" s="98" t="s">
        <v>56</v>
      </c>
      <c r="H462" s="115" t="s">
        <v>616</v>
      </c>
      <c r="I462" s="98" t="s">
        <v>102</v>
      </c>
      <c r="J462" s="115">
        <f t="shared" si="58"/>
        <v>1</v>
      </c>
      <c r="K462" s="115">
        <v>1</v>
      </c>
      <c r="L462" s="116">
        <v>169000</v>
      </c>
      <c r="M462" s="78" t="s">
        <v>83</v>
      </c>
      <c r="N462" s="98" t="s">
        <v>617</v>
      </c>
      <c r="O462" s="98" t="s">
        <v>485</v>
      </c>
      <c r="P462" s="98">
        <v>100</v>
      </c>
      <c r="Q462" s="32" t="s">
        <v>85</v>
      </c>
      <c r="R462" s="98" t="s">
        <v>86</v>
      </c>
      <c r="S462" s="32" t="s">
        <v>87</v>
      </c>
      <c r="T462" s="98" t="s">
        <v>65</v>
      </c>
      <c r="U462" s="98"/>
      <c r="V462" s="98" t="s">
        <v>66</v>
      </c>
      <c r="W462" s="98"/>
      <c r="X462" s="78" t="s">
        <v>67</v>
      </c>
      <c r="Y462" s="98" t="s">
        <v>88</v>
      </c>
      <c r="Z462" s="32" t="s">
        <v>125</v>
      </c>
      <c r="AA462" s="32" t="s">
        <v>90</v>
      </c>
      <c r="AB462" s="78" t="s">
        <v>91</v>
      </c>
      <c r="AC462" s="69" t="s">
        <v>92</v>
      </c>
      <c r="AD462" s="69" t="s">
        <v>506</v>
      </c>
      <c r="AE462" s="65" t="s">
        <v>137</v>
      </c>
      <c r="AF462" s="39" t="s">
        <v>618</v>
      </c>
      <c r="AG462" s="98" t="s">
        <v>240</v>
      </c>
      <c r="AH462" s="115">
        <v>650</v>
      </c>
      <c r="AI462" s="117" t="s">
        <v>289</v>
      </c>
      <c r="AJ462" s="115" t="s">
        <v>241</v>
      </c>
      <c r="AK462" s="73">
        <v>803</v>
      </c>
      <c r="AL462" s="116">
        <f t="shared" si="54"/>
        <v>135707000</v>
      </c>
      <c r="AM462" s="116">
        <v>7</v>
      </c>
      <c r="AN462" s="116">
        <v>1099241</v>
      </c>
      <c r="AO462" s="116">
        <v>215</v>
      </c>
      <c r="AP462" s="116">
        <v>33327474</v>
      </c>
      <c r="AQ462" s="116">
        <f t="shared" si="55"/>
        <v>415.74999999999994</v>
      </c>
      <c r="AR462" s="116">
        <f t="shared" si="56"/>
        <v>64640810</v>
      </c>
      <c r="AS462" s="118">
        <v>0.51774595267745949</v>
      </c>
    </row>
    <row r="463" spans="2:45" x14ac:dyDescent="0.3">
      <c r="B463" s="126" t="s">
        <v>615</v>
      </c>
      <c r="C463" s="98" t="str">
        <f t="shared" si="57"/>
        <v>DJ710</v>
      </c>
      <c r="D463" s="98" t="s">
        <v>55</v>
      </c>
      <c r="E463" s="98" t="str">
        <f t="shared" si="59"/>
        <v>M</v>
      </c>
      <c r="F463" s="98" t="str">
        <f t="shared" si="60"/>
        <v>DJ</v>
      </c>
      <c r="G463" s="98" t="s">
        <v>56</v>
      </c>
      <c r="H463" s="115" t="s">
        <v>616</v>
      </c>
      <c r="I463" s="98" t="s">
        <v>78</v>
      </c>
      <c r="J463" s="115" t="str">
        <f t="shared" si="58"/>
        <v/>
      </c>
      <c r="K463" s="115">
        <v>1</v>
      </c>
      <c r="L463" s="116">
        <v>169000</v>
      </c>
      <c r="M463" s="78" t="s">
        <v>83</v>
      </c>
      <c r="N463" s="98" t="s">
        <v>617</v>
      </c>
      <c r="O463" s="98" t="s">
        <v>485</v>
      </c>
      <c r="P463" s="98">
        <v>100</v>
      </c>
      <c r="Q463" s="32" t="s">
        <v>85</v>
      </c>
      <c r="R463" s="98" t="s">
        <v>86</v>
      </c>
      <c r="S463" s="32" t="s">
        <v>87</v>
      </c>
      <c r="T463" s="98" t="s">
        <v>65</v>
      </c>
      <c r="U463" s="98"/>
      <c r="V463" s="98" t="s">
        <v>66</v>
      </c>
      <c r="W463" s="98"/>
      <c r="X463" s="78" t="s">
        <v>67</v>
      </c>
      <c r="Y463" s="98" t="s">
        <v>88</v>
      </c>
      <c r="Z463" s="32" t="s">
        <v>125</v>
      </c>
      <c r="AA463" s="32" t="s">
        <v>90</v>
      </c>
      <c r="AB463" s="78" t="s">
        <v>91</v>
      </c>
      <c r="AC463" s="69" t="s">
        <v>92</v>
      </c>
      <c r="AD463" s="69" t="s">
        <v>506</v>
      </c>
      <c r="AE463" s="65" t="s">
        <v>137</v>
      </c>
      <c r="AF463" s="39" t="s">
        <v>618</v>
      </c>
      <c r="AG463" s="98" t="s">
        <v>240</v>
      </c>
      <c r="AH463" s="115">
        <v>650</v>
      </c>
      <c r="AI463" s="117" t="s">
        <v>289</v>
      </c>
      <c r="AJ463" s="115" t="s">
        <v>241</v>
      </c>
      <c r="AK463" s="73">
        <v>7514</v>
      </c>
      <c r="AL463" s="116">
        <f t="shared" si="54"/>
        <v>1269866000</v>
      </c>
      <c r="AM463" s="116">
        <v>216</v>
      </c>
      <c r="AN463" s="116">
        <v>34448356</v>
      </c>
      <c r="AO463" s="116">
        <v>3663</v>
      </c>
      <c r="AP463" s="116">
        <v>555946769</v>
      </c>
      <c r="AQ463" s="116">
        <f t="shared" si="55"/>
        <v>5541.5</v>
      </c>
      <c r="AR463" s="116">
        <f t="shared" si="56"/>
        <v>861592420</v>
      </c>
      <c r="AS463" s="118">
        <v>0.73749001863188712</v>
      </c>
    </row>
    <row r="464" spans="2:45" x14ac:dyDescent="0.3">
      <c r="B464" s="126" t="s">
        <v>619</v>
      </c>
      <c r="C464" s="98" t="str">
        <f t="shared" si="57"/>
        <v>DJ720</v>
      </c>
      <c r="D464" s="98" t="s">
        <v>55</v>
      </c>
      <c r="E464" s="98" t="str">
        <f t="shared" si="59"/>
        <v>W</v>
      </c>
      <c r="F464" s="98" t="str">
        <f t="shared" si="60"/>
        <v>DJ</v>
      </c>
      <c r="G464" s="98" t="s">
        <v>56</v>
      </c>
      <c r="H464" s="115" t="s">
        <v>620</v>
      </c>
      <c r="I464" s="98" t="s">
        <v>78</v>
      </c>
      <c r="J464" s="115">
        <f t="shared" si="58"/>
        <v>1</v>
      </c>
      <c r="K464" s="115">
        <v>1</v>
      </c>
      <c r="L464" s="116">
        <v>169000</v>
      </c>
      <c r="M464" s="78" t="s">
        <v>83</v>
      </c>
      <c r="N464" s="98" t="s">
        <v>617</v>
      </c>
      <c r="O464" s="98" t="s">
        <v>485</v>
      </c>
      <c r="P464" s="98">
        <v>100</v>
      </c>
      <c r="Q464" s="32" t="s">
        <v>85</v>
      </c>
      <c r="R464" s="98" t="s">
        <v>86</v>
      </c>
      <c r="S464" s="32" t="s">
        <v>87</v>
      </c>
      <c r="T464" s="98" t="s">
        <v>65</v>
      </c>
      <c r="U464" s="98"/>
      <c r="V464" s="98" t="s">
        <v>66</v>
      </c>
      <c r="W464" s="98"/>
      <c r="X464" s="78" t="s">
        <v>67</v>
      </c>
      <c r="Y464" s="98" t="s">
        <v>88</v>
      </c>
      <c r="Z464" s="32" t="s">
        <v>125</v>
      </c>
      <c r="AA464" s="32" t="s">
        <v>90</v>
      </c>
      <c r="AB464" s="78" t="s">
        <v>91</v>
      </c>
      <c r="AC464" s="69" t="s">
        <v>92</v>
      </c>
      <c r="AD464" s="69" t="s">
        <v>506</v>
      </c>
      <c r="AE464" s="65" t="s">
        <v>137</v>
      </c>
      <c r="AF464" s="39" t="s">
        <v>314</v>
      </c>
      <c r="AG464" s="98" t="s">
        <v>240</v>
      </c>
      <c r="AH464" s="115">
        <v>650</v>
      </c>
      <c r="AI464" s="117" t="s">
        <v>289</v>
      </c>
      <c r="AJ464" s="115" t="s">
        <v>241</v>
      </c>
      <c r="AK464" s="73">
        <v>2511</v>
      </c>
      <c r="AL464" s="116">
        <f t="shared" si="54"/>
        <v>424359000</v>
      </c>
      <c r="AM464" s="116">
        <v>52</v>
      </c>
      <c r="AN464" s="116">
        <v>8339174</v>
      </c>
      <c r="AO464" s="116">
        <v>884</v>
      </c>
      <c r="AP464" s="116">
        <v>133154460</v>
      </c>
      <c r="AQ464" s="116">
        <f t="shared" si="55"/>
        <v>1511.75</v>
      </c>
      <c r="AR464" s="116">
        <f t="shared" si="56"/>
        <v>235046890</v>
      </c>
      <c r="AS464" s="118">
        <v>0.6020509757068897</v>
      </c>
    </row>
    <row r="465" spans="2:45" x14ac:dyDescent="0.3">
      <c r="B465" s="126" t="s">
        <v>619</v>
      </c>
      <c r="C465" s="98" t="str">
        <f t="shared" si="57"/>
        <v>DJ720</v>
      </c>
      <c r="D465" s="98" t="s">
        <v>55</v>
      </c>
      <c r="E465" s="98" t="str">
        <f t="shared" si="59"/>
        <v>W</v>
      </c>
      <c r="F465" s="98" t="str">
        <f t="shared" si="60"/>
        <v>DJ</v>
      </c>
      <c r="G465" s="98" t="s">
        <v>56</v>
      </c>
      <c r="H465" s="115" t="s">
        <v>620</v>
      </c>
      <c r="I465" s="98" t="s">
        <v>385</v>
      </c>
      <c r="J465" s="115" t="str">
        <f t="shared" si="58"/>
        <v/>
      </c>
      <c r="K465" s="115">
        <v>1</v>
      </c>
      <c r="L465" s="116">
        <v>169000</v>
      </c>
      <c r="M465" s="78" t="s">
        <v>83</v>
      </c>
      <c r="N465" s="98" t="s">
        <v>617</v>
      </c>
      <c r="O465" s="98" t="s">
        <v>485</v>
      </c>
      <c r="P465" s="98">
        <v>100</v>
      </c>
      <c r="Q465" s="32" t="s">
        <v>85</v>
      </c>
      <c r="R465" s="98" t="s">
        <v>86</v>
      </c>
      <c r="S465" s="32" t="s">
        <v>87</v>
      </c>
      <c r="T465" s="98" t="s">
        <v>65</v>
      </c>
      <c r="U465" s="98"/>
      <c r="V465" s="98" t="s">
        <v>66</v>
      </c>
      <c r="W465" s="98"/>
      <c r="X465" s="78" t="s">
        <v>67</v>
      </c>
      <c r="Y465" s="98" t="s">
        <v>88</v>
      </c>
      <c r="Z465" s="32" t="s">
        <v>125</v>
      </c>
      <c r="AA465" s="32" t="s">
        <v>90</v>
      </c>
      <c r="AB465" s="78" t="s">
        <v>91</v>
      </c>
      <c r="AC465" s="69" t="s">
        <v>92</v>
      </c>
      <c r="AD465" s="69" t="s">
        <v>506</v>
      </c>
      <c r="AE465" s="65" t="s">
        <v>137</v>
      </c>
      <c r="AF465" s="39" t="s">
        <v>314</v>
      </c>
      <c r="AG465" s="98" t="s">
        <v>240</v>
      </c>
      <c r="AH465" s="115">
        <v>650</v>
      </c>
      <c r="AI465" s="117" t="s">
        <v>289</v>
      </c>
      <c r="AJ465" s="115" t="s">
        <v>241</v>
      </c>
      <c r="AK465" s="73">
        <v>1708</v>
      </c>
      <c r="AL465" s="116">
        <f t="shared" si="54"/>
        <v>288652000</v>
      </c>
      <c r="AM465" s="116">
        <v>45</v>
      </c>
      <c r="AN465" s="116">
        <v>7184143</v>
      </c>
      <c r="AO465" s="116">
        <v>741</v>
      </c>
      <c r="AP465" s="116">
        <v>116462072</v>
      </c>
      <c r="AQ465" s="116">
        <f t="shared" si="55"/>
        <v>1168</v>
      </c>
      <c r="AR465" s="116">
        <f t="shared" si="56"/>
        <v>181600640</v>
      </c>
      <c r="AS465" s="118">
        <v>0.68384074941451989</v>
      </c>
    </row>
    <row r="466" spans="2:45" x14ac:dyDescent="0.3">
      <c r="B466" s="126" t="s">
        <v>621</v>
      </c>
      <c r="C466" s="98" t="str">
        <f t="shared" si="57"/>
        <v>DJ730</v>
      </c>
      <c r="D466" s="98" t="s">
        <v>55</v>
      </c>
      <c r="E466" s="98" t="str">
        <f t="shared" si="59"/>
        <v>M</v>
      </c>
      <c r="F466" s="98" t="str">
        <f t="shared" si="60"/>
        <v>DJ</v>
      </c>
      <c r="G466" s="98" t="s">
        <v>56</v>
      </c>
      <c r="H466" s="115" t="s">
        <v>622</v>
      </c>
      <c r="I466" s="98" t="s">
        <v>78</v>
      </c>
      <c r="J466" s="115">
        <f t="shared" si="58"/>
        <v>1</v>
      </c>
      <c r="K466" s="115">
        <v>1</v>
      </c>
      <c r="L466" s="116">
        <v>199000</v>
      </c>
      <c r="M466" s="78" t="s">
        <v>83</v>
      </c>
      <c r="N466" s="98" t="s">
        <v>623</v>
      </c>
      <c r="O466" s="98" t="s">
        <v>485</v>
      </c>
      <c r="P466" s="98">
        <v>100</v>
      </c>
      <c r="Q466" s="32" t="s">
        <v>85</v>
      </c>
      <c r="R466" s="98" t="s">
        <v>86</v>
      </c>
      <c r="S466" s="32" t="s">
        <v>87</v>
      </c>
      <c r="T466" s="98" t="s">
        <v>65</v>
      </c>
      <c r="U466" s="98"/>
      <c r="V466" s="98" t="s">
        <v>66</v>
      </c>
      <c r="W466" s="98"/>
      <c r="X466" s="78" t="s">
        <v>67</v>
      </c>
      <c r="Y466" s="98" t="s">
        <v>88</v>
      </c>
      <c r="Z466" s="32" t="s">
        <v>125</v>
      </c>
      <c r="AA466" s="32" t="s">
        <v>90</v>
      </c>
      <c r="AB466" s="78" t="s">
        <v>91</v>
      </c>
      <c r="AC466" s="69" t="s">
        <v>92</v>
      </c>
      <c r="AD466" s="69" t="s">
        <v>506</v>
      </c>
      <c r="AE466" s="65" t="s">
        <v>137</v>
      </c>
      <c r="AF466" s="39" t="s">
        <v>333</v>
      </c>
      <c r="AG466" s="98" t="s">
        <v>75</v>
      </c>
      <c r="AH466" s="115">
        <v>650</v>
      </c>
      <c r="AI466" s="117" t="s">
        <v>76</v>
      </c>
      <c r="AJ466" s="115" t="s">
        <v>241</v>
      </c>
      <c r="AK466" s="73">
        <v>4994</v>
      </c>
      <c r="AL466" s="116">
        <f t="shared" si="54"/>
        <v>993806000</v>
      </c>
      <c r="AM466" s="116">
        <v>170</v>
      </c>
      <c r="AN466" s="116">
        <v>30019858</v>
      </c>
      <c r="AO466" s="116">
        <v>2074</v>
      </c>
      <c r="AP466" s="116">
        <v>375757169</v>
      </c>
      <c r="AQ466" s="116">
        <f t="shared" si="55"/>
        <v>3222.62</v>
      </c>
      <c r="AR466" s="116">
        <f t="shared" si="56"/>
        <v>589997269.60000002</v>
      </c>
      <c r="AS466" s="118">
        <v>0.64529835802963553</v>
      </c>
    </row>
    <row r="467" spans="2:45" x14ac:dyDescent="0.3">
      <c r="B467" s="126" t="s">
        <v>621</v>
      </c>
      <c r="C467" s="98" t="str">
        <f t="shared" si="57"/>
        <v>DJ730</v>
      </c>
      <c r="D467" s="98" t="s">
        <v>55</v>
      </c>
      <c r="E467" s="98" t="str">
        <f t="shared" si="59"/>
        <v>M</v>
      </c>
      <c r="F467" s="98" t="str">
        <f t="shared" si="60"/>
        <v>DJ</v>
      </c>
      <c r="G467" s="98" t="s">
        <v>56</v>
      </c>
      <c r="H467" s="115" t="s">
        <v>622</v>
      </c>
      <c r="I467" s="98" t="s">
        <v>82</v>
      </c>
      <c r="J467" s="115" t="str">
        <f t="shared" si="58"/>
        <v/>
      </c>
      <c r="K467" s="115">
        <v>1</v>
      </c>
      <c r="L467" s="116">
        <v>199000</v>
      </c>
      <c r="M467" s="78" t="s">
        <v>83</v>
      </c>
      <c r="N467" s="98" t="s">
        <v>623</v>
      </c>
      <c r="O467" s="98" t="s">
        <v>485</v>
      </c>
      <c r="P467" s="98">
        <v>100</v>
      </c>
      <c r="Q467" s="32" t="s">
        <v>85</v>
      </c>
      <c r="R467" s="98" t="s">
        <v>86</v>
      </c>
      <c r="S467" s="32" t="s">
        <v>87</v>
      </c>
      <c r="T467" s="98" t="s">
        <v>65</v>
      </c>
      <c r="U467" s="98"/>
      <c r="V467" s="98" t="s">
        <v>66</v>
      </c>
      <c r="W467" s="98"/>
      <c r="X467" s="78" t="s">
        <v>67</v>
      </c>
      <c r="Y467" s="98" t="s">
        <v>88</v>
      </c>
      <c r="Z467" s="32" t="s">
        <v>125</v>
      </c>
      <c r="AA467" s="32" t="s">
        <v>90</v>
      </c>
      <c r="AB467" s="78" t="s">
        <v>91</v>
      </c>
      <c r="AC467" s="69" t="s">
        <v>92</v>
      </c>
      <c r="AD467" s="69" t="s">
        <v>506</v>
      </c>
      <c r="AE467" s="65" t="s">
        <v>137</v>
      </c>
      <c r="AF467" s="39" t="s">
        <v>333</v>
      </c>
      <c r="AG467" s="98" t="s">
        <v>75</v>
      </c>
      <c r="AH467" s="115">
        <v>650</v>
      </c>
      <c r="AI467" s="117" t="s">
        <v>76</v>
      </c>
      <c r="AJ467" s="115" t="s">
        <v>241</v>
      </c>
      <c r="AK467" s="73">
        <v>1285</v>
      </c>
      <c r="AL467" s="116">
        <f t="shared" si="54"/>
        <v>255715000</v>
      </c>
      <c r="AM467" s="116">
        <v>11</v>
      </c>
      <c r="AN467" s="116">
        <v>2074962</v>
      </c>
      <c r="AO467" s="116">
        <v>205</v>
      </c>
      <c r="AP467" s="116">
        <v>37339509</v>
      </c>
      <c r="AQ467" s="116">
        <f t="shared" si="55"/>
        <v>500.54999999999995</v>
      </c>
      <c r="AR467" s="116">
        <f t="shared" si="56"/>
        <v>91640693.999999985</v>
      </c>
      <c r="AS467" s="118">
        <v>0.38953307392996106</v>
      </c>
    </row>
    <row r="468" spans="2:45" x14ac:dyDescent="0.3">
      <c r="B468" s="126" t="s">
        <v>624</v>
      </c>
      <c r="C468" s="98" t="str">
        <f t="shared" si="57"/>
        <v>DJ740</v>
      </c>
      <c r="D468" s="98" t="s">
        <v>55</v>
      </c>
      <c r="E468" s="98" t="str">
        <f t="shared" si="59"/>
        <v>W</v>
      </c>
      <c r="F468" s="98" t="str">
        <f t="shared" si="60"/>
        <v>DJ</v>
      </c>
      <c r="G468" s="98" t="s">
        <v>56</v>
      </c>
      <c r="H468" s="115" t="s">
        <v>625</v>
      </c>
      <c r="I468" s="98" t="s">
        <v>78</v>
      </c>
      <c r="J468" s="115">
        <f t="shared" si="58"/>
        <v>1</v>
      </c>
      <c r="K468" s="115">
        <v>1</v>
      </c>
      <c r="L468" s="116">
        <v>199000</v>
      </c>
      <c r="M468" s="78" t="s">
        <v>83</v>
      </c>
      <c r="N468" s="98" t="s">
        <v>626</v>
      </c>
      <c r="O468" s="98" t="s">
        <v>485</v>
      </c>
      <c r="P468" s="98">
        <v>100</v>
      </c>
      <c r="Q468" s="32" t="s">
        <v>85</v>
      </c>
      <c r="R468" s="98" t="s">
        <v>86</v>
      </c>
      <c r="S468" s="32" t="s">
        <v>87</v>
      </c>
      <c r="T468" s="98" t="s">
        <v>65</v>
      </c>
      <c r="U468" s="98"/>
      <c r="V468" s="98" t="s">
        <v>66</v>
      </c>
      <c r="W468" s="98"/>
      <c r="X468" s="78" t="s">
        <v>67</v>
      </c>
      <c r="Y468" s="98" t="s">
        <v>88</v>
      </c>
      <c r="Z468" s="32" t="s">
        <v>125</v>
      </c>
      <c r="AA468" s="32" t="s">
        <v>90</v>
      </c>
      <c r="AB468" s="78" t="s">
        <v>91</v>
      </c>
      <c r="AC468" s="69" t="s">
        <v>92</v>
      </c>
      <c r="AD468" s="69" t="s">
        <v>506</v>
      </c>
      <c r="AE468" s="65" t="s">
        <v>137</v>
      </c>
      <c r="AF468" s="39" t="s">
        <v>314</v>
      </c>
      <c r="AG468" s="98" t="s">
        <v>75</v>
      </c>
      <c r="AH468" s="115">
        <v>650</v>
      </c>
      <c r="AI468" s="117" t="s">
        <v>76</v>
      </c>
      <c r="AJ468" s="115" t="s">
        <v>241</v>
      </c>
      <c r="AK468" s="73">
        <v>2983</v>
      </c>
      <c r="AL468" s="116">
        <f t="shared" si="54"/>
        <v>593617000</v>
      </c>
      <c r="AM468" s="116">
        <v>136</v>
      </c>
      <c r="AN468" s="116">
        <v>22741891</v>
      </c>
      <c r="AO468" s="116">
        <v>2285</v>
      </c>
      <c r="AP468" s="116">
        <v>414925121</v>
      </c>
      <c r="AQ468" s="116">
        <f t="shared" si="55"/>
        <v>2971.09</v>
      </c>
      <c r="AR468" s="116">
        <f t="shared" si="56"/>
        <v>543947157.20000005</v>
      </c>
      <c r="AS468" s="118">
        <v>0.99600737512571236</v>
      </c>
    </row>
    <row r="469" spans="2:45" x14ac:dyDescent="0.3">
      <c r="B469" s="126" t="s">
        <v>624</v>
      </c>
      <c r="C469" s="98" t="str">
        <f t="shared" si="57"/>
        <v>DJ740</v>
      </c>
      <c r="D469" s="98" t="s">
        <v>55</v>
      </c>
      <c r="E469" s="98" t="str">
        <f t="shared" si="59"/>
        <v>W</v>
      </c>
      <c r="F469" s="98" t="str">
        <f t="shared" si="60"/>
        <v>DJ</v>
      </c>
      <c r="G469" s="98" t="s">
        <v>56</v>
      </c>
      <c r="H469" s="115" t="s">
        <v>625</v>
      </c>
      <c r="I469" s="98" t="s">
        <v>82</v>
      </c>
      <c r="J469" s="115" t="str">
        <f t="shared" si="58"/>
        <v/>
      </c>
      <c r="K469" s="115">
        <v>1</v>
      </c>
      <c r="L469" s="116">
        <v>199000</v>
      </c>
      <c r="M469" s="78" t="s">
        <v>83</v>
      </c>
      <c r="N469" s="98" t="s">
        <v>626</v>
      </c>
      <c r="O469" s="98" t="s">
        <v>485</v>
      </c>
      <c r="P469" s="98">
        <v>100</v>
      </c>
      <c r="Q469" s="32" t="s">
        <v>85</v>
      </c>
      <c r="R469" s="98" t="s">
        <v>86</v>
      </c>
      <c r="S469" s="32" t="s">
        <v>87</v>
      </c>
      <c r="T469" s="98" t="s">
        <v>65</v>
      </c>
      <c r="U469" s="98"/>
      <c r="V469" s="98" t="s">
        <v>66</v>
      </c>
      <c r="W469" s="98"/>
      <c r="X469" s="78" t="s">
        <v>67</v>
      </c>
      <c r="Y469" s="98" t="s">
        <v>88</v>
      </c>
      <c r="Z469" s="32" t="s">
        <v>125</v>
      </c>
      <c r="AA469" s="32" t="s">
        <v>90</v>
      </c>
      <c r="AB469" s="78" t="s">
        <v>91</v>
      </c>
      <c r="AC469" s="69" t="s">
        <v>92</v>
      </c>
      <c r="AD469" s="69" t="s">
        <v>506</v>
      </c>
      <c r="AE469" s="65" t="s">
        <v>137</v>
      </c>
      <c r="AF469" s="39" t="s">
        <v>314</v>
      </c>
      <c r="AG469" s="98" t="s">
        <v>75</v>
      </c>
      <c r="AH469" s="115">
        <v>650</v>
      </c>
      <c r="AI469" s="117" t="s">
        <v>76</v>
      </c>
      <c r="AJ469" s="115" t="s">
        <v>241</v>
      </c>
      <c r="AK469" s="73">
        <v>1982</v>
      </c>
      <c r="AL469" s="116">
        <f t="shared" si="54"/>
        <v>394418000</v>
      </c>
      <c r="AM469" s="116">
        <v>44</v>
      </c>
      <c r="AN469" s="116">
        <v>8120204</v>
      </c>
      <c r="AO469" s="116">
        <v>371</v>
      </c>
      <c r="AP469" s="116">
        <v>67938716</v>
      </c>
      <c r="AQ469" s="116">
        <f t="shared" si="55"/>
        <v>826.86000000000013</v>
      </c>
      <c r="AR469" s="116">
        <f t="shared" si="56"/>
        <v>151381528.80000004</v>
      </c>
      <c r="AS469" s="118">
        <v>0.41718466195761861</v>
      </c>
    </row>
    <row r="470" spans="2:45" x14ac:dyDescent="0.3">
      <c r="B470" s="126" t="s">
        <v>624</v>
      </c>
      <c r="C470" s="98" t="str">
        <f t="shared" si="57"/>
        <v>DJ740</v>
      </c>
      <c r="D470" s="98" t="s">
        <v>55</v>
      </c>
      <c r="E470" s="98" t="str">
        <f t="shared" si="59"/>
        <v>W</v>
      </c>
      <c r="F470" s="98" t="str">
        <f t="shared" si="60"/>
        <v>DJ</v>
      </c>
      <c r="G470" s="98" t="s">
        <v>56</v>
      </c>
      <c r="H470" s="115" t="s">
        <v>625</v>
      </c>
      <c r="I470" s="98" t="s">
        <v>79</v>
      </c>
      <c r="J470" s="115" t="str">
        <f t="shared" si="58"/>
        <v/>
      </c>
      <c r="K470" s="115">
        <v>1</v>
      </c>
      <c r="L470" s="116">
        <v>199000</v>
      </c>
      <c r="M470" s="78" t="s">
        <v>83</v>
      </c>
      <c r="N470" s="98" t="s">
        <v>626</v>
      </c>
      <c r="O470" s="98" t="s">
        <v>485</v>
      </c>
      <c r="P470" s="98">
        <v>100</v>
      </c>
      <c r="Q470" s="32" t="s">
        <v>85</v>
      </c>
      <c r="R470" s="98" t="s">
        <v>86</v>
      </c>
      <c r="S470" s="32" t="s">
        <v>87</v>
      </c>
      <c r="T470" s="98" t="s">
        <v>65</v>
      </c>
      <c r="U470" s="98"/>
      <c r="V470" s="98" t="s">
        <v>66</v>
      </c>
      <c r="W470" s="98"/>
      <c r="X470" s="78" t="s">
        <v>67</v>
      </c>
      <c r="Y470" s="98" t="s">
        <v>88</v>
      </c>
      <c r="Z470" s="32" t="s">
        <v>125</v>
      </c>
      <c r="AA470" s="32" t="s">
        <v>90</v>
      </c>
      <c r="AB470" s="78" t="s">
        <v>91</v>
      </c>
      <c r="AC470" s="69" t="s">
        <v>92</v>
      </c>
      <c r="AD470" s="69" t="s">
        <v>506</v>
      </c>
      <c r="AE470" s="65" t="s">
        <v>137</v>
      </c>
      <c r="AF470" s="39" t="s">
        <v>314</v>
      </c>
      <c r="AG470" s="98" t="s">
        <v>75</v>
      </c>
      <c r="AH470" s="115">
        <v>650</v>
      </c>
      <c r="AI470" s="117" t="s">
        <v>76</v>
      </c>
      <c r="AJ470" s="115" t="s">
        <v>241</v>
      </c>
      <c r="AK470" s="73">
        <v>1779</v>
      </c>
      <c r="AL470" s="116">
        <f t="shared" si="54"/>
        <v>354021000</v>
      </c>
      <c r="AM470" s="116">
        <v>74</v>
      </c>
      <c r="AN470" s="116">
        <v>12237391</v>
      </c>
      <c r="AO470" s="116">
        <v>1177</v>
      </c>
      <c r="AP470" s="116">
        <v>216951839</v>
      </c>
      <c r="AQ470" s="116">
        <f t="shared" si="55"/>
        <v>1586.17</v>
      </c>
      <c r="AR470" s="116">
        <f t="shared" si="56"/>
        <v>290396003.60000002</v>
      </c>
      <c r="AS470" s="118">
        <v>0.89160764474423837</v>
      </c>
    </row>
    <row r="471" spans="2:45" x14ac:dyDescent="0.3">
      <c r="B471" s="126" t="s">
        <v>627</v>
      </c>
      <c r="C471" s="98" t="str">
        <f t="shared" si="57"/>
        <v>DJ790</v>
      </c>
      <c r="D471" s="98" t="s">
        <v>55</v>
      </c>
      <c r="E471" s="98" t="str">
        <f t="shared" si="59"/>
        <v>M</v>
      </c>
      <c r="F471" s="98" t="str">
        <f t="shared" si="60"/>
        <v>DJ</v>
      </c>
      <c r="G471" s="98" t="s">
        <v>56</v>
      </c>
      <c r="H471" s="115" t="s">
        <v>628</v>
      </c>
      <c r="I471" s="98" t="s">
        <v>78</v>
      </c>
      <c r="J471" s="115">
        <f t="shared" si="58"/>
        <v>1</v>
      </c>
      <c r="K471" s="115">
        <v>1</v>
      </c>
      <c r="L471" s="116">
        <v>279000</v>
      </c>
      <c r="M471" s="78" t="s">
        <v>83</v>
      </c>
      <c r="N471" s="98" t="s">
        <v>623</v>
      </c>
      <c r="O471" s="98" t="s">
        <v>485</v>
      </c>
      <c r="P471" s="98">
        <v>100</v>
      </c>
      <c r="Q471" s="32" t="s">
        <v>85</v>
      </c>
      <c r="R471" s="98" t="s">
        <v>86</v>
      </c>
      <c r="S471" s="32" t="s">
        <v>87</v>
      </c>
      <c r="T471" s="98" t="s">
        <v>65</v>
      </c>
      <c r="U471" s="98"/>
      <c r="V471" s="98" t="s">
        <v>66</v>
      </c>
      <c r="W471" s="98"/>
      <c r="X471" s="78" t="s">
        <v>67</v>
      </c>
      <c r="Y471" s="98" t="s">
        <v>88</v>
      </c>
      <c r="Z471" s="32" t="s">
        <v>125</v>
      </c>
      <c r="AA471" s="32" t="s">
        <v>90</v>
      </c>
      <c r="AB471" s="78" t="s">
        <v>91</v>
      </c>
      <c r="AC471" s="69" t="s">
        <v>92</v>
      </c>
      <c r="AD471" s="69" t="s">
        <v>506</v>
      </c>
      <c r="AE471" s="65" t="s">
        <v>137</v>
      </c>
      <c r="AF471" s="39" t="s">
        <v>333</v>
      </c>
      <c r="AG471" s="98" t="s">
        <v>75</v>
      </c>
      <c r="AH471" s="115">
        <v>650</v>
      </c>
      <c r="AI471" s="117" t="s">
        <v>76</v>
      </c>
      <c r="AJ471" s="115" t="s">
        <v>241</v>
      </c>
      <c r="AK471" s="73">
        <v>6992</v>
      </c>
      <c r="AL471" s="116">
        <f t="shared" si="54"/>
        <v>1950768000</v>
      </c>
      <c r="AM471" s="116">
        <v>458</v>
      </c>
      <c r="AN471" s="116">
        <v>96953358</v>
      </c>
      <c r="AO471" s="116">
        <v>3479</v>
      </c>
      <c r="AP471" s="116">
        <v>849951458</v>
      </c>
      <c r="AQ471" s="116">
        <f t="shared" si="55"/>
        <v>5087.16</v>
      </c>
      <c r="AR471" s="116">
        <f t="shared" si="56"/>
        <v>1305772228.8</v>
      </c>
      <c r="AS471" s="118">
        <v>0.72756864988558356</v>
      </c>
    </row>
    <row r="472" spans="2:45" x14ac:dyDescent="0.3">
      <c r="B472" s="126" t="s">
        <v>627</v>
      </c>
      <c r="C472" s="98" t="str">
        <f t="shared" si="57"/>
        <v>DJ790</v>
      </c>
      <c r="D472" s="98" t="s">
        <v>55</v>
      </c>
      <c r="E472" s="98" t="str">
        <f t="shared" si="59"/>
        <v>M</v>
      </c>
      <c r="F472" s="98" t="str">
        <f t="shared" si="60"/>
        <v>DJ</v>
      </c>
      <c r="G472" s="98" t="s">
        <v>56</v>
      </c>
      <c r="H472" s="115" t="s">
        <v>628</v>
      </c>
      <c r="I472" s="98" t="s">
        <v>242</v>
      </c>
      <c r="J472" s="115" t="str">
        <f t="shared" si="58"/>
        <v/>
      </c>
      <c r="K472" s="115">
        <v>1</v>
      </c>
      <c r="L472" s="116">
        <v>279000</v>
      </c>
      <c r="M472" s="78" t="s">
        <v>83</v>
      </c>
      <c r="N472" s="98" t="s">
        <v>623</v>
      </c>
      <c r="O472" s="98" t="s">
        <v>485</v>
      </c>
      <c r="P472" s="98">
        <v>100</v>
      </c>
      <c r="Q472" s="32" t="s">
        <v>85</v>
      </c>
      <c r="R472" s="98" t="s">
        <v>86</v>
      </c>
      <c r="S472" s="32" t="s">
        <v>87</v>
      </c>
      <c r="T472" s="98" t="s">
        <v>65</v>
      </c>
      <c r="U472" s="98"/>
      <c r="V472" s="98" t="s">
        <v>66</v>
      </c>
      <c r="W472" s="98"/>
      <c r="X472" s="78" t="s">
        <v>67</v>
      </c>
      <c r="Y472" s="98" t="s">
        <v>88</v>
      </c>
      <c r="Z472" s="32" t="s">
        <v>125</v>
      </c>
      <c r="AA472" s="32" t="s">
        <v>90</v>
      </c>
      <c r="AB472" s="78" t="s">
        <v>91</v>
      </c>
      <c r="AC472" s="69" t="s">
        <v>92</v>
      </c>
      <c r="AD472" s="69" t="s">
        <v>506</v>
      </c>
      <c r="AE472" s="65" t="s">
        <v>137</v>
      </c>
      <c r="AF472" s="39" t="s">
        <v>333</v>
      </c>
      <c r="AG472" s="98" t="s">
        <v>75</v>
      </c>
      <c r="AH472" s="115">
        <v>650</v>
      </c>
      <c r="AI472" s="117" t="s">
        <v>76</v>
      </c>
      <c r="AJ472" s="115" t="s">
        <v>241</v>
      </c>
      <c r="AK472" s="73">
        <v>1998</v>
      </c>
      <c r="AL472" s="116">
        <f t="shared" si="54"/>
        <v>557442000</v>
      </c>
      <c r="AM472" s="116">
        <v>9</v>
      </c>
      <c r="AN472" s="116">
        <v>2267204</v>
      </c>
      <c r="AO472" s="116">
        <v>270</v>
      </c>
      <c r="AP472" s="116">
        <v>70183218</v>
      </c>
      <c r="AQ472" s="116">
        <f t="shared" si="55"/>
        <v>729.54000000000008</v>
      </c>
      <c r="AR472" s="116">
        <f t="shared" si="56"/>
        <v>187258327.20000005</v>
      </c>
      <c r="AS472" s="118">
        <v>0.36513513513513518</v>
      </c>
    </row>
    <row r="473" spans="2:45" x14ac:dyDescent="0.3">
      <c r="B473" s="126" t="s">
        <v>629</v>
      </c>
      <c r="C473" s="98" t="str">
        <f t="shared" si="57"/>
        <v>DJ790</v>
      </c>
      <c r="D473" s="98" t="s">
        <v>55</v>
      </c>
      <c r="E473" s="98" t="str">
        <f t="shared" si="59"/>
        <v>M</v>
      </c>
      <c r="F473" s="98" t="str">
        <f t="shared" si="60"/>
        <v>DJ</v>
      </c>
      <c r="G473" s="98" t="s">
        <v>56</v>
      </c>
      <c r="H473" s="115" t="s">
        <v>628</v>
      </c>
      <c r="I473" s="98" t="s">
        <v>547</v>
      </c>
      <c r="J473" s="115" t="str">
        <f t="shared" si="58"/>
        <v/>
      </c>
      <c r="K473" s="115">
        <v>1</v>
      </c>
      <c r="L473" s="116">
        <v>279000</v>
      </c>
      <c r="M473" s="124" t="s">
        <v>509</v>
      </c>
      <c r="N473" s="125" t="s">
        <v>630</v>
      </c>
      <c r="O473" s="98" t="s">
        <v>143</v>
      </c>
      <c r="P473" s="98">
        <v>100</v>
      </c>
      <c r="Q473" s="32" t="s">
        <v>62</v>
      </c>
      <c r="R473" s="98" t="s">
        <v>239</v>
      </c>
      <c r="S473" s="32" t="s">
        <v>631</v>
      </c>
      <c r="T473" s="98" t="s">
        <v>65</v>
      </c>
      <c r="U473" s="98"/>
      <c r="V473" s="98" t="s">
        <v>66</v>
      </c>
      <c r="W473" s="98"/>
      <c r="X473" s="78" t="s">
        <v>67</v>
      </c>
      <c r="Y473" s="98" t="s">
        <v>88</v>
      </c>
      <c r="Z473" s="32" t="s">
        <v>632</v>
      </c>
      <c r="AA473" s="32" t="s">
        <v>426</v>
      </c>
      <c r="AB473" s="78" t="s">
        <v>91</v>
      </c>
      <c r="AC473" s="69" t="s">
        <v>92</v>
      </c>
      <c r="AD473" s="69" t="s">
        <v>506</v>
      </c>
      <c r="AE473" s="65" t="s">
        <v>137</v>
      </c>
      <c r="AF473" s="39" t="s">
        <v>333</v>
      </c>
      <c r="AG473" s="98" t="s">
        <v>75</v>
      </c>
      <c r="AH473" s="115">
        <v>650</v>
      </c>
      <c r="AI473" s="117" t="s">
        <v>76</v>
      </c>
      <c r="AJ473" s="115" t="s">
        <v>241</v>
      </c>
      <c r="AK473" s="73">
        <v>2000</v>
      </c>
      <c r="AL473" s="116">
        <f t="shared" ref="AL473:AL536" si="61">AK473*L473</f>
        <v>558000000</v>
      </c>
      <c r="AM473" s="116">
        <v>26</v>
      </c>
      <c r="AN473" s="116">
        <v>6902553</v>
      </c>
      <c r="AO473" s="116">
        <v>246</v>
      </c>
      <c r="AP473" s="116">
        <v>63288462</v>
      </c>
      <c r="AQ473" s="116">
        <f t="shared" ref="AQ473:AQ536" si="62">AK473*AS473</f>
        <v>706</v>
      </c>
      <c r="AR473" s="116">
        <f t="shared" ref="AR473:AR536" si="63">(AL473*AS473)*0.92</f>
        <v>181216080</v>
      </c>
      <c r="AS473" s="118">
        <v>0.35299999999999998</v>
      </c>
    </row>
    <row r="474" spans="2:45" x14ac:dyDescent="0.3">
      <c r="B474" s="126" t="s">
        <v>627</v>
      </c>
      <c r="C474" s="98" t="str">
        <f t="shared" ref="C474:C537" si="64">MID(B474,3,5)</f>
        <v>DJ790</v>
      </c>
      <c r="D474" s="98" t="s">
        <v>55</v>
      </c>
      <c r="E474" s="98" t="str">
        <f t="shared" si="59"/>
        <v>M</v>
      </c>
      <c r="F474" s="98" t="str">
        <f t="shared" si="60"/>
        <v>DJ</v>
      </c>
      <c r="G474" s="98" t="s">
        <v>56</v>
      </c>
      <c r="H474" s="115" t="s">
        <v>628</v>
      </c>
      <c r="I474" s="98" t="s">
        <v>215</v>
      </c>
      <c r="J474" s="115" t="str">
        <f t="shared" ref="J474:J537" si="65">IF(B474=B473,"",1)</f>
        <v/>
      </c>
      <c r="K474" s="115">
        <v>1</v>
      </c>
      <c r="L474" s="116">
        <v>279000</v>
      </c>
      <c r="M474" s="78" t="s">
        <v>83</v>
      </c>
      <c r="N474" s="98" t="s">
        <v>623</v>
      </c>
      <c r="O474" s="98" t="s">
        <v>485</v>
      </c>
      <c r="P474" s="98">
        <v>100</v>
      </c>
      <c r="Q474" s="32" t="s">
        <v>85</v>
      </c>
      <c r="R474" s="98" t="s">
        <v>86</v>
      </c>
      <c r="S474" s="32" t="s">
        <v>87</v>
      </c>
      <c r="T474" s="98" t="s">
        <v>65</v>
      </c>
      <c r="U474" s="98"/>
      <c r="V474" s="98" t="s">
        <v>66</v>
      </c>
      <c r="W474" s="98"/>
      <c r="X474" s="78" t="s">
        <v>67</v>
      </c>
      <c r="Y474" s="98" t="s">
        <v>88</v>
      </c>
      <c r="Z474" s="32" t="s">
        <v>125</v>
      </c>
      <c r="AA474" s="32" t="s">
        <v>90</v>
      </c>
      <c r="AB474" s="78" t="s">
        <v>91</v>
      </c>
      <c r="AC474" s="69" t="s">
        <v>92</v>
      </c>
      <c r="AD474" s="69" t="s">
        <v>506</v>
      </c>
      <c r="AE474" s="65" t="s">
        <v>137</v>
      </c>
      <c r="AF474" s="39" t="s">
        <v>333</v>
      </c>
      <c r="AG474" s="98" t="s">
        <v>75</v>
      </c>
      <c r="AH474" s="115">
        <v>650</v>
      </c>
      <c r="AI474" s="117" t="s">
        <v>76</v>
      </c>
      <c r="AJ474" s="115" t="s">
        <v>241</v>
      </c>
      <c r="AK474" s="73">
        <v>3405</v>
      </c>
      <c r="AL474" s="116">
        <f t="shared" si="61"/>
        <v>949995000</v>
      </c>
      <c r="AM474" s="116">
        <v>60</v>
      </c>
      <c r="AN474" s="116">
        <v>15698686</v>
      </c>
      <c r="AO474" s="116">
        <v>697</v>
      </c>
      <c r="AP474" s="116">
        <v>179271823</v>
      </c>
      <c r="AQ474" s="116">
        <f t="shared" si="62"/>
        <v>1480.15</v>
      </c>
      <c r="AR474" s="116">
        <f t="shared" si="63"/>
        <v>379924902.00000006</v>
      </c>
      <c r="AS474" s="118">
        <v>0.4346989720998532</v>
      </c>
    </row>
    <row r="475" spans="2:45" x14ac:dyDescent="0.3">
      <c r="B475" s="126" t="s">
        <v>627</v>
      </c>
      <c r="C475" s="98" t="str">
        <f t="shared" si="64"/>
        <v>DJ790</v>
      </c>
      <c r="D475" s="98" t="s">
        <v>55</v>
      </c>
      <c r="E475" s="98" t="str">
        <f t="shared" si="59"/>
        <v>M</v>
      </c>
      <c r="F475" s="98" t="str">
        <f t="shared" si="60"/>
        <v>DJ</v>
      </c>
      <c r="G475" s="98" t="s">
        <v>56</v>
      </c>
      <c r="H475" s="115" t="s">
        <v>628</v>
      </c>
      <c r="I475" s="98" t="s">
        <v>633</v>
      </c>
      <c r="J475" s="115" t="str">
        <f t="shared" si="65"/>
        <v/>
      </c>
      <c r="K475" s="115">
        <v>1</v>
      </c>
      <c r="L475" s="116">
        <v>279000</v>
      </c>
      <c r="M475" s="124" t="s">
        <v>509</v>
      </c>
      <c r="N475" s="125" t="s">
        <v>630</v>
      </c>
      <c r="O475" s="98" t="s">
        <v>143</v>
      </c>
      <c r="P475" s="98">
        <v>100</v>
      </c>
      <c r="Q475" s="32" t="s">
        <v>62</v>
      </c>
      <c r="R475" s="98" t="s">
        <v>239</v>
      </c>
      <c r="S475" s="32" t="s">
        <v>631</v>
      </c>
      <c r="T475" s="98" t="s">
        <v>65</v>
      </c>
      <c r="U475" s="98"/>
      <c r="V475" s="98" t="s">
        <v>66</v>
      </c>
      <c r="W475" s="98"/>
      <c r="X475" s="78" t="s">
        <v>67</v>
      </c>
      <c r="Y475" s="98" t="s">
        <v>88</v>
      </c>
      <c r="Z475" s="32" t="s">
        <v>632</v>
      </c>
      <c r="AA475" s="32" t="s">
        <v>426</v>
      </c>
      <c r="AB475" s="78" t="s">
        <v>91</v>
      </c>
      <c r="AC475" s="69" t="s">
        <v>92</v>
      </c>
      <c r="AD475" s="69" t="s">
        <v>506</v>
      </c>
      <c r="AE475" s="65" t="s">
        <v>137</v>
      </c>
      <c r="AF475" s="39" t="s">
        <v>333</v>
      </c>
      <c r="AG475" s="98" t="s">
        <v>75</v>
      </c>
      <c r="AH475" s="115">
        <v>650</v>
      </c>
      <c r="AI475" s="117" t="s">
        <v>76</v>
      </c>
      <c r="AJ475" s="115" t="s">
        <v>241</v>
      </c>
      <c r="AK475" s="73">
        <v>2999</v>
      </c>
      <c r="AL475" s="116">
        <f t="shared" si="61"/>
        <v>836721000</v>
      </c>
      <c r="AM475" s="116">
        <v>112</v>
      </c>
      <c r="AN475" s="116">
        <v>28270332</v>
      </c>
      <c r="AO475" s="116">
        <v>1079</v>
      </c>
      <c r="AP475" s="116">
        <v>282861343</v>
      </c>
      <c r="AQ475" s="116">
        <f t="shared" si="62"/>
        <v>1768.7700000000002</v>
      </c>
      <c r="AR475" s="116">
        <f t="shared" si="63"/>
        <v>454007883.60000002</v>
      </c>
      <c r="AS475" s="118">
        <v>0.58978659553184398</v>
      </c>
    </row>
    <row r="476" spans="2:45" x14ac:dyDescent="0.3">
      <c r="B476" s="126" t="s">
        <v>634</v>
      </c>
      <c r="C476" s="98" t="str">
        <f t="shared" si="64"/>
        <v>DJ800</v>
      </c>
      <c r="D476" s="98" t="s">
        <v>55</v>
      </c>
      <c r="E476" s="98" t="str">
        <f t="shared" si="59"/>
        <v>W</v>
      </c>
      <c r="F476" s="98" t="str">
        <f t="shared" si="60"/>
        <v>DJ</v>
      </c>
      <c r="G476" s="98" t="s">
        <v>56</v>
      </c>
      <c r="H476" s="115" t="s">
        <v>635</v>
      </c>
      <c r="I476" s="98" t="s">
        <v>215</v>
      </c>
      <c r="J476" s="115">
        <f t="shared" si="65"/>
        <v>1</v>
      </c>
      <c r="K476" s="115">
        <v>1</v>
      </c>
      <c r="L476" s="116">
        <v>279000</v>
      </c>
      <c r="M476" s="78" t="s">
        <v>83</v>
      </c>
      <c r="N476" s="98" t="s">
        <v>626</v>
      </c>
      <c r="O476" s="98" t="s">
        <v>485</v>
      </c>
      <c r="P476" s="98">
        <v>100</v>
      </c>
      <c r="Q476" s="32" t="s">
        <v>85</v>
      </c>
      <c r="R476" s="98" t="s">
        <v>86</v>
      </c>
      <c r="S476" s="32" t="s">
        <v>87</v>
      </c>
      <c r="T476" s="98" t="s">
        <v>65</v>
      </c>
      <c r="U476" s="98"/>
      <c r="V476" s="98" t="s">
        <v>66</v>
      </c>
      <c r="W476" s="98"/>
      <c r="X476" s="78" t="s">
        <v>67</v>
      </c>
      <c r="Y476" s="98" t="s">
        <v>88</v>
      </c>
      <c r="Z476" s="32" t="s">
        <v>125</v>
      </c>
      <c r="AA476" s="32" t="s">
        <v>90</v>
      </c>
      <c r="AB476" s="78" t="s">
        <v>91</v>
      </c>
      <c r="AC476" s="69" t="s">
        <v>92</v>
      </c>
      <c r="AD476" s="69" t="s">
        <v>506</v>
      </c>
      <c r="AE476" s="65" t="s">
        <v>137</v>
      </c>
      <c r="AF476" s="39" t="s">
        <v>321</v>
      </c>
      <c r="AG476" s="98" t="s">
        <v>75</v>
      </c>
      <c r="AH476" s="115">
        <v>650</v>
      </c>
      <c r="AI476" s="117" t="s">
        <v>76</v>
      </c>
      <c r="AJ476" s="115" t="s">
        <v>241</v>
      </c>
      <c r="AK476" s="73">
        <v>1495</v>
      </c>
      <c r="AL476" s="116">
        <f t="shared" si="61"/>
        <v>417105000</v>
      </c>
      <c r="AM476" s="116">
        <v>10</v>
      </c>
      <c r="AN476" s="116">
        <v>2588371</v>
      </c>
      <c r="AO476" s="116">
        <v>130</v>
      </c>
      <c r="AP476" s="116">
        <v>33964671</v>
      </c>
      <c r="AQ476" s="116">
        <f t="shared" si="62"/>
        <v>473.85000000000008</v>
      </c>
      <c r="AR476" s="116">
        <f t="shared" si="63"/>
        <v>121627818.00000001</v>
      </c>
      <c r="AS476" s="118">
        <v>0.31695652173913047</v>
      </c>
    </row>
    <row r="477" spans="2:45" x14ac:dyDescent="0.3">
      <c r="B477" s="126" t="s">
        <v>634</v>
      </c>
      <c r="C477" s="98" t="str">
        <f t="shared" si="64"/>
        <v>DJ800</v>
      </c>
      <c r="D477" s="98" t="s">
        <v>55</v>
      </c>
      <c r="E477" s="98" t="str">
        <f t="shared" si="59"/>
        <v>W</v>
      </c>
      <c r="F477" s="98" t="str">
        <f t="shared" si="60"/>
        <v>DJ</v>
      </c>
      <c r="G477" s="98" t="s">
        <v>56</v>
      </c>
      <c r="H477" s="115" t="s">
        <v>635</v>
      </c>
      <c r="I477" s="98" t="s">
        <v>78</v>
      </c>
      <c r="J477" s="115" t="str">
        <f t="shared" si="65"/>
        <v/>
      </c>
      <c r="K477" s="115">
        <v>1</v>
      </c>
      <c r="L477" s="116">
        <v>279000</v>
      </c>
      <c r="M477" s="78" t="s">
        <v>83</v>
      </c>
      <c r="N477" s="98" t="s">
        <v>626</v>
      </c>
      <c r="O477" s="98" t="s">
        <v>485</v>
      </c>
      <c r="P477" s="98">
        <v>100</v>
      </c>
      <c r="Q477" s="32" t="s">
        <v>85</v>
      </c>
      <c r="R477" s="98" t="s">
        <v>86</v>
      </c>
      <c r="S477" s="32" t="s">
        <v>87</v>
      </c>
      <c r="T477" s="98" t="s">
        <v>65</v>
      </c>
      <c r="U477" s="98"/>
      <c r="V477" s="98" t="s">
        <v>66</v>
      </c>
      <c r="W477" s="98"/>
      <c r="X477" s="78" t="s">
        <v>67</v>
      </c>
      <c r="Y477" s="98" t="s">
        <v>88</v>
      </c>
      <c r="Z477" s="32" t="s">
        <v>125</v>
      </c>
      <c r="AA477" s="32" t="s">
        <v>90</v>
      </c>
      <c r="AB477" s="78" t="s">
        <v>91</v>
      </c>
      <c r="AC477" s="69" t="s">
        <v>92</v>
      </c>
      <c r="AD477" s="69" t="s">
        <v>506</v>
      </c>
      <c r="AE477" s="65" t="s">
        <v>137</v>
      </c>
      <c r="AF477" s="39" t="s">
        <v>321</v>
      </c>
      <c r="AG477" s="98" t="s">
        <v>75</v>
      </c>
      <c r="AH477" s="115">
        <v>650</v>
      </c>
      <c r="AI477" s="117" t="s">
        <v>76</v>
      </c>
      <c r="AJ477" s="115" t="s">
        <v>241</v>
      </c>
      <c r="AK477" s="73">
        <v>2495</v>
      </c>
      <c r="AL477" s="116">
        <f t="shared" si="61"/>
        <v>696105000</v>
      </c>
      <c r="AM477" s="116">
        <v>93</v>
      </c>
      <c r="AN477" s="116">
        <v>21551597</v>
      </c>
      <c r="AO477" s="116">
        <v>949</v>
      </c>
      <c r="AP477" s="116">
        <v>240733866</v>
      </c>
      <c r="AQ477" s="116">
        <f t="shared" si="62"/>
        <v>1522.85</v>
      </c>
      <c r="AR477" s="116">
        <f t="shared" si="63"/>
        <v>390885138</v>
      </c>
      <c r="AS477" s="118">
        <v>0.61036072144288578</v>
      </c>
    </row>
    <row r="478" spans="2:45" x14ac:dyDescent="0.3">
      <c r="B478" s="126" t="s">
        <v>634</v>
      </c>
      <c r="C478" s="98" t="str">
        <f t="shared" si="64"/>
        <v>DJ800</v>
      </c>
      <c r="D478" s="98" t="s">
        <v>55</v>
      </c>
      <c r="E478" s="98" t="str">
        <f t="shared" si="59"/>
        <v>W</v>
      </c>
      <c r="F478" s="98" t="str">
        <f t="shared" si="60"/>
        <v>DJ</v>
      </c>
      <c r="G478" s="98" t="s">
        <v>56</v>
      </c>
      <c r="H478" s="115" t="s">
        <v>635</v>
      </c>
      <c r="I478" s="98" t="s">
        <v>260</v>
      </c>
      <c r="J478" s="115" t="str">
        <f t="shared" si="65"/>
        <v/>
      </c>
      <c r="K478" s="115">
        <v>1</v>
      </c>
      <c r="L478" s="116">
        <v>279000</v>
      </c>
      <c r="M478" s="78" t="s">
        <v>83</v>
      </c>
      <c r="N478" s="98" t="s">
        <v>626</v>
      </c>
      <c r="O478" s="98" t="s">
        <v>485</v>
      </c>
      <c r="P478" s="98">
        <v>100</v>
      </c>
      <c r="Q478" s="32" t="s">
        <v>85</v>
      </c>
      <c r="R478" s="98" t="s">
        <v>86</v>
      </c>
      <c r="S478" s="32" t="s">
        <v>87</v>
      </c>
      <c r="T478" s="98" t="s">
        <v>65</v>
      </c>
      <c r="U478" s="98"/>
      <c r="V478" s="98" t="s">
        <v>66</v>
      </c>
      <c r="W478" s="98"/>
      <c r="X478" s="78" t="s">
        <v>67</v>
      </c>
      <c r="Y478" s="98" t="s">
        <v>88</v>
      </c>
      <c r="Z478" s="32" t="s">
        <v>125</v>
      </c>
      <c r="AA478" s="32" t="s">
        <v>90</v>
      </c>
      <c r="AB478" s="78" t="s">
        <v>91</v>
      </c>
      <c r="AC478" s="69" t="s">
        <v>92</v>
      </c>
      <c r="AD478" s="69" t="s">
        <v>506</v>
      </c>
      <c r="AE478" s="65" t="s">
        <v>137</v>
      </c>
      <c r="AF478" s="39" t="s">
        <v>321</v>
      </c>
      <c r="AG478" s="98" t="s">
        <v>75</v>
      </c>
      <c r="AH478" s="115">
        <v>650</v>
      </c>
      <c r="AI478" s="117" t="s">
        <v>76</v>
      </c>
      <c r="AJ478" s="115" t="s">
        <v>241</v>
      </c>
      <c r="AK478" s="73">
        <v>1494</v>
      </c>
      <c r="AL478" s="116">
        <f t="shared" si="61"/>
        <v>416826000</v>
      </c>
      <c r="AM478" s="116">
        <v>17</v>
      </c>
      <c r="AN478" s="116">
        <v>4383202</v>
      </c>
      <c r="AO478" s="116">
        <v>291</v>
      </c>
      <c r="AP478" s="116">
        <v>75869745</v>
      </c>
      <c r="AQ478" s="116">
        <f t="shared" si="62"/>
        <v>634.62</v>
      </c>
      <c r="AR478" s="116">
        <f t="shared" si="63"/>
        <v>162894261.59999999</v>
      </c>
      <c r="AS478" s="118">
        <v>0.42477911646586347</v>
      </c>
    </row>
    <row r="479" spans="2:45" x14ac:dyDescent="0.3">
      <c r="B479" s="126" t="s">
        <v>636</v>
      </c>
      <c r="C479" s="98" t="str">
        <f t="shared" si="64"/>
        <v>DJ810</v>
      </c>
      <c r="D479" s="98" t="s">
        <v>55</v>
      </c>
      <c r="E479" s="98" t="str">
        <f t="shared" si="59"/>
        <v>M</v>
      </c>
      <c r="F479" s="98" t="str">
        <f t="shared" si="60"/>
        <v>DJ</v>
      </c>
      <c r="G479" s="98" t="s">
        <v>56</v>
      </c>
      <c r="H479" s="115" t="s">
        <v>637</v>
      </c>
      <c r="I479" s="98" t="s">
        <v>78</v>
      </c>
      <c r="J479" s="115">
        <f t="shared" si="65"/>
        <v>1</v>
      </c>
      <c r="K479" s="115">
        <v>1</v>
      </c>
      <c r="L479" s="116">
        <v>299000</v>
      </c>
      <c r="M479" s="78" t="s">
        <v>509</v>
      </c>
      <c r="N479" s="98" t="s">
        <v>510</v>
      </c>
      <c r="O479" s="98" t="s">
        <v>143</v>
      </c>
      <c r="P479" s="98">
        <v>100</v>
      </c>
      <c r="Q479" s="32" t="s">
        <v>62</v>
      </c>
      <c r="R479" s="98" t="s">
        <v>63</v>
      </c>
      <c r="S479" s="32" t="s">
        <v>72</v>
      </c>
      <c r="T479" s="98" t="s">
        <v>65</v>
      </c>
      <c r="U479" s="98"/>
      <c r="V479" s="98" t="s">
        <v>66</v>
      </c>
      <c r="W479" s="98"/>
      <c r="X479" s="78" t="s">
        <v>67</v>
      </c>
      <c r="Y479" s="98" t="s">
        <v>68</v>
      </c>
      <c r="Z479" s="32" t="s">
        <v>238</v>
      </c>
      <c r="AA479" s="32" t="s">
        <v>90</v>
      </c>
      <c r="AB479" s="78" t="s">
        <v>91</v>
      </c>
      <c r="AC479" s="69" t="s">
        <v>92</v>
      </c>
      <c r="AD479" s="69" t="s">
        <v>506</v>
      </c>
      <c r="AE479" s="65" t="s">
        <v>137</v>
      </c>
      <c r="AF479" s="39" t="s">
        <v>86</v>
      </c>
      <c r="AG479" s="98" t="s">
        <v>75</v>
      </c>
      <c r="AH479" s="115">
        <v>650</v>
      </c>
      <c r="AI479" s="117" t="s">
        <v>76</v>
      </c>
      <c r="AJ479" s="115" t="s">
        <v>241</v>
      </c>
      <c r="AK479" s="73">
        <v>3499</v>
      </c>
      <c r="AL479" s="116">
        <f t="shared" si="61"/>
        <v>1046201000</v>
      </c>
      <c r="AM479" s="116">
        <v>121</v>
      </c>
      <c r="AN479" s="116">
        <v>27920672</v>
      </c>
      <c r="AO479" s="116">
        <v>1053</v>
      </c>
      <c r="AP479" s="116">
        <v>288122243</v>
      </c>
      <c r="AQ479" s="116">
        <f t="shared" si="62"/>
        <v>1857.7700000000002</v>
      </c>
      <c r="AR479" s="116">
        <f t="shared" si="63"/>
        <v>511035371.60000014</v>
      </c>
      <c r="AS479" s="118">
        <v>0.53094312660760223</v>
      </c>
    </row>
    <row r="480" spans="2:45" x14ac:dyDescent="0.3">
      <c r="B480" s="126" t="s">
        <v>636</v>
      </c>
      <c r="C480" s="98" t="str">
        <f t="shared" si="64"/>
        <v>DJ810</v>
      </c>
      <c r="D480" s="98" t="s">
        <v>55</v>
      </c>
      <c r="E480" s="98" t="str">
        <f t="shared" si="59"/>
        <v>M</v>
      </c>
      <c r="F480" s="98" t="str">
        <f t="shared" si="60"/>
        <v>DJ</v>
      </c>
      <c r="G480" s="98" t="s">
        <v>56</v>
      </c>
      <c r="H480" s="115" t="s">
        <v>637</v>
      </c>
      <c r="I480" s="98" t="s">
        <v>318</v>
      </c>
      <c r="J480" s="115" t="str">
        <f t="shared" si="65"/>
        <v/>
      </c>
      <c r="K480" s="115">
        <v>1</v>
      </c>
      <c r="L480" s="116">
        <v>299000</v>
      </c>
      <c r="M480" s="78" t="s">
        <v>509</v>
      </c>
      <c r="N480" s="98" t="s">
        <v>510</v>
      </c>
      <c r="O480" s="98" t="s">
        <v>143</v>
      </c>
      <c r="P480" s="98">
        <v>100</v>
      </c>
      <c r="Q480" s="32" t="s">
        <v>62</v>
      </c>
      <c r="R480" s="98" t="s">
        <v>63</v>
      </c>
      <c r="S480" s="32" t="s">
        <v>72</v>
      </c>
      <c r="T480" s="98" t="s">
        <v>182</v>
      </c>
      <c r="U480" s="98"/>
      <c r="V480" s="98" t="s">
        <v>66</v>
      </c>
      <c r="W480" s="98"/>
      <c r="X480" s="78" t="s">
        <v>67</v>
      </c>
      <c r="Y480" s="98" t="s">
        <v>68</v>
      </c>
      <c r="Z480" s="32" t="s">
        <v>238</v>
      </c>
      <c r="AA480" s="32" t="s">
        <v>90</v>
      </c>
      <c r="AB480" s="78" t="s">
        <v>91</v>
      </c>
      <c r="AC480" s="69" t="s">
        <v>92</v>
      </c>
      <c r="AD480" s="69" t="s">
        <v>506</v>
      </c>
      <c r="AE480" s="65" t="s">
        <v>137</v>
      </c>
      <c r="AF480" s="39" t="s">
        <v>86</v>
      </c>
      <c r="AG480" s="98" t="s">
        <v>75</v>
      </c>
      <c r="AH480" s="115">
        <v>650</v>
      </c>
      <c r="AI480" s="117" t="s">
        <v>76</v>
      </c>
      <c r="AJ480" s="115" t="s">
        <v>241</v>
      </c>
      <c r="AK480" s="73">
        <v>1189</v>
      </c>
      <c r="AL480" s="116">
        <f t="shared" si="61"/>
        <v>355511000</v>
      </c>
      <c r="AM480" s="116">
        <v>32</v>
      </c>
      <c r="AN480" s="116">
        <v>7350943</v>
      </c>
      <c r="AO480" s="116">
        <v>293</v>
      </c>
      <c r="AP480" s="116">
        <v>79106354</v>
      </c>
      <c r="AQ480" s="116">
        <f t="shared" si="62"/>
        <v>566.47</v>
      </c>
      <c r="AR480" s="116">
        <f t="shared" si="63"/>
        <v>155824567.60000002</v>
      </c>
      <c r="AS480" s="118">
        <v>0.47642556770395295</v>
      </c>
    </row>
    <row r="481" spans="2:45" x14ac:dyDescent="0.3">
      <c r="B481" s="126" t="s">
        <v>638</v>
      </c>
      <c r="C481" s="98" t="str">
        <f t="shared" si="64"/>
        <v>DJ820</v>
      </c>
      <c r="D481" s="98" t="s">
        <v>55</v>
      </c>
      <c r="E481" s="98" t="str">
        <f t="shared" si="59"/>
        <v>W</v>
      </c>
      <c r="F481" s="98" t="str">
        <f t="shared" si="60"/>
        <v>DJ</v>
      </c>
      <c r="G481" s="98" t="s">
        <v>56</v>
      </c>
      <c r="H481" s="115" t="s">
        <v>639</v>
      </c>
      <c r="I481" s="98" t="s">
        <v>78</v>
      </c>
      <c r="J481" s="115">
        <f t="shared" si="65"/>
        <v>1</v>
      </c>
      <c r="K481" s="115">
        <v>1</v>
      </c>
      <c r="L481" s="116">
        <v>299000</v>
      </c>
      <c r="M481" s="78" t="s">
        <v>509</v>
      </c>
      <c r="N481" s="98" t="s">
        <v>510</v>
      </c>
      <c r="O481" s="98" t="s">
        <v>143</v>
      </c>
      <c r="P481" s="98">
        <v>100</v>
      </c>
      <c r="Q481" s="32" t="s">
        <v>62</v>
      </c>
      <c r="R481" s="98" t="s">
        <v>63</v>
      </c>
      <c r="S481" s="32" t="s">
        <v>72</v>
      </c>
      <c r="T481" s="98" t="s">
        <v>65</v>
      </c>
      <c r="U481" s="98"/>
      <c r="V481" s="98" t="s">
        <v>66</v>
      </c>
      <c r="W481" s="98"/>
      <c r="X481" s="78" t="s">
        <v>67</v>
      </c>
      <c r="Y481" s="98" t="s">
        <v>68</v>
      </c>
      <c r="Z481" s="32" t="s">
        <v>238</v>
      </c>
      <c r="AA481" s="32" t="s">
        <v>90</v>
      </c>
      <c r="AB481" s="78" t="s">
        <v>91</v>
      </c>
      <c r="AC481" s="69" t="s">
        <v>92</v>
      </c>
      <c r="AD481" s="69" t="s">
        <v>506</v>
      </c>
      <c r="AE481" s="65" t="s">
        <v>137</v>
      </c>
      <c r="AF481" s="39" t="s">
        <v>326</v>
      </c>
      <c r="AG481" s="98" t="s">
        <v>75</v>
      </c>
      <c r="AH481" s="115">
        <v>650</v>
      </c>
      <c r="AI481" s="117" t="s">
        <v>76</v>
      </c>
      <c r="AJ481" s="115" t="s">
        <v>241</v>
      </c>
      <c r="AK481" s="73">
        <v>2989</v>
      </c>
      <c r="AL481" s="116">
        <f t="shared" si="61"/>
        <v>893711000</v>
      </c>
      <c r="AM481" s="116">
        <v>87</v>
      </c>
      <c r="AN481" s="116">
        <v>19576160</v>
      </c>
      <c r="AO481" s="116">
        <v>840</v>
      </c>
      <c r="AP481" s="116">
        <v>230974727</v>
      </c>
      <c r="AQ481" s="116">
        <f t="shared" si="62"/>
        <v>1527.4699999999998</v>
      </c>
      <c r="AR481" s="116">
        <f t="shared" si="63"/>
        <v>420176447.59999996</v>
      </c>
      <c r="AS481" s="118">
        <v>0.51103044496487116</v>
      </c>
    </row>
    <row r="482" spans="2:45" x14ac:dyDescent="0.3">
      <c r="B482" s="126" t="s">
        <v>638</v>
      </c>
      <c r="C482" s="98" t="str">
        <f t="shared" si="64"/>
        <v>DJ820</v>
      </c>
      <c r="D482" s="98" t="s">
        <v>55</v>
      </c>
      <c r="E482" s="98" t="str">
        <f t="shared" si="59"/>
        <v>W</v>
      </c>
      <c r="F482" s="98" t="str">
        <f t="shared" si="60"/>
        <v>DJ</v>
      </c>
      <c r="G482" s="98" t="s">
        <v>56</v>
      </c>
      <c r="H482" s="115" t="s">
        <v>639</v>
      </c>
      <c r="I482" s="98" t="s">
        <v>385</v>
      </c>
      <c r="J482" s="115" t="str">
        <f t="shared" si="65"/>
        <v/>
      </c>
      <c r="K482" s="115">
        <v>1</v>
      </c>
      <c r="L482" s="116">
        <v>299000</v>
      </c>
      <c r="M482" s="78" t="s">
        <v>509</v>
      </c>
      <c r="N482" s="98" t="s">
        <v>510</v>
      </c>
      <c r="O482" s="98" t="s">
        <v>143</v>
      </c>
      <c r="P482" s="98">
        <v>100</v>
      </c>
      <c r="Q482" s="32" t="s">
        <v>62</v>
      </c>
      <c r="R482" s="98" t="s">
        <v>63</v>
      </c>
      <c r="S482" s="32" t="s">
        <v>72</v>
      </c>
      <c r="T482" s="98" t="s">
        <v>182</v>
      </c>
      <c r="U482" s="98"/>
      <c r="V482" s="98" t="s">
        <v>66</v>
      </c>
      <c r="W482" s="98"/>
      <c r="X482" s="78" t="s">
        <v>67</v>
      </c>
      <c r="Y482" s="98" t="s">
        <v>68</v>
      </c>
      <c r="Z482" s="32" t="s">
        <v>238</v>
      </c>
      <c r="AA482" s="32" t="s">
        <v>90</v>
      </c>
      <c r="AB482" s="78" t="s">
        <v>91</v>
      </c>
      <c r="AC482" s="69" t="s">
        <v>92</v>
      </c>
      <c r="AD482" s="69" t="s">
        <v>506</v>
      </c>
      <c r="AE482" s="65" t="s">
        <v>137</v>
      </c>
      <c r="AF482" s="39" t="s">
        <v>326</v>
      </c>
      <c r="AG482" s="98" t="s">
        <v>75</v>
      </c>
      <c r="AH482" s="115">
        <v>650</v>
      </c>
      <c r="AI482" s="117" t="s">
        <v>76</v>
      </c>
      <c r="AJ482" s="115" t="s">
        <v>241</v>
      </c>
      <c r="AK482" s="73">
        <v>994</v>
      </c>
      <c r="AL482" s="116">
        <f t="shared" si="61"/>
        <v>297206000</v>
      </c>
      <c r="AM482" s="116">
        <v>36</v>
      </c>
      <c r="AN482" s="116">
        <v>8477506</v>
      </c>
      <c r="AO482" s="116">
        <v>604</v>
      </c>
      <c r="AP482" s="116">
        <v>168857209</v>
      </c>
      <c r="AQ482" s="116">
        <f t="shared" si="62"/>
        <v>832.62</v>
      </c>
      <c r="AR482" s="116">
        <f t="shared" si="63"/>
        <v>229037109.60000002</v>
      </c>
      <c r="AS482" s="118">
        <v>0.83764587525150902</v>
      </c>
    </row>
    <row r="483" spans="2:45" x14ac:dyDescent="0.3">
      <c r="B483" s="126" t="s">
        <v>640</v>
      </c>
      <c r="C483" s="98" t="str">
        <f t="shared" si="64"/>
        <v>DJ8A0</v>
      </c>
      <c r="D483" s="98" t="s">
        <v>55</v>
      </c>
      <c r="E483" s="98" t="str">
        <f t="shared" si="59"/>
        <v>M</v>
      </c>
      <c r="F483" s="98" t="str">
        <f t="shared" si="60"/>
        <v>DJ</v>
      </c>
      <c r="G483" s="98" t="s">
        <v>56</v>
      </c>
      <c r="H483" s="115" t="s">
        <v>641</v>
      </c>
      <c r="I483" s="98" t="s">
        <v>78</v>
      </c>
      <c r="J483" s="115">
        <f t="shared" si="65"/>
        <v>1</v>
      </c>
      <c r="K483" s="115">
        <v>1</v>
      </c>
      <c r="L483" s="116">
        <v>319000</v>
      </c>
      <c r="M483" s="78" t="s">
        <v>83</v>
      </c>
      <c r="N483" s="98" t="s">
        <v>623</v>
      </c>
      <c r="O483" s="98" t="s">
        <v>485</v>
      </c>
      <c r="P483" s="98">
        <v>100</v>
      </c>
      <c r="Q483" s="32" t="s">
        <v>85</v>
      </c>
      <c r="R483" s="98" t="s">
        <v>86</v>
      </c>
      <c r="S483" s="32" t="s">
        <v>87</v>
      </c>
      <c r="T483" s="98" t="s">
        <v>65</v>
      </c>
      <c r="U483" s="98"/>
      <c r="V483" s="98" t="s">
        <v>66</v>
      </c>
      <c r="W483" s="98"/>
      <c r="X483" s="78" t="s">
        <v>67</v>
      </c>
      <c r="Y483" s="98" t="s">
        <v>88</v>
      </c>
      <c r="Z483" s="32" t="s">
        <v>125</v>
      </c>
      <c r="AA483" s="32" t="s">
        <v>90</v>
      </c>
      <c r="AB483" s="78" t="s">
        <v>91</v>
      </c>
      <c r="AC483" s="69" t="s">
        <v>92</v>
      </c>
      <c r="AD483" s="69" t="s">
        <v>506</v>
      </c>
      <c r="AE483" s="65" t="s">
        <v>137</v>
      </c>
      <c r="AF483" s="39" t="s">
        <v>93</v>
      </c>
      <c r="AG483" s="98" t="s">
        <v>75</v>
      </c>
      <c r="AH483" s="115">
        <v>650</v>
      </c>
      <c r="AI483" s="117" t="s">
        <v>76</v>
      </c>
      <c r="AJ483" s="120" t="s">
        <v>642</v>
      </c>
      <c r="AK483" s="73">
        <v>2499</v>
      </c>
      <c r="AL483" s="116">
        <f t="shared" si="61"/>
        <v>797181000</v>
      </c>
      <c r="AM483" s="116">
        <v>56</v>
      </c>
      <c r="AN483" s="116">
        <v>14041000</v>
      </c>
      <c r="AO483" s="116">
        <v>355</v>
      </c>
      <c r="AP483" s="116">
        <v>103471242</v>
      </c>
      <c r="AQ483" s="116">
        <f t="shared" si="62"/>
        <v>929.7700000000001</v>
      </c>
      <c r="AR483" s="116">
        <f t="shared" si="63"/>
        <v>272868899.60000008</v>
      </c>
      <c r="AS483" s="118">
        <v>0.37205682272909169</v>
      </c>
    </row>
    <row r="484" spans="2:45" x14ac:dyDescent="0.3">
      <c r="B484" s="126" t="s">
        <v>640</v>
      </c>
      <c r="C484" s="98" t="str">
        <f t="shared" si="64"/>
        <v>DJ8A0</v>
      </c>
      <c r="D484" s="98" t="s">
        <v>55</v>
      </c>
      <c r="E484" s="98" t="str">
        <f t="shared" si="59"/>
        <v>M</v>
      </c>
      <c r="F484" s="98" t="str">
        <f t="shared" si="60"/>
        <v>DJ</v>
      </c>
      <c r="G484" s="98" t="s">
        <v>56</v>
      </c>
      <c r="H484" s="115" t="s">
        <v>641</v>
      </c>
      <c r="I484" s="98" t="s">
        <v>526</v>
      </c>
      <c r="J484" s="115" t="str">
        <f t="shared" si="65"/>
        <v/>
      </c>
      <c r="K484" s="115">
        <v>1</v>
      </c>
      <c r="L484" s="116">
        <v>319000</v>
      </c>
      <c r="M484" s="78" t="s">
        <v>83</v>
      </c>
      <c r="N484" s="98" t="s">
        <v>623</v>
      </c>
      <c r="O484" s="98" t="s">
        <v>485</v>
      </c>
      <c r="P484" s="98">
        <v>100</v>
      </c>
      <c r="Q484" s="32" t="s">
        <v>85</v>
      </c>
      <c r="R484" s="98" t="s">
        <v>86</v>
      </c>
      <c r="S484" s="32" t="s">
        <v>87</v>
      </c>
      <c r="T484" s="98" t="s">
        <v>65</v>
      </c>
      <c r="U484" s="98"/>
      <c r="V484" s="98" t="s">
        <v>66</v>
      </c>
      <c r="W484" s="98"/>
      <c r="X484" s="78" t="s">
        <v>67</v>
      </c>
      <c r="Y484" s="98" t="s">
        <v>88</v>
      </c>
      <c r="Z484" s="32" t="s">
        <v>125</v>
      </c>
      <c r="AA484" s="32" t="s">
        <v>90</v>
      </c>
      <c r="AB484" s="78" t="s">
        <v>91</v>
      </c>
      <c r="AC484" s="69" t="s">
        <v>92</v>
      </c>
      <c r="AD484" s="69" t="s">
        <v>506</v>
      </c>
      <c r="AE484" s="65" t="s">
        <v>137</v>
      </c>
      <c r="AF484" s="39" t="s">
        <v>93</v>
      </c>
      <c r="AG484" s="98" t="s">
        <v>75</v>
      </c>
      <c r="AH484" s="115">
        <v>650</v>
      </c>
      <c r="AI484" s="117" t="s">
        <v>76</v>
      </c>
      <c r="AJ484" s="120" t="s">
        <v>642</v>
      </c>
      <c r="AK484" s="73">
        <v>1510</v>
      </c>
      <c r="AL484" s="116">
        <f t="shared" si="61"/>
        <v>481690000</v>
      </c>
      <c r="AM484" s="116">
        <v>10</v>
      </c>
      <c r="AN484" s="116">
        <v>2161143</v>
      </c>
      <c r="AO484" s="116">
        <v>79</v>
      </c>
      <c r="AP484" s="116">
        <v>22886171</v>
      </c>
      <c r="AQ484" s="116">
        <f t="shared" si="62"/>
        <v>426.3</v>
      </c>
      <c r="AR484" s="116">
        <f t="shared" si="63"/>
        <v>125110524</v>
      </c>
      <c r="AS484" s="118">
        <v>0.28231788079470199</v>
      </c>
    </row>
    <row r="485" spans="2:45" x14ac:dyDescent="0.3">
      <c r="B485" s="126" t="s">
        <v>643</v>
      </c>
      <c r="C485" s="98" t="str">
        <f t="shared" si="64"/>
        <v>DJ830</v>
      </c>
      <c r="D485" s="98" t="s">
        <v>55</v>
      </c>
      <c r="E485" s="98" t="str">
        <f t="shared" si="59"/>
        <v>M</v>
      </c>
      <c r="F485" s="98" t="str">
        <f t="shared" si="60"/>
        <v>DJ</v>
      </c>
      <c r="G485" s="98" t="s">
        <v>56</v>
      </c>
      <c r="H485" s="115" t="s">
        <v>644</v>
      </c>
      <c r="I485" s="98" t="s">
        <v>78</v>
      </c>
      <c r="J485" s="115">
        <f t="shared" si="65"/>
        <v>1</v>
      </c>
      <c r="K485" s="115">
        <v>1</v>
      </c>
      <c r="L485" s="116">
        <v>289000</v>
      </c>
      <c r="M485" s="78" t="s">
        <v>83</v>
      </c>
      <c r="N485" s="98" t="s">
        <v>645</v>
      </c>
      <c r="O485" s="98" t="s">
        <v>485</v>
      </c>
      <c r="P485" s="98">
        <v>100</v>
      </c>
      <c r="Q485" s="32" t="s">
        <v>85</v>
      </c>
      <c r="R485" s="98" t="s">
        <v>86</v>
      </c>
      <c r="S485" s="32" t="s">
        <v>87</v>
      </c>
      <c r="T485" s="98" t="s">
        <v>65</v>
      </c>
      <c r="U485" s="98"/>
      <c r="V485" s="98" t="s">
        <v>66</v>
      </c>
      <c r="W485" s="98"/>
      <c r="X485" s="78" t="s">
        <v>67</v>
      </c>
      <c r="Y485" s="98" t="s">
        <v>88</v>
      </c>
      <c r="Z485" s="32" t="s">
        <v>125</v>
      </c>
      <c r="AA485" s="32" t="s">
        <v>90</v>
      </c>
      <c r="AB485" s="78" t="s">
        <v>91</v>
      </c>
      <c r="AC485" s="69" t="s">
        <v>92</v>
      </c>
      <c r="AD485" s="69" t="s">
        <v>506</v>
      </c>
      <c r="AE485" s="65" t="s">
        <v>73</v>
      </c>
      <c r="AF485" s="39" t="s">
        <v>169</v>
      </c>
      <c r="AG485" s="98" t="s">
        <v>75</v>
      </c>
      <c r="AH485" s="115">
        <v>650</v>
      </c>
      <c r="AI485" s="117" t="s">
        <v>76</v>
      </c>
      <c r="AJ485" s="115" t="s">
        <v>241</v>
      </c>
      <c r="AK485" s="73">
        <v>3697</v>
      </c>
      <c r="AL485" s="116">
        <f t="shared" si="61"/>
        <v>1068433000</v>
      </c>
      <c r="AM485" s="116">
        <v>230</v>
      </c>
      <c r="AN485" s="116">
        <v>55266332</v>
      </c>
      <c r="AO485" s="116">
        <v>2245</v>
      </c>
      <c r="AP485" s="116">
        <v>586438172</v>
      </c>
      <c r="AQ485" s="116">
        <f t="shared" si="62"/>
        <v>3095.31</v>
      </c>
      <c r="AR485" s="116">
        <f t="shared" si="63"/>
        <v>822981022.80000007</v>
      </c>
      <c r="AS485" s="118">
        <v>0.83724912090884496</v>
      </c>
    </row>
    <row r="486" spans="2:45" x14ac:dyDescent="0.3">
      <c r="B486" s="126" t="s">
        <v>643</v>
      </c>
      <c r="C486" s="98" t="str">
        <f t="shared" si="64"/>
        <v>DJ830</v>
      </c>
      <c r="D486" s="98" t="s">
        <v>55</v>
      </c>
      <c r="E486" s="98" t="str">
        <f t="shared" si="59"/>
        <v>M</v>
      </c>
      <c r="F486" s="98" t="str">
        <f t="shared" si="60"/>
        <v>DJ</v>
      </c>
      <c r="G486" s="98" t="s">
        <v>56</v>
      </c>
      <c r="H486" s="115" t="s">
        <v>644</v>
      </c>
      <c r="I486" s="98" t="s">
        <v>646</v>
      </c>
      <c r="J486" s="115" t="str">
        <f t="shared" si="65"/>
        <v/>
      </c>
      <c r="K486" s="115">
        <v>1</v>
      </c>
      <c r="L486" s="116">
        <v>289000</v>
      </c>
      <c r="M486" s="78" t="s">
        <v>83</v>
      </c>
      <c r="N486" s="98" t="s">
        <v>645</v>
      </c>
      <c r="O486" s="98" t="s">
        <v>485</v>
      </c>
      <c r="P486" s="98">
        <v>100</v>
      </c>
      <c r="Q486" s="32" t="s">
        <v>85</v>
      </c>
      <c r="R486" s="98" t="s">
        <v>86</v>
      </c>
      <c r="S486" s="32" t="s">
        <v>87</v>
      </c>
      <c r="T486" s="98" t="s">
        <v>65</v>
      </c>
      <c r="U486" s="98"/>
      <c r="V486" s="98" t="s">
        <v>66</v>
      </c>
      <c r="W486" s="98"/>
      <c r="X486" s="78" t="s">
        <v>67</v>
      </c>
      <c r="Y486" s="98" t="s">
        <v>88</v>
      </c>
      <c r="Z486" s="32" t="s">
        <v>125</v>
      </c>
      <c r="AA486" s="32" t="s">
        <v>90</v>
      </c>
      <c r="AB486" s="78" t="s">
        <v>91</v>
      </c>
      <c r="AC486" s="69" t="s">
        <v>92</v>
      </c>
      <c r="AD486" s="69" t="s">
        <v>506</v>
      </c>
      <c r="AE486" s="65" t="s">
        <v>73</v>
      </c>
      <c r="AF486" s="39" t="s">
        <v>169</v>
      </c>
      <c r="AG486" s="98" t="s">
        <v>75</v>
      </c>
      <c r="AH486" s="115">
        <v>650</v>
      </c>
      <c r="AI486" s="117" t="s">
        <v>76</v>
      </c>
      <c r="AJ486" s="115" t="s">
        <v>241</v>
      </c>
      <c r="AK486" s="73">
        <v>788</v>
      </c>
      <c r="AL486" s="116">
        <f t="shared" si="61"/>
        <v>227732000</v>
      </c>
      <c r="AM486" s="116">
        <v>13</v>
      </c>
      <c r="AN486" s="116">
        <v>3416607</v>
      </c>
      <c r="AO486" s="116">
        <v>170</v>
      </c>
      <c r="AP486" s="116">
        <v>45270474</v>
      </c>
      <c r="AQ486" s="116">
        <f t="shared" si="62"/>
        <v>351.24</v>
      </c>
      <c r="AR486" s="116">
        <f t="shared" si="63"/>
        <v>93387691.200000003</v>
      </c>
      <c r="AS486" s="118">
        <v>0.44573604060913707</v>
      </c>
    </row>
    <row r="487" spans="2:45" x14ac:dyDescent="0.3">
      <c r="B487" s="126" t="s">
        <v>643</v>
      </c>
      <c r="C487" s="98" t="str">
        <f t="shared" si="64"/>
        <v>DJ830</v>
      </c>
      <c r="D487" s="98" t="s">
        <v>55</v>
      </c>
      <c r="E487" s="98" t="str">
        <f t="shared" si="59"/>
        <v>M</v>
      </c>
      <c r="F487" s="98" t="str">
        <f t="shared" si="60"/>
        <v>DJ</v>
      </c>
      <c r="G487" s="98" t="s">
        <v>56</v>
      </c>
      <c r="H487" s="115" t="s">
        <v>644</v>
      </c>
      <c r="I487" s="98" t="s">
        <v>432</v>
      </c>
      <c r="J487" s="115" t="str">
        <f t="shared" si="65"/>
        <v/>
      </c>
      <c r="K487" s="115">
        <v>1</v>
      </c>
      <c r="L487" s="116">
        <v>289000</v>
      </c>
      <c r="M487" s="78" t="s">
        <v>83</v>
      </c>
      <c r="N487" s="98" t="s">
        <v>645</v>
      </c>
      <c r="O487" s="98" t="s">
        <v>485</v>
      </c>
      <c r="P487" s="98">
        <v>100</v>
      </c>
      <c r="Q487" s="32" t="s">
        <v>85</v>
      </c>
      <c r="R487" s="98" t="s">
        <v>86</v>
      </c>
      <c r="S487" s="32" t="s">
        <v>87</v>
      </c>
      <c r="T487" s="98" t="s">
        <v>65</v>
      </c>
      <c r="U487" s="98"/>
      <c r="V487" s="98" t="s">
        <v>66</v>
      </c>
      <c r="W487" s="98"/>
      <c r="X487" s="78" t="s">
        <v>67</v>
      </c>
      <c r="Y487" s="98" t="s">
        <v>88</v>
      </c>
      <c r="Z487" s="32" t="s">
        <v>125</v>
      </c>
      <c r="AA487" s="32" t="s">
        <v>90</v>
      </c>
      <c r="AB487" s="78" t="s">
        <v>91</v>
      </c>
      <c r="AC487" s="69" t="s">
        <v>92</v>
      </c>
      <c r="AD487" s="69" t="s">
        <v>506</v>
      </c>
      <c r="AE487" s="65" t="s">
        <v>73</v>
      </c>
      <c r="AF487" s="39" t="s">
        <v>169</v>
      </c>
      <c r="AG487" s="98" t="s">
        <v>75</v>
      </c>
      <c r="AH487" s="115">
        <v>650</v>
      </c>
      <c r="AI487" s="117" t="s">
        <v>76</v>
      </c>
      <c r="AJ487" s="115" t="s">
        <v>241</v>
      </c>
      <c r="AK487" s="73">
        <v>2168</v>
      </c>
      <c r="AL487" s="116">
        <f t="shared" si="61"/>
        <v>626552000</v>
      </c>
      <c r="AM487" s="116">
        <v>20</v>
      </c>
      <c r="AN487" s="116">
        <v>5124420</v>
      </c>
      <c r="AO487" s="116">
        <v>347</v>
      </c>
      <c r="AP487" s="116">
        <v>92581511</v>
      </c>
      <c r="AQ487" s="116">
        <f t="shared" si="62"/>
        <v>845.64</v>
      </c>
      <c r="AR487" s="116">
        <f t="shared" si="63"/>
        <v>224838763.20000002</v>
      </c>
      <c r="AS487" s="118">
        <v>0.39005535055350554</v>
      </c>
    </row>
    <row r="488" spans="2:45" x14ac:dyDescent="0.3">
      <c r="B488" s="126" t="s">
        <v>643</v>
      </c>
      <c r="C488" s="98" t="str">
        <f t="shared" si="64"/>
        <v>DJ830</v>
      </c>
      <c r="D488" s="98" t="s">
        <v>148</v>
      </c>
      <c r="E488" s="98" t="str">
        <f t="shared" si="59"/>
        <v>M</v>
      </c>
      <c r="F488" s="98" t="str">
        <f t="shared" si="60"/>
        <v>DJ</v>
      </c>
      <c r="G488" s="98" t="s">
        <v>56</v>
      </c>
      <c r="H488" s="115" t="s">
        <v>644</v>
      </c>
      <c r="I488" s="98" t="s">
        <v>179</v>
      </c>
      <c r="J488" s="115" t="str">
        <f t="shared" si="65"/>
        <v/>
      </c>
      <c r="K488" s="115">
        <v>1</v>
      </c>
      <c r="L488" s="116">
        <v>289000</v>
      </c>
      <c r="M488" s="78" t="s">
        <v>83</v>
      </c>
      <c r="N488" s="98" t="s">
        <v>645</v>
      </c>
      <c r="O488" s="98" t="s">
        <v>485</v>
      </c>
      <c r="P488" s="98">
        <v>100</v>
      </c>
      <c r="Q488" s="32" t="s">
        <v>85</v>
      </c>
      <c r="R488" s="98" t="s">
        <v>86</v>
      </c>
      <c r="S488" s="32" t="s">
        <v>87</v>
      </c>
      <c r="T488" s="98" t="s">
        <v>65</v>
      </c>
      <c r="U488" s="98"/>
      <c r="V488" s="98" t="s">
        <v>66</v>
      </c>
      <c r="W488" s="98"/>
      <c r="X488" s="78" t="s">
        <v>67</v>
      </c>
      <c r="Y488" s="98" t="s">
        <v>88</v>
      </c>
      <c r="Z488" s="32" t="s">
        <v>125</v>
      </c>
      <c r="AA488" s="32" t="s">
        <v>90</v>
      </c>
      <c r="AB488" s="78" t="s">
        <v>91</v>
      </c>
      <c r="AC488" s="69" t="s">
        <v>92</v>
      </c>
      <c r="AD488" s="69" t="s">
        <v>506</v>
      </c>
      <c r="AE488" s="65" t="s">
        <v>73</v>
      </c>
      <c r="AF488" s="39" t="s">
        <v>169</v>
      </c>
      <c r="AG488" s="98" t="s">
        <v>75</v>
      </c>
      <c r="AH488" s="115">
        <v>650</v>
      </c>
      <c r="AI488" s="117" t="s">
        <v>76</v>
      </c>
      <c r="AJ488" s="115" t="s">
        <v>241</v>
      </c>
      <c r="AK488" s="73">
        <v>802</v>
      </c>
      <c r="AL488" s="116">
        <f t="shared" si="61"/>
        <v>231778000</v>
      </c>
      <c r="AM488" s="116">
        <v>44</v>
      </c>
      <c r="AN488" s="116">
        <v>11015645</v>
      </c>
      <c r="AO488" s="116">
        <v>316</v>
      </c>
      <c r="AP488" s="116">
        <v>82999297</v>
      </c>
      <c r="AQ488" s="116">
        <f t="shared" si="62"/>
        <v>500.46</v>
      </c>
      <c r="AR488" s="116">
        <f t="shared" si="63"/>
        <v>133062304.80000001</v>
      </c>
      <c r="AS488" s="118">
        <v>0.62401496259351619</v>
      </c>
    </row>
    <row r="489" spans="2:45" x14ac:dyDescent="0.3">
      <c r="B489" s="126" t="s">
        <v>647</v>
      </c>
      <c r="C489" s="98" t="str">
        <f t="shared" si="64"/>
        <v>DJ840</v>
      </c>
      <c r="D489" s="98" t="s">
        <v>55</v>
      </c>
      <c r="E489" s="98" t="str">
        <f t="shared" si="59"/>
        <v>W</v>
      </c>
      <c r="F489" s="98" t="str">
        <f t="shared" si="60"/>
        <v>DJ</v>
      </c>
      <c r="G489" s="98" t="s">
        <v>56</v>
      </c>
      <c r="H489" s="115" t="s">
        <v>648</v>
      </c>
      <c r="I489" s="98" t="s">
        <v>646</v>
      </c>
      <c r="J489" s="115">
        <f t="shared" si="65"/>
        <v>1</v>
      </c>
      <c r="K489" s="115">
        <v>1</v>
      </c>
      <c r="L489" s="116">
        <v>289000</v>
      </c>
      <c r="M489" s="78" t="s">
        <v>83</v>
      </c>
      <c r="N489" s="98" t="s">
        <v>649</v>
      </c>
      <c r="O489" s="98" t="s">
        <v>485</v>
      </c>
      <c r="P489" s="98">
        <v>100</v>
      </c>
      <c r="Q489" s="32" t="s">
        <v>85</v>
      </c>
      <c r="R489" s="98" t="s">
        <v>86</v>
      </c>
      <c r="S489" s="32" t="s">
        <v>87</v>
      </c>
      <c r="T489" s="98" t="s">
        <v>65</v>
      </c>
      <c r="U489" s="98"/>
      <c r="V489" s="98" t="s">
        <v>66</v>
      </c>
      <c r="W489" s="98"/>
      <c r="X489" s="78" t="s">
        <v>67</v>
      </c>
      <c r="Y489" s="98" t="s">
        <v>88</v>
      </c>
      <c r="Z489" s="32" t="s">
        <v>125</v>
      </c>
      <c r="AA489" s="32" t="s">
        <v>90</v>
      </c>
      <c r="AB489" s="78" t="s">
        <v>91</v>
      </c>
      <c r="AC489" s="69" t="s">
        <v>92</v>
      </c>
      <c r="AD489" s="69" t="s">
        <v>506</v>
      </c>
      <c r="AE489" s="65" t="s">
        <v>73</v>
      </c>
      <c r="AF489" s="39" t="s">
        <v>112</v>
      </c>
      <c r="AG489" s="98" t="s">
        <v>75</v>
      </c>
      <c r="AH489" s="115">
        <v>650</v>
      </c>
      <c r="AI489" s="117" t="s">
        <v>76</v>
      </c>
      <c r="AJ489" s="115" t="s">
        <v>94</v>
      </c>
      <c r="AK489" s="73">
        <v>797</v>
      </c>
      <c r="AL489" s="116">
        <f t="shared" si="61"/>
        <v>230333000</v>
      </c>
      <c r="AM489" s="116">
        <v>19</v>
      </c>
      <c r="AN489" s="116">
        <v>5147144</v>
      </c>
      <c r="AO489" s="116">
        <v>336</v>
      </c>
      <c r="AP489" s="116">
        <v>90702244</v>
      </c>
      <c r="AQ489" s="116">
        <f t="shared" si="62"/>
        <v>519.31000000000006</v>
      </c>
      <c r="AR489" s="116">
        <f t="shared" si="63"/>
        <v>138074142.80000001</v>
      </c>
      <c r="AS489" s="118">
        <v>0.65158092848180682</v>
      </c>
    </row>
    <row r="490" spans="2:45" x14ac:dyDescent="0.3">
      <c r="B490" s="126" t="s">
        <v>647</v>
      </c>
      <c r="C490" s="98" t="str">
        <f t="shared" si="64"/>
        <v>DJ840</v>
      </c>
      <c r="D490" s="98" t="s">
        <v>55</v>
      </c>
      <c r="E490" s="98" t="str">
        <f t="shared" si="59"/>
        <v>W</v>
      </c>
      <c r="F490" s="98" t="str">
        <f t="shared" si="60"/>
        <v>DJ</v>
      </c>
      <c r="G490" s="98" t="s">
        <v>56</v>
      </c>
      <c r="H490" s="115" t="s">
        <v>648</v>
      </c>
      <c r="I490" s="98" t="s">
        <v>78</v>
      </c>
      <c r="J490" s="115" t="str">
        <f t="shared" si="65"/>
        <v/>
      </c>
      <c r="K490" s="115">
        <v>1</v>
      </c>
      <c r="L490" s="116">
        <v>289000</v>
      </c>
      <c r="M490" s="78" t="s">
        <v>83</v>
      </c>
      <c r="N490" s="98" t="s">
        <v>649</v>
      </c>
      <c r="O490" s="98" t="s">
        <v>485</v>
      </c>
      <c r="P490" s="98">
        <v>100</v>
      </c>
      <c r="Q490" s="32" t="s">
        <v>85</v>
      </c>
      <c r="R490" s="98" t="s">
        <v>86</v>
      </c>
      <c r="S490" s="32" t="s">
        <v>87</v>
      </c>
      <c r="T490" s="98" t="s">
        <v>65</v>
      </c>
      <c r="U490" s="98"/>
      <c r="V490" s="98" t="s">
        <v>66</v>
      </c>
      <c r="W490" s="98"/>
      <c r="X490" s="78" t="s">
        <v>67</v>
      </c>
      <c r="Y490" s="98" t="s">
        <v>88</v>
      </c>
      <c r="Z490" s="32" t="s">
        <v>125</v>
      </c>
      <c r="AA490" s="32" t="s">
        <v>90</v>
      </c>
      <c r="AB490" s="78" t="s">
        <v>91</v>
      </c>
      <c r="AC490" s="69" t="s">
        <v>92</v>
      </c>
      <c r="AD490" s="69" t="s">
        <v>506</v>
      </c>
      <c r="AE490" s="65" t="s">
        <v>73</v>
      </c>
      <c r="AF490" s="39" t="s">
        <v>112</v>
      </c>
      <c r="AG490" s="98" t="s">
        <v>75</v>
      </c>
      <c r="AH490" s="115">
        <v>650</v>
      </c>
      <c r="AI490" s="117" t="s">
        <v>76</v>
      </c>
      <c r="AJ490" s="115" t="s">
        <v>94</v>
      </c>
      <c r="AK490" s="73">
        <v>2507</v>
      </c>
      <c r="AL490" s="116">
        <f t="shared" si="61"/>
        <v>724523000</v>
      </c>
      <c r="AM490" s="116">
        <v>61</v>
      </c>
      <c r="AN490" s="116">
        <v>15675322</v>
      </c>
      <c r="AO490" s="116">
        <v>1646</v>
      </c>
      <c r="AP490" s="116">
        <v>438031198</v>
      </c>
      <c r="AQ490" s="116">
        <f t="shared" si="62"/>
        <v>2222.61</v>
      </c>
      <c r="AR490" s="116">
        <f t="shared" si="63"/>
        <v>590947546.80000007</v>
      </c>
      <c r="AS490" s="118">
        <v>0.88656162744315914</v>
      </c>
    </row>
    <row r="491" spans="2:45" x14ac:dyDescent="0.3">
      <c r="B491" s="126" t="s">
        <v>647</v>
      </c>
      <c r="C491" s="98" t="str">
        <f t="shared" si="64"/>
        <v>DJ840</v>
      </c>
      <c r="D491" s="98" t="s">
        <v>55</v>
      </c>
      <c r="E491" s="98" t="str">
        <f t="shared" si="59"/>
        <v>W</v>
      </c>
      <c r="F491" s="98" t="str">
        <f t="shared" si="60"/>
        <v>DJ</v>
      </c>
      <c r="G491" s="98" t="s">
        <v>56</v>
      </c>
      <c r="H491" s="115" t="s">
        <v>648</v>
      </c>
      <c r="I491" s="98" t="s">
        <v>79</v>
      </c>
      <c r="J491" s="115" t="str">
        <f t="shared" si="65"/>
        <v/>
      </c>
      <c r="K491" s="115">
        <v>1</v>
      </c>
      <c r="L491" s="116">
        <v>289000</v>
      </c>
      <c r="M491" s="78" t="s">
        <v>83</v>
      </c>
      <c r="N491" s="98" t="s">
        <v>649</v>
      </c>
      <c r="O491" s="98" t="s">
        <v>485</v>
      </c>
      <c r="P491" s="98">
        <v>100</v>
      </c>
      <c r="Q491" s="32" t="s">
        <v>85</v>
      </c>
      <c r="R491" s="98" t="s">
        <v>86</v>
      </c>
      <c r="S491" s="32" t="s">
        <v>87</v>
      </c>
      <c r="T491" s="98" t="s">
        <v>65</v>
      </c>
      <c r="U491" s="98"/>
      <c r="V491" s="98" t="s">
        <v>66</v>
      </c>
      <c r="W491" s="98"/>
      <c r="X491" s="78" t="s">
        <v>67</v>
      </c>
      <c r="Y491" s="98" t="s">
        <v>88</v>
      </c>
      <c r="Z491" s="32" t="s">
        <v>125</v>
      </c>
      <c r="AA491" s="32" t="s">
        <v>90</v>
      </c>
      <c r="AB491" s="78" t="s">
        <v>91</v>
      </c>
      <c r="AC491" s="69" t="s">
        <v>92</v>
      </c>
      <c r="AD491" s="69" t="s">
        <v>506</v>
      </c>
      <c r="AE491" s="65" t="s">
        <v>73</v>
      </c>
      <c r="AF491" s="39" t="s">
        <v>112</v>
      </c>
      <c r="AG491" s="98" t="s">
        <v>75</v>
      </c>
      <c r="AH491" s="115">
        <v>650</v>
      </c>
      <c r="AI491" s="117" t="s">
        <v>76</v>
      </c>
      <c r="AJ491" s="115" t="s">
        <v>94</v>
      </c>
      <c r="AK491" s="73">
        <v>2191</v>
      </c>
      <c r="AL491" s="116">
        <f t="shared" si="61"/>
        <v>633199000</v>
      </c>
      <c r="AM491" s="116">
        <v>71</v>
      </c>
      <c r="AN491" s="116">
        <v>17990723</v>
      </c>
      <c r="AO491" s="116">
        <v>1688</v>
      </c>
      <c r="AP491" s="116">
        <v>453179890</v>
      </c>
      <c r="AQ491" s="116">
        <f t="shared" si="62"/>
        <v>2191.9300000000003</v>
      </c>
      <c r="AR491" s="116">
        <f t="shared" si="63"/>
        <v>582790348.4000001</v>
      </c>
      <c r="AS491" s="118">
        <v>1.0004244637151987</v>
      </c>
    </row>
    <row r="492" spans="2:45" x14ac:dyDescent="0.3">
      <c r="B492" s="126" t="s">
        <v>650</v>
      </c>
      <c r="C492" s="98" t="str">
        <f t="shared" si="64"/>
        <v>DJ8O0</v>
      </c>
      <c r="D492" s="98" t="s">
        <v>55</v>
      </c>
      <c r="E492" s="98" t="str">
        <f t="shared" si="59"/>
        <v>M</v>
      </c>
      <c r="F492" s="98" t="str">
        <f t="shared" si="60"/>
        <v>DJ</v>
      </c>
      <c r="G492" s="98" t="s">
        <v>56</v>
      </c>
      <c r="H492" s="115" t="s">
        <v>651</v>
      </c>
      <c r="I492" s="98" t="s">
        <v>435</v>
      </c>
      <c r="J492" s="115">
        <f t="shared" si="65"/>
        <v>1</v>
      </c>
      <c r="K492" s="115">
        <v>1</v>
      </c>
      <c r="L492" s="116">
        <v>169000</v>
      </c>
      <c r="M492" s="78" t="s">
        <v>521</v>
      </c>
      <c r="N492" s="98" t="s">
        <v>236</v>
      </c>
      <c r="O492" s="98" t="s">
        <v>143</v>
      </c>
      <c r="P492" s="98">
        <v>100</v>
      </c>
      <c r="Q492" s="32" t="s">
        <v>62</v>
      </c>
      <c r="R492" s="98" t="s">
        <v>220</v>
      </c>
      <c r="S492" s="32" t="s">
        <v>237</v>
      </c>
      <c r="T492" s="98" t="s">
        <v>65</v>
      </c>
      <c r="U492" s="98"/>
      <c r="V492" s="98" t="s">
        <v>66</v>
      </c>
      <c r="W492" s="98"/>
      <c r="X492" s="78" t="s">
        <v>67</v>
      </c>
      <c r="Y492" s="98" t="s">
        <v>68</v>
      </c>
      <c r="Z492" s="32" t="s">
        <v>238</v>
      </c>
      <c r="AA492" s="32" t="s">
        <v>90</v>
      </c>
      <c r="AB492" s="78" t="s">
        <v>652</v>
      </c>
      <c r="AC492" s="98" t="s">
        <v>62</v>
      </c>
      <c r="AD492" s="98" t="s">
        <v>72</v>
      </c>
      <c r="AE492" s="65" t="s">
        <v>73</v>
      </c>
      <c r="AF492" s="39" t="s">
        <v>205</v>
      </c>
      <c r="AG492" s="98" t="s">
        <v>240</v>
      </c>
      <c r="AH492" s="115">
        <v>650</v>
      </c>
      <c r="AI492" s="117" t="s">
        <v>76</v>
      </c>
      <c r="AJ492" s="115" t="s">
        <v>241</v>
      </c>
      <c r="AK492" s="73">
        <v>2534</v>
      </c>
      <c r="AL492" s="116">
        <f t="shared" si="61"/>
        <v>428246000</v>
      </c>
      <c r="AM492" s="116">
        <v>145</v>
      </c>
      <c r="AN492" s="116">
        <v>22001755</v>
      </c>
      <c r="AO492" s="116">
        <v>1000</v>
      </c>
      <c r="AP492" s="116">
        <v>150939806</v>
      </c>
      <c r="AQ492" s="116">
        <f t="shared" si="62"/>
        <v>1582.82</v>
      </c>
      <c r="AR492" s="116">
        <f t="shared" si="63"/>
        <v>246096853.59999999</v>
      </c>
      <c r="AS492" s="118">
        <v>0.62463299131807415</v>
      </c>
    </row>
    <row r="493" spans="2:45" x14ac:dyDescent="0.3">
      <c r="B493" s="126" t="s">
        <v>650</v>
      </c>
      <c r="C493" s="98" t="str">
        <f t="shared" si="64"/>
        <v>DJ8O0</v>
      </c>
      <c r="D493" s="98" t="s">
        <v>55</v>
      </c>
      <c r="E493" s="98" t="str">
        <f t="shared" si="59"/>
        <v>M</v>
      </c>
      <c r="F493" s="98" t="str">
        <f t="shared" si="60"/>
        <v>DJ</v>
      </c>
      <c r="G493" s="98" t="s">
        <v>56</v>
      </c>
      <c r="H493" s="115" t="s">
        <v>651</v>
      </c>
      <c r="I493" s="98" t="s">
        <v>82</v>
      </c>
      <c r="J493" s="115" t="str">
        <f t="shared" si="65"/>
        <v/>
      </c>
      <c r="K493" s="115">
        <v>1</v>
      </c>
      <c r="L493" s="116">
        <v>169000</v>
      </c>
      <c r="M493" s="78" t="s">
        <v>521</v>
      </c>
      <c r="N493" s="98" t="s">
        <v>236</v>
      </c>
      <c r="O493" s="98" t="s">
        <v>143</v>
      </c>
      <c r="P493" s="98">
        <v>100</v>
      </c>
      <c r="Q493" s="32" t="s">
        <v>62</v>
      </c>
      <c r="R493" s="98" t="s">
        <v>220</v>
      </c>
      <c r="S493" s="32" t="s">
        <v>237</v>
      </c>
      <c r="T493" s="98" t="s">
        <v>65</v>
      </c>
      <c r="U493" s="98"/>
      <c r="V493" s="98" t="s">
        <v>66</v>
      </c>
      <c r="W493" s="98"/>
      <c r="X493" s="78" t="s">
        <v>67</v>
      </c>
      <c r="Y493" s="98" t="s">
        <v>68</v>
      </c>
      <c r="Z493" s="32" t="s">
        <v>238</v>
      </c>
      <c r="AA493" s="32" t="s">
        <v>90</v>
      </c>
      <c r="AB493" s="78" t="s">
        <v>652</v>
      </c>
      <c r="AC493" s="98" t="s">
        <v>62</v>
      </c>
      <c r="AD493" s="98" t="s">
        <v>72</v>
      </c>
      <c r="AE493" s="65" t="s">
        <v>73</v>
      </c>
      <c r="AF493" s="39" t="s">
        <v>205</v>
      </c>
      <c r="AG493" s="98" t="s">
        <v>240</v>
      </c>
      <c r="AH493" s="115">
        <v>650</v>
      </c>
      <c r="AI493" s="117" t="s">
        <v>76</v>
      </c>
      <c r="AJ493" s="115" t="s">
        <v>241</v>
      </c>
      <c r="AK493" s="73">
        <v>2443</v>
      </c>
      <c r="AL493" s="116">
        <f t="shared" si="61"/>
        <v>412867000</v>
      </c>
      <c r="AM493" s="116">
        <v>48</v>
      </c>
      <c r="AN493" s="116">
        <v>7246613</v>
      </c>
      <c r="AO493" s="116">
        <v>461</v>
      </c>
      <c r="AP493" s="116">
        <v>71497376</v>
      </c>
      <c r="AQ493" s="116">
        <f t="shared" si="62"/>
        <v>1022.8900000000001</v>
      </c>
      <c r="AR493" s="116">
        <f t="shared" si="63"/>
        <v>159038937.20000005</v>
      </c>
      <c r="AS493" s="118">
        <v>0.41870241506344663</v>
      </c>
    </row>
    <row r="494" spans="2:45" x14ac:dyDescent="0.3">
      <c r="B494" s="126" t="s">
        <v>650</v>
      </c>
      <c r="C494" s="98" t="str">
        <f t="shared" si="64"/>
        <v>DJ8O0</v>
      </c>
      <c r="D494" s="98" t="s">
        <v>55</v>
      </c>
      <c r="E494" s="98" t="str">
        <f t="shared" si="59"/>
        <v>M</v>
      </c>
      <c r="F494" s="98" t="str">
        <f t="shared" si="60"/>
        <v>DJ</v>
      </c>
      <c r="G494" s="98" t="s">
        <v>56</v>
      </c>
      <c r="H494" s="115" t="s">
        <v>651</v>
      </c>
      <c r="I494" s="98" t="s">
        <v>78</v>
      </c>
      <c r="J494" s="115" t="str">
        <f t="shared" si="65"/>
        <v/>
      </c>
      <c r="K494" s="115">
        <v>1</v>
      </c>
      <c r="L494" s="116">
        <v>169000</v>
      </c>
      <c r="M494" s="78" t="s">
        <v>521</v>
      </c>
      <c r="N494" s="98" t="s">
        <v>236</v>
      </c>
      <c r="O494" s="98" t="s">
        <v>143</v>
      </c>
      <c r="P494" s="98">
        <v>100</v>
      </c>
      <c r="Q494" s="32" t="s">
        <v>62</v>
      </c>
      <c r="R494" s="98" t="s">
        <v>220</v>
      </c>
      <c r="S494" s="32" t="s">
        <v>237</v>
      </c>
      <c r="T494" s="98" t="s">
        <v>65</v>
      </c>
      <c r="U494" s="98"/>
      <c r="V494" s="98" t="s">
        <v>66</v>
      </c>
      <c r="W494" s="98"/>
      <c r="X494" s="78" t="s">
        <v>67</v>
      </c>
      <c r="Y494" s="98" t="s">
        <v>68</v>
      </c>
      <c r="Z494" s="32" t="s">
        <v>238</v>
      </c>
      <c r="AA494" s="32" t="s">
        <v>90</v>
      </c>
      <c r="AB494" s="78" t="s">
        <v>652</v>
      </c>
      <c r="AC494" s="98" t="s">
        <v>62</v>
      </c>
      <c r="AD494" s="98" t="s">
        <v>72</v>
      </c>
      <c r="AE494" s="65" t="s">
        <v>73</v>
      </c>
      <c r="AF494" s="39" t="s">
        <v>205</v>
      </c>
      <c r="AG494" s="98" t="s">
        <v>240</v>
      </c>
      <c r="AH494" s="115">
        <v>650</v>
      </c>
      <c r="AI494" s="117" t="s">
        <v>76</v>
      </c>
      <c r="AJ494" s="115" t="s">
        <v>241</v>
      </c>
      <c r="AK494" s="73">
        <v>10630</v>
      </c>
      <c r="AL494" s="116">
        <f t="shared" si="61"/>
        <v>1796470000</v>
      </c>
      <c r="AM494" s="116">
        <v>378</v>
      </c>
      <c r="AN494" s="116">
        <v>56541888</v>
      </c>
      <c r="AO494" s="116">
        <v>4495</v>
      </c>
      <c r="AP494" s="116">
        <v>692358764</v>
      </c>
      <c r="AQ494" s="116">
        <f t="shared" si="62"/>
        <v>6939.9</v>
      </c>
      <c r="AR494" s="116">
        <f t="shared" si="63"/>
        <v>1079015652</v>
      </c>
      <c r="AS494" s="118">
        <v>0.65285983066792097</v>
      </c>
    </row>
    <row r="495" spans="2:45" x14ac:dyDescent="0.3">
      <c r="B495" s="126" t="s">
        <v>653</v>
      </c>
      <c r="C495" s="98" t="str">
        <f t="shared" si="64"/>
        <v>DJ8P0</v>
      </c>
      <c r="D495" s="98" t="s">
        <v>55</v>
      </c>
      <c r="E495" s="98" t="str">
        <f t="shared" si="59"/>
        <v>W</v>
      </c>
      <c r="F495" s="98" t="str">
        <f t="shared" si="60"/>
        <v>DJ</v>
      </c>
      <c r="G495" s="98" t="s">
        <v>56</v>
      </c>
      <c r="H495" s="115" t="s">
        <v>654</v>
      </c>
      <c r="I495" s="98" t="s">
        <v>435</v>
      </c>
      <c r="J495" s="115">
        <f t="shared" si="65"/>
        <v>1</v>
      </c>
      <c r="K495" s="115">
        <v>1</v>
      </c>
      <c r="L495" s="121">
        <v>169000</v>
      </c>
      <c r="M495" s="78" t="s">
        <v>521</v>
      </c>
      <c r="N495" s="98" t="s">
        <v>236</v>
      </c>
      <c r="O495" s="98" t="s">
        <v>143</v>
      </c>
      <c r="P495" s="98">
        <v>100</v>
      </c>
      <c r="Q495" s="32" t="s">
        <v>62</v>
      </c>
      <c r="R495" s="98" t="s">
        <v>220</v>
      </c>
      <c r="S495" s="32" t="s">
        <v>237</v>
      </c>
      <c r="T495" s="98" t="s">
        <v>65</v>
      </c>
      <c r="U495" s="98"/>
      <c r="V495" s="98" t="s">
        <v>66</v>
      </c>
      <c r="W495" s="98"/>
      <c r="X495" s="78" t="s">
        <v>67</v>
      </c>
      <c r="Y495" s="98" t="s">
        <v>68</v>
      </c>
      <c r="Z495" s="32" t="s">
        <v>238</v>
      </c>
      <c r="AA495" s="32" t="s">
        <v>90</v>
      </c>
      <c r="AB495" s="78" t="s">
        <v>652</v>
      </c>
      <c r="AC495" s="98" t="s">
        <v>62</v>
      </c>
      <c r="AD495" s="98" t="s">
        <v>72</v>
      </c>
      <c r="AE495" s="65" t="s">
        <v>73</v>
      </c>
      <c r="AF495" s="39" t="s">
        <v>308</v>
      </c>
      <c r="AG495" s="98" t="s">
        <v>240</v>
      </c>
      <c r="AH495" s="115">
        <v>650</v>
      </c>
      <c r="AI495" s="117" t="s">
        <v>76</v>
      </c>
      <c r="AJ495" s="115" t="s">
        <v>94</v>
      </c>
      <c r="AK495" s="73">
        <v>3838</v>
      </c>
      <c r="AL495" s="116">
        <f t="shared" si="61"/>
        <v>648622000</v>
      </c>
      <c r="AM495" s="116">
        <v>32</v>
      </c>
      <c r="AN495" s="116">
        <v>5242407</v>
      </c>
      <c r="AO495" s="116">
        <v>537</v>
      </c>
      <c r="AP495" s="116">
        <v>83843415</v>
      </c>
      <c r="AQ495" s="116">
        <f t="shared" si="62"/>
        <v>1419.74</v>
      </c>
      <c r="AR495" s="116">
        <f t="shared" si="63"/>
        <v>220741175.20000002</v>
      </c>
      <c r="AS495" s="118">
        <v>0.3699166232412715</v>
      </c>
    </row>
    <row r="496" spans="2:45" x14ac:dyDescent="0.3">
      <c r="B496" s="126" t="s">
        <v>655</v>
      </c>
      <c r="C496" s="98" t="str">
        <f t="shared" si="64"/>
        <v>DJ8P0</v>
      </c>
      <c r="D496" s="98" t="s">
        <v>55</v>
      </c>
      <c r="E496" s="98" t="str">
        <f t="shared" si="59"/>
        <v>W</v>
      </c>
      <c r="F496" s="98" t="str">
        <f t="shared" si="60"/>
        <v>DJ</v>
      </c>
      <c r="G496" s="98" t="s">
        <v>56</v>
      </c>
      <c r="H496" s="115" t="s">
        <v>654</v>
      </c>
      <c r="I496" s="98" t="s">
        <v>78</v>
      </c>
      <c r="J496" s="115" t="str">
        <f t="shared" si="65"/>
        <v/>
      </c>
      <c r="K496" s="115">
        <v>1</v>
      </c>
      <c r="L496" s="121">
        <v>169000</v>
      </c>
      <c r="M496" s="78" t="s">
        <v>521</v>
      </c>
      <c r="N496" s="98" t="s">
        <v>236</v>
      </c>
      <c r="O496" s="98" t="s">
        <v>143</v>
      </c>
      <c r="P496" s="98">
        <v>100</v>
      </c>
      <c r="Q496" s="32" t="s">
        <v>62</v>
      </c>
      <c r="R496" s="98" t="s">
        <v>220</v>
      </c>
      <c r="S496" s="32" t="s">
        <v>237</v>
      </c>
      <c r="T496" s="98" t="s">
        <v>65</v>
      </c>
      <c r="U496" s="98"/>
      <c r="V496" s="98" t="s">
        <v>66</v>
      </c>
      <c r="W496" s="98"/>
      <c r="X496" s="78" t="s">
        <v>67</v>
      </c>
      <c r="Y496" s="98" t="s">
        <v>68</v>
      </c>
      <c r="Z496" s="32" t="s">
        <v>238</v>
      </c>
      <c r="AA496" s="32" t="s">
        <v>90</v>
      </c>
      <c r="AB496" s="78" t="s">
        <v>652</v>
      </c>
      <c r="AC496" s="98" t="s">
        <v>62</v>
      </c>
      <c r="AD496" s="98" t="s">
        <v>72</v>
      </c>
      <c r="AE496" s="65" t="s">
        <v>73</v>
      </c>
      <c r="AF496" s="39" t="s">
        <v>308</v>
      </c>
      <c r="AG496" s="98" t="s">
        <v>240</v>
      </c>
      <c r="AH496" s="115">
        <v>650</v>
      </c>
      <c r="AI496" s="117" t="s">
        <v>76</v>
      </c>
      <c r="AJ496" s="115" t="s">
        <v>94</v>
      </c>
      <c r="AK496" s="73">
        <v>7076</v>
      </c>
      <c r="AL496" s="116">
        <f t="shared" si="61"/>
        <v>1195844000</v>
      </c>
      <c r="AM496" s="116">
        <v>159</v>
      </c>
      <c r="AN496" s="116">
        <v>25677491</v>
      </c>
      <c r="AO496" s="116">
        <v>3387</v>
      </c>
      <c r="AP496" s="116">
        <v>532905675</v>
      </c>
      <c r="AQ496" s="116">
        <f t="shared" si="62"/>
        <v>5014.4799999999996</v>
      </c>
      <c r="AR496" s="116">
        <f t="shared" si="63"/>
        <v>779651350.39999998</v>
      </c>
      <c r="AS496" s="118">
        <v>0.70866026003391747</v>
      </c>
    </row>
    <row r="497" spans="2:45" x14ac:dyDescent="0.3">
      <c r="B497" s="126" t="s">
        <v>655</v>
      </c>
      <c r="C497" s="98" t="str">
        <f t="shared" si="64"/>
        <v>DJ8P0</v>
      </c>
      <c r="D497" s="98" t="s">
        <v>55</v>
      </c>
      <c r="E497" s="98" t="str">
        <f t="shared" si="59"/>
        <v>W</v>
      </c>
      <c r="F497" s="98" t="str">
        <f t="shared" si="60"/>
        <v>DJ</v>
      </c>
      <c r="G497" s="98" t="s">
        <v>56</v>
      </c>
      <c r="H497" s="115" t="s">
        <v>654</v>
      </c>
      <c r="I497" s="98" t="s">
        <v>79</v>
      </c>
      <c r="J497" s="115" t="str">
        <f t="shared" si="65"/>
        <v/>
      </c>
      <c r="K497" s="115">
        <v>1</v>
      </c>
      <c r="L497" s="121">
        <v>169000</v>
      </c>
      <c r="M497" s="78" t="s">
        <v>521</v>
      </c>
      <c r="N497" s="98" t="s">
        <v>236</v>
      </c>
      <c r="O497" s="98" t="s">
        <v>143</v>
      </c>
      <c r="P497" s="98">
        <v>100</v>
      </c>
      <c r="Q497" s="32" t="s">
        <v>62</v>
      </c>
      <c r="R497" s="98" t="s">
        <v>220</v>
      </c>
      <c r="S497" s="32" t="s">
        <v>237</v>
      </c>
      <c r="T497" s="98" t="s">
        <v>65</v>
      </c>
      <c r="U497" s="98"/>
      <c r="V497" s="98" t="s">
        <v>66</v>
      </c>
      <c r="W497" s="98"/>
      <c r="X497" s="78" t="s">
        <v>67</v>
      </c>
      <c r="Y497" s="98" t="s">
        <v>68</v>
      </c>
      <c r="Z497" s="32" t="s">
        <v>238</v>
      </c>
      <c r="AA497" s="32" t="s">
        <v>90</v>
      </c>
      <c r="AB497" s="78" t="s">
        <v>652</v>
      </c>
      <c r="AC497" s="98" t="s">
        <v>62</v>
      </c>
      <c r="AD497" s="98" t="s">
        <v>72</v>
      </c>
      <c r="AE497" s="65" t="s">
        <v>73</v>
      </c>
      <c r="AF497" s="39" t="s">
        <v>308</v>
      </c>
      <c r="AG497" s="98" t="s">
        <v>240</v>
      </c>
      <c r="AH497" s="115">
        <v>650</v>
      </c>
      <c r="AI497" s="117" t="s">
        <v>76</v>
      </c>
      <c r="AJ497" s="115" t="s">
        <v>94</v>
      </c>
      <c r="AK497" s="73">
        <v>6380</v>
      </c>
      <c r="AL497" s="116">
        <f t="shared" si="61"/>
        <v>1078220000</v>
      </c>
      <c r="AM497" s="116">
        <v>170</v>
      </c>
      <c r="AN497" s="116">
        <v>27686571</v>
      </c>
      <c r="AO497" s="116">
        <v>2847</v>
      </c>
      <c r="AP497" s="116">
        <v>448717214</v>
      </c>
      <c r="AQ497" s="116">
        <f t="shared" si="62"/>
        <v>4314.4000000000005</v>
      </c>
      <c r="AR497" s="116">
        <f t="shared" si="63"/>
        <v>670802912</v>
      </c>
      <c r="AS497" s="118">
        <v>0.67623824451410663</v>
      </c>
    </row>
    <row r="498" spans="2:45" x14ac:dyDescent="0.3">
      <c r="B498" s="126" t="s">
        <v>656</v>
      </c>
      <c r="C498" s="98" t="str">
        <f t="shared" si="64"/>
        <v>DJ610</v>
      </c>
      <c r="D498" s="98" t="s">
        <v>55</v>
      </c>
      <c r="E498" s="98" t="str">
        <f t="shared" si="59"/>
        <v>M</v>
      </c>
      <c r="F498" s="98" t="str">
        <f t="shared" si="60"/>
        <v>DJ</v>
      </c>
      <c r="G498" s="98" t="s">
        <v>56</v>
      </c>
      <c r="H498" s="115" t="s">
        <v>657</v>
      </c>
      <c r="I498" s="98" t="s">
        <v>82</v>
      </c>
      <c r="J498" s="115">
        <f t="shared" si="65"/>
        <v>1</v>
      </c>
      <c r="K498" s="115">
        <v>1</v>
      </c>
      <c r="L498" s="121">
        <v>379000</v>
      </c>
      <c r="M498" s="78" t="s">
        <v>194</v>
      </c>
      <c r="N498" s="98" t="s">
        <v>261</v>
      </c>
      <c r="O498" s="98" t="s">
        <v>485</v>
      </c>
      <c r="P498" s="98">
        <v>100</v>
      </c>
      <c r="Q498" s="32" t="s">
        <v>119</v>
      </c>
      <c r="R498" s="98" t="s">
        <v>262</v>
      </c>
      <c r="S498" s="32" t="s">
        <v>263</v>
      </c>
      <c r="T498" s="98" t="s">
        <v>122</v>
      </c>
      <c r="U498" s="98" t="s">
        <v>658</v>
      </c>
      <c r="V498" s="98"/>
      <c r="W498" s="98"/>
      <c r="X498" s="78" t="s">
        <v>67</v>
      </c>
      <c r="Y498" s="98" t="s">
        <v>68</v>
      </c>
      <c r="Z498" s="32" t="s">
        <v>125</v>
      </c>
      <c r="AA498" s="32" t="s">
        <v>90</v>
      </c>
      <c r="AB498" s="78" t="s">
        <v>71</v>
      </c>
      <c r="AC498" s="98" t="s">
        <v>85</v>
      </c>
      <c r="AD498" s="98" t="s">
        <v>208</v>
      </c>
      <c r="AE498" s="65" t="s">
        <v>73</v>
      </c>
      <c r="AF498" s="39" t="s">
        <v>659</v>
      </c>
      <c r="AG498" s="98" t="s">
        <v>127</v>
      </c>
      <c r="AH498" s="115">
        <v>650</v>
      </c>
      <c r="AI498" s="117" t="s">
        <v>264</v>
      </c>
      <c r="AJ498" s="115" t="s">
        <v>241</v>
      </c>
      <c r="AK498" s="73">
        <v>1162</v>
      </c>
      <c r="AL498" s="116">
        <f t="shared" si="61"/>
        <v>440398000</v>
      </c>
      <c r="AM498" s="116">
        <v>127</v>
      </c>
      <c r="AN498" s="116">
        <v>39856702</v>
      </c>
      <c r="AO498" s="116">
        <v>399</v>
      </c>
      <c r="AP498" s="116">
        <v>136825174</v>
      </c>
      <c r="AQ498" s="116">
        <f t="shared" si="62"/>
        <v>805.69999999999993</v>
      </c>
      <c r="AR498" s="116">
        <f t="shared" si="63"/>
        <v>280931475.99999994</v>
      </c>
      <c r="AS498" s="118">
        <v>0.69337349397590353</v>
      </c>
    </row>
    <row r="499" spans="2:45" x14ac:dyDescent="0.3">
      <c r="B499" s="126" t="s">
        <v>656</v>
      </c>
      <c r="C499" s="98" t="str">
        <f t="shared" si="64"/>
        <v>DJ610</v>
      </c>
      <c r="D499" s="98" t="s">
        <v>55</v>
      </c>
      <c r="E499" s="98" t="str">
        <f t="shared" si="59"/>
        <v>M</v>
      </c>
      <c r="F499" s="98" t="str">
        <f t="shared" si="60"/>
        <v>DJ</v>
      </c>
      <c r="G499" s="98" t="s">
        <v>56</v>
      </c>
      <c r="H499" s="115" t="s">
        <v>657</v>
      </c>
      <c r="I499" s="98" t="s">
        <v>215</v>
      </c>
      <c r="J499" s="115" t="str">
        <f t="shared" si="65"/>
        <v/>
      </c>
      <c r="K499" s="115">
        <v>1</v>
      </c>
      <c r="L499" s="121">
        <v>379000</v>
      </c>
      <c r="M499" s="78" t="s">
        <v>194</v>
      </c>
      <c r="N499" s="98" t="s">
        <v>261</v>
      </c>
      <c r="O499" s="98" t="s">
        <v>485</v>
      </c>
      <c r="P499" s="98">
        <v>100</v>
      </c>
      <c r="Q499" s="32" t="s">
        <v>119</v>
      </c>
      <c r="R499" s="98" t="s">
        <v>262</v>
      </c>
      <c r="S499" s="32" t="s">
        <v>263</v>
      </c>
      <c r="T499" s="98" t="s">
        <v>122</v>
      </c>
      <c r="U499" s="98" t="s">
        <v>658</v>
      </c>
      <c r="V499" s="98"/>
      <c r="W499" s="98"/>
      <c r="X499" s="78" t="s">
        <v>67</v>
      </c>
      <c r="Y499" s="98" t="s">
        <v>68</v>
      </c>
      <c r="Z499" s="32" t="s">
        <v>125</v>
      </c>
      <c r="AA499" s="32" t="s">
        <v>90</v>
      </c>
      <c r="AB499" s="78" t="s">
        <v>71</v>
      </c>
      <c r="AC499" s="98" t="s">
        <v>85</v>
      </c>
      <c r="AD499" s="98" t="s">
        <v>208</v>
      </c>
      <c r="AE499" s="65" t="s">
        <v>73</v>
      </c>
      <c r="AF499" s="39" t="s">
        <v>659</v>
      </c>
      <c r="AG499" s="98" t="s">
        <v>127</v>
      </c>
      <c r="AH499" s="115">
        <v>650</v>
      </c>
      <c r="AI499" s="117" t="s">
        <v>264</v>
      </c>
      <c r="AJ499" s="115" t="s">
        <v>241</v>
      </c>
      <c r="AK499" s="72">
        <f>2135+1500</f>
        <v>3635</v>
      </c>
      <c r="AL499" s="116">
        <f t="shared" si="61"/>
        <v>1377665000</v>
      </c>
      <c r="AM499" s="116">
        <v>333</v>
      </c>
      <c r="AN499" s="116">
        <v>109563390</v>
      </c>
      <c r="AO499" s="116">
        <v>1183</v>
      </c>
      <c r="AP499" s="116">
        <v>419300776</v>
      </c>
      <c r="AQ499" s="116">
        <f t="shared" si="62"/>
        <v>2908</v>
      </c>
      <c r="AR499" s="116">
        <f t="shared" si="63"/>
        <v>1013961440</v>
      </c>
      <c r="AS499" s="70">
        <v>0.8</v>
      </c>
    </row>
    <row r="500" spans="2:45" x14ac:dyDescent="0.3">
      <c r="B500" s="126" t="s">
        <v>656</v>
      </c>
      <c r="C500" s="98" t="str">
        <f t="shared" si="64"/>
        <v>DJ610</v>
      </c>
      <c r="D500" s="98" t="s">
        <v>55</v>
      </c>
      <c r="E500" s="98" t="str">
        <f t="shared" si="59"/>
        <v>M</v>
      </c>
      <c r="F500" s="98" t="str">
        <f t="shared" si="60"/>
        <v>DJ</v>
      </c>
      <c r="G500" s="98" t="s">
        <v>56</v>
      </c>
      <c r="H500" s="115" t="s">
        <v>657</v>
      </c>
      <c r="I500" s="98" t="s">
        <v>78</v>
      </c>
      <c r="J500" s="115" t="str">
        <f t="shared" si="65"/>
        <v/>
      </c>
      <c r="K500" s="115">
        <v>1</v>
      </c>
      <c r="L500" s="121">
        <v>379000</v>
      </c>
      <c r="M500" s="78" t="s">
        <v>194</v>
      </c>
      <c r="N500" s="98" t="s">
        <v>261</v>
      </c>
      <c r="O500" s="98" t="s">
        <v>485</v>
      </c>
      <c r="P500" s="98">
        <v>100</v>
      </c>
      <c r="Q500" s="32" t="s">
        <v>119</v>
      </c>
      <c r="R500" s="98" t="s">
        <v>262</v>
      </c>
      <c r="S500" s="32" t="s">
        <v>263</v>
      </c>
      <c r="T500" s="98" t="s">
        <v>122</v>
      </c>
      <c r="U500" s="98" t="s">
        <v>658</v>
      </c>
      <c r="V500" s="98"/>
      <c r="W500" s="98"/>
      <c r="X500" s="78" t="s">
        <v>67</v>
      </c>
      <c r="Y500" s="98" t="s">
        <v>68</v>
      </c>
      <c r="Z500" s="32" t="s">
        <v>125</v>
      </c>
      <c r="AA500" s="32" t="s">
        <v>90</v>
      </c>
      <c r="AB500" s="78" t="s">
        <v>71</v>
      </c>
      <c r="AC500" s="98" t="s">
        <v>85</v>
      </c>
      <c r="AD500" s="98" t="s">
        <v>208</v>
      </c>
      <c r="AE500" s="65" t="s">
        <v>73</v>
      </c>
      <c r="AF500" s="39" t="s">
        <v>659</v>
      </c>
      <c r="AG500" s="98" t="s">
        <v>127</v>
      </c>
      <c r="AH500" s="115">
        <v>650</v>
      </c>
      <c r="AI500" s="117" t="s">
        <v>264</v>
      </c>
      <c r="AJ500" s="115" t="s">
        <v>241</v>
      </c>
      <c r="AK500" s="73">
        <v>17931</v>
      </c>
      <c r="AL500" s="116">
        <f t="shared" si="61"/>
        <v>6795849000</v>
      </c>
      <c r="AM500" s="116">
        <v>2025</v>
      </c>
      <c r="AN500" s="116">
        <v>677189102</v>
      </c>
      <c r="AO500" s="116">
        <v>6473</v>
      </c>
      <c r="AP500" s="116">
        <v>2280698823</v>
      </c>
      <c r="AQ500" s="116">
        <f t="shared" si="62"/>
        <v>12748.849999999999</v>
      </c>
      <c r="AR500" s="116">
        <f t="shared" si="63"/>
        <v>4445269018</v>
      </c>
      <c r="AS500" s="118">
        <v>0.71099492499024031</v>
      </c>
    </row>
    <row r="501" spans="2:45" x14ac:dyDescent="0.3">
      <c r="B501" s="126" t="s">
        <v>656</v>
      </c>
      <c r="C501" s="98" t="str">
        <f t="shared" si="64"/>
        <v>DJ610</v>
      </c>
      <c r="D501" s="98" t="s">
        <v>55</v>
      </c>
      <c r="E501" s="98" t="str">
        <f t="shared" si="59"/>
        <v>M</v>
      </c>
      <c r="F501" s="98" t="str">
        <f t="shared" si="60"/>
        <v>DJ</v>
      </c>
      <c r="G501" s="98" t="s">
        <v>56</v>
      </c>
      <c r="H501" s="115" t="s">
        <v>657</v>
      </c>
      <c r="I501" s="98" t="s">
        <v>660</v>
      </c>
      <c r="J501" s="115" t="str">
        <f t="shared" si="65"/>
        <v/>
      </c>
      <c r="K501" s="115">
        <v>1</v>
      </c>
      <c r="L501" s="121">
        <v>379000</v>
      </c>
      <c r="M501" s="78" t="s">
        <v>194</v>
      </c>
      <c r="N501" s="98" t="s">
        <v>261</v>
      </c>
      <c r="O501" s="98" t="s">
        <v>485</v>
      </c>
      <c r="P501" s="98">
        <v>100</v>
      </c>
      <c r="Q501" s="32" t="s">
        <v>119</v>
      </c>
      <c r="R501" s="98" t="s">
        <v>262</v>
      </c>
      <c r="S501" s="32" t="s">
        <v>263</v>
      </c>
      <c r="T501" s="98" t="s">
        <v>122</v>
      </c>
      <c r="U501" s="98" t="s">
        <v>658</v>
      </c>
      <c r="V501" s="98"/>
      <c r="W501" s="98"/>
      <c r="X501" s="78" t="s">
        <v>67</v>
      </c>
      <c r="Y501" s="98" t="s">
        <v>68</v>
      </c>
      <c r="Z501" s="32" t="s">
        <v>125</v>
      </c>
      <c r="AA501" s="32" t="s">
        <v>90</v>
      </c>
      <c r="AB501" s="78" t="s">
        <v>71</v>
      </c>
      <c r="AC501" s="98" t="s">
        <v>85</v>
      </c>
      <c r="AD501" s="98" t="s">
        <v>208</v>
      </c>
      <c r="AE501" s="65" t="s">
        <v>73</v>
      </c>
      <c r="AF501" s="39" t="s">
        <v>659</v>
      </c>
      <c r="AG501" s="98" t="s">
        <v>127</v>
      </c>
      <c r="AH501" s="115">
        <v>650</v>
      </c>
      <c r="AI501" s="117" t="s">
        <v>264</v>
      </c>
      <c r="AJ501" s="115" t="s">
        <v>241</v>
      </c>
      <c r="AK501" s="73">
        <v>952</v>
      </c>
      <c r="AL501" s="116">
        <f t="shared" si="61"/>
        <v>360808000</v>
      </c>
      <c r="AM501" s="116">
        <v>145</v>
      </c>
      <c r="AN501" s="116">
        <v>43280027</v>
      </c>
      <c r="AO501" s="116">
        <v>609</v>
      </c>
      <c r="AP501" s="116">
        <v>212620042</v>
      </c>
      <c r="AQ501" s="116">
        <f t="shared" si="62"/>
        <v>942.19999999999993</v>
      </c>
      <c r="AR501" s="116">
        <f t="shared" si="63"/>
        <v>328526296</v>
      </c>
      <c r="AS501" s="118">
        <v>0.9897058823529411</v>
      </c>
    </row>
    <row r="502" spans="2:45" x14ac:dyDescent="0.3">
      <c r="B502" s="126" t="s">
        <v>656</v>
      </c>
      <c r="C502" s="98" t="str">
        <f t="shared" si="64"/>
        <v>DJ610</v>
      </c>
      <c r="D502" s="98" t="s">
        <v>55</v>
      </c>
      <c r="E502" s="98" t="str">
        <f t="shared" si="59"/>
        <v>M</v>
      </c>
      <c r="F502" s="98" t="str">
        <f t="shared" si="60"/>
        <v>DJ</v>
      </c>
      <c r="G502" s="98" t="s">
        <v>56</v>
      </c>
      <c r="H502" s="115" t="s">
        <v>657</v>
      </c>
      <c r="I502" s="98" t="s">
        <v>113</v>
      </c>
      <c r="J502" s="115" t="str">
        <f t="shared" si="65"/>
        <v/>
      </c>
      <c r="K502" s="115">
        <v>1</v>
      </c>
      <c r="L502" s="121">
        <v>379000</v>
      </c>
      <c r="M502" s="78" t="s">
        <v>194</v>
      </c>
      <c r="N502" s="98" t="s">
        <v>261</v>
      </c>
      <c r="O502" s="98" t="s">
        <v>485</v>
      </c>
      <c r="P502" s="98">
        <v>100</v>
      </c>
      <c r="Q502" s="32" t="s">
        <v>119</v>
      </c>
      <c r="R502" s="98" t="s">
        <v>262</v>
      </c>
      <c r="S502" s="32" t="s">
        <v>263</v>
      </c>
      <c r="T502" s="98" t="s">
        <v>122</v>
      </c>
      <c r="U502" s="98" t="s">
        <v>658</v>
      </c>
      <c r="V502" s="98"/>
      <c r="W502" s="98"/>
      <c r="X502" s="78" t="s">
        <v>67</v>
      </c>
      <c r="Y502" s="98" t="s">
        <v>68</v>
      </c>
      <c r="Z502" s="32" t="s">
        <v>125</v>
      </c>
      <c r="AA502" s="32" t="s">
        <v>90</v>
      </c>
      <c r="AB502" s="78" t="s">
        <v>71</v>
      </c>
      <c r="AC502" s="98" t="s">
        <v>85</v>
      </c>
      <c r="AD502" s="98" t="s">
        <v>208</v>
      </c>
      <c r="AE502" s="65" t="s">
        <v>73</v>
      </c>
      <c r="AF502" s="39" t="s">
        <v>659</v>
      </c>
      <c r="AG502" s="98" t="s">
        <v>127</v>
      </c>
      <c r="AH502" s="115">
        <v>650</v>
      </c>
      <c r="AI502" s="117" t="s">
        <v>264</v>
      </c>
      <c r="AJ502" s="115" t="s">
        <v>241</v>
      </c>
      <c r="AK502" s="72">
        <f>2011+1500</f>
        <v>3511</v>
      </c>
      <c r="AL502" s="116">
        <f t="shared" si="61"/>
        <v>1330669000</v>
      </c>
      <c r="AM502" s="116">
        <v>239</v>
      </c>
      <c r="AN502" s="116">
        <v>76814404</v>
      </c>
      <c r="AO502" s="116">
        <v>921</v>
      </c>
      <c r="AP502" s="116">
        <v>324198587</v>
      </c>
      <c r="AQ502" s="116">
        <f t="shared" si="62"/>
        <v>2808.8</v>
      </c>
      <c r="AR502" s="116">
        <f t="shared" si="63"/>
        <v>979372384</v>
      </c>
      <c r="AS502" s="70">
        <v>0.8</v>
      </c>
    </row>
    <row r="503" spans="2:45" x14ac:dyDescent="0.3">
      <c r="B503" s="126" t="s">
        <v>661</v>
      </c>
      <c r="C503" s="98" t="str">
        <f t="shared" si="64"/>
        <v>DJ620</v>
      </c>
      <c r="D503" s="98" t="s">
        <v>55</v>
      </c>
      <c r="E503" s="98" t="str">
        <f t="shared" si="59"/>
        <v>W</v>
      </c>
      <c r="F503" s="98" t="str">
        <f t="shared" si="60"/>
        <v>DJ</v>
      </c>
      <c r="G503" s="98" t="s">
        <v>56</v>
      </c>
      <c r="H503" s="115" t="s">
        <v>662</v>
      </c>
      <c r="I503" s="98" t="s">
        <v>660</v>
      </c>
      <c r="J503" s="115">
        <f t="shared" si="65"/>
        <v>1</v>
      </c>
      <c r="K503" s="115">
        <v>1</v>
      </c>
      <c r="L503" s="121">
        <v>379000</v>
      </c>
      <c r="M503" s="78" t="s">
        <v>194</v>
      </c>
      <c r="N503" s="98" t="s">
        <v>261</v>
      </c>
      <c r="O503" s="98" t="s">
        <v>485</v>
      </c>
      <c r="P503" s="98">
        <v>100</v>
      </c>
      <c r="Q503" s="32" t="s">
        <v>119</v>
      </c>
      <c r="R503" s="98" t="s">
        <v>262</v>
      </c>
      <c r="S503" s="32" t="s">
        <v>263</v>
      </c>
      <c r="T503" s="98" t="s">
        <v>122</v>
      </c>
      <c r="U503" s="98" t="s">
        <v>658</v>
      </c>
      <c r="V503" s="98"/>
      <c r="W503" s="98"/>
      <c r="X503" s="78" t="s">
        <v>67</v>
      </c>
      <c r="Y503" s="98" t="s">
        <v>68</v>
      </c>
      <c r="Z503" s="32" t="s">
        <v>125</v>
      </c>
      <c r="AA503" s="32" t="s">
        <v>90</v>
      </c>
      <c r="AB503" s="78" t="s">
        <v>71</v>
      </c>
      <c r="AC503" s="98" t="s">
        <v>85</v>
      </c>
      <c r="AD503" s="98" t="s">
        <v>208</v>
      </c>
      <c r="AE503" s="65" t="s">
        <v>73</v>
      </c>
      <c r="AF503" s="39" t="s">
        <v>663</v>
      </c>
      <c r="AG503" s="98" t="s">
        <v>127</v>
      </c>
      <c r="AH503" s="115">
        <v>650</v>
      </c>
      <c r="AI503" s="117" t="s">
        <v>264</v>
      </c>
      <c r="AJ503" s="115" t="s">
        <v>241</v>
      </c>
      <c r="AK503" s="73">
        <v>996</v>
      </c>
      <c r="AL503" s="116">
        <f t="shared" si="61"/>
        <v>377484000</v>
      </c>
      <c r="AM503" s="116">
        <v>49</v>
      </c>
      <c r="AN503" s="116">
        <v>15839999</v>
      </c>
      <c r="AO503" s="116">
        <v>202</v>
      </c>
      <c r="AP503" s="116">
        <v>71459081</v>
      </c>
      <c r="AQ503" s="116">
        <f t="shared" si="62"/>
        <v>550.59999999999991</v>
      </c>
      <c r="AR503" s="116">
        <f t="shared" si="63"/>
        <v>191983207.99999997</v>
      </c>
      <c r="AS503" s="118">
        <v>0.55281124497991962</v>
      </c>
    </row>
    <row r="504" spans="2:45" x14ac:dyDescent="0.3">
      <c r="B504" s="126" t="s">
        <v>661</v>
      </c>
      <c r="C504" s="98" t="str">
        <f t="shared" si="64"/>
        <v>DJ620</v>
      </c>
      <c r="D504" s="98" t="s">
        <v>55</v>
      </c>
      <c r="E504" s="98" t="str">
        <f t="shared" ref="E504:E567" si="66">MID($B504,2,1)</f>
        <v>W</v>
      </c>
      <c r="F504" s="98" t="str">
        <f t="shared" ref="F504:F567" si="67">MID($B504,3,2)</f>
        <v>DJ</v>
      </c>
      <c r="G504" s="98" t="s">
        <v>56</v>
      </c>
      <c r="H504" s="115" t="s">
        <v>662</v>
      </c>
      <c r="I504" s="98" t="s">
        <v>113</v>
      </c>
      <c r="J504" s="115" t="str">
        <f t="shared" si="65"/>
        <v/>
      </c>
      <c r="K504" s="115">
        <v>1</v>
      </c>
      <c r="L504" s="121">
        <v>379000</v>
      </c>
      <c r="M504" s="78" t="s">
        <v>194</v>
      </c>
      <c r="N504" s="98" t="s">
        <v>261</v>
      </c>
      <c r="O504" s="98" t="s">
        <v>485</v>
      </c>
      <c r="P504" s="98">
        <v>100</v>
      </c>
      <c r="Q504" s="32" t="s">
        <v>119</v>
      </c>
      <c r="R504" s="98" t="s">
        <v>262</v>
      </c>
      <c r="S504" s="32" t="s">
        <v>263</v>
      </c>
      <c r="T504" s="98" t="s">
        <v>122</v>
      </c>
      <c r="U504" s="98" t="s">
        <v>658</v>
      </c>
      <c r="V504" s="98"/>
      <c r="W504" s="98"/>
      <c r="X504" s="78" t="s">
        <v>67</v>
      </c>
      <c r="Y504" s="98" t="s">
        <v>68</v>
      </c>
      <c r="Z504" s="32" t="s">
        <v>125</v>
      </c>
      <c r="AA504" s="32" t="s">
        <v>90</v>
      </c>
      <c r="AB504" s="78" t="s">
        <v>71</v>
      </c>
      <c r="AC504" s="98" t="s">
        <v>85</v>
      </c>
      <c r="AD504" s="98" t="s">
        <v>208</v>
      </c>
      <c r="AE504" s="65" t="s">
        <v>73</v>
      </c>
      <c r="AF504" s="39" t="s">
        <v>663</v>
      </c>
      <c r="AG504" s="98" t="s">
        <v>127</v>
      </c>
      <c r="AH504" s="115">
        <v>650</v>
      </c>
      <c r="AI504" s="117" t="s">
        <v>264</v>
      </c>
      <c r="AJ504" s="115" t="s">
        <v>241</v>
      </c>
      <c r="AK504" s="72">
        <f>1583+1500</f>
        <v>3083</v>
      </c>
      <c r="AL504" s="116">
        <f t="shared" si="61"/>
        <v>1168457000</v>
      </c>
      <c r="AM504" s="116">
        <v>193</v>
      </c>
      <c r="AN504" s="116">
        <v>60696873</v>
      </c>
      <c r="AO504" s="116">
        <v>1084</v>
      </c>
      <c r="AP504" s="116">
        <v>388492028</v>
      </c>
      <c r="AQ504" s="116">
        <f t="shared" si="62"/>
        <v>2466.4</v>
      </c>
      <c r="AR504" s="116">
        <f t="shared" si="63"/>
        <v>859984352</v>
      </c>
      <c r="AS504" s="70">
        <v>0.8</v>
      </c>
    </row>
    <row r="505" spans="2:45" x14ac:dyDescent="0.3">
      <c r="B505" s="126" t="s">
        <v>661</v>
      </c>
      <c r="C505" s="98" t="str">
        <f t="shared" si="64"/>
        <v>DJ620</v>
      </c>
      <c r="D505" s="98" t="s">
        <v>55</v>
      </c>
      <c r="E505" s="98" t="str">
        <f t="shared" si="66"/>
        <v>W</v>
      </c>
      <c r="F505" s="98" t="str">
        <f t="shared" si="67"/>
        <v>DJ</v>
      </c>
      <c r="G505" s="98" t="s">
        <v>56</v>
      </c>
      <c r="H505" s="115" t="s">
        <v>662</v>
      </c>
      <c r="I505" s="98" t="s">
        <v>82</v>
      </c>
      <c r="J505" s="115" t="str">
        <f t="shared" si="65"/>
        <v/>
      </c>
      <c r="K505" s="115">
        <v>1</v>
      </c>
      <c r="L505" s="121">
        <v>379000</v>
      </c>
      <c r="M505" s="78" t="s">
        <v>194</v>
      </c>
      <c r="N505" s="98" t="s">
        <v>261</v>
      </c>
      <c r="O505" s="98" t="s">
        <v>485</v>
      </c>
      <c r="P505" s="98">
        <v>100</v>
      </c>
      <c r="Q505" s="32" t="s">
        <v>119</v>
      </c>
      <c r="R505" s="98" t="s">
        <v>262</v>
      </c>
      <c r="S505" s="32" t="s">
        <v>263</v>
      </c>
      <c r="T505" s="98" t="s">
        <v>122</v>
      </c>
      <c r="U505" s="98" t="s">
        <v>658</v>
      </c>
      <c r="V505" s="98"/>
      <c r="W505" s="98"/>
      <c r="X505" s="78" t="s">
        <v>67</v>
      </c>
      <c r="Y505" s="98" t="s">
        <v>68</v>
      </c>
      <c r="Z505" s="32" t="s">
        <v>125</v>
      </c>
      <c r="AA505" s="32" t="s">
        <v>90</v>
      </c>
      <c r="AB505" s="78" t="s">
        <v>71</v>
      </c>
      <c r="AC505" s="98" t="s">
        <v>85</v>
      </c>
      <c r="AD505" s="98" t="s">
        <v>208</v>
      </c>
      <c r="AE505" s="65" t="s">
        <v>73</v>
      </c>
      <c r="AF505" s="39" t="s">
        <v>663</v>
      </c>
      <c r="AG505" s="98" t="s">
        <v>127</v>
      </c>
      <c r="AH505" s="115">
        <v>650</v>
      </c>
      <c r="AI505" s="117" t="s">
        <v>264</v>
      </c>
      <c r="AJ505" s="115" t="s">
        <v>241</v>
      </c>
      <c r="AK505" s="73">
        <v>946</v>
      </c>
      <c r="AL505" s="116">
        <f t="shared" si="61"/>
        <v>358534000</v>
      </c>
      <c r="AM505" s="116">
        <v>66</v>
      </c>
      <c r="AN505" s="116">
        <v>20313727</v>
      </c>
      <c r="AO505" s="116">
        <v>275</v>
      </c>
      <c r="AP505" s="116">
        <v>96528591</v>
      </c>
      <c r="AQ505" s="116">
        <f t="shared" si="62"/>
        <v>606.09999999999991</v>
      </c>
      <c r="AR505" s="116">
        <f t="shared" si="63"/>
        <v>211334947.99999997</v>
      </c>
      <c r="AS505" s="118">
        <v>0.64069767441860459</v>
      </c>
    </row>
    <row r="506" spans="2:45" x14ac:dyDescent="0.3">
      <c r="B506" s="126" t="s">
        <v>661</v>
      </c>
      <c r="C506" s="98" t="str">
        <f t="shared" si="64"/>
        <v>DJ620</v>
      </c>
      <c r="D506" s="98" t="s">
        <v>55</v>
      </c>
      <c r="E506" s="98" t="str">
        <f t="shared" si="66"/>
        <v>W</v>
      </c>
      <c r="F506" s="98" t="str">
        <f t="shared" si="67"/>
        <v>DJ</v>
      </c>
      <c r="G506" s="98" t="s">
        <v>56</v>
      </c>
      <c r="H506" s="115" t="s">
        <v>662</v>
      </c>
      <c r="I506" s="98" t="s">
        <v>79</v>
      </c>
      <c r="J506" s="115" t="str">
        <f t="shared" si="65"/>
        <v/>
      </c>
      <c r="K506" s="115">
        <v>1</v>
      </c>
      <c r="L506" s="121">
        <v>379000</v>
      </c>
      <c r="M506" s="78" t="s">
        <v>194</v>
      </c>
      <c r="N506" s="98" t="s">
        <v>261</v>
      </c>
      <c r="O506" s="98" t="s">
        <v>485</v>
      </c>
      <c r="P506" s="98">
        <v>100</v>
      </c>
      <c r="Q506" s="32" t="s">
        <v>119</v>
      </c>
      <c r="R506" s="98" t="s">
        <v>262</v>
      </c>
      <c r="S506" s="32" t="s">
        <v>263</v>
      </c>
      <c r="T506" s="98" t="s">
        <v>122</v>
      </c>
      <c r="U506" s="98" t="s">
        <v>658</v>
      </c>
      <c r="V506" s="98"/>
      <c r="W506" s="98"/>
      <c r="X506" s="78" t="s">
        <v>67</v>
      </c>
      <c r="Y506" s="98" t="s">
        <v>68</v>
      </c>
      <c r="Z506" s="32" t="s">
        <v>125</v>
      </c>
      <c r="AA506" s="32" t="s">
        <v>90</v>
      </c>
      <c r="AB506" s="78" t="s">
        <v>71</v>
      </c>
      <c r="AC506" s="98" t="s">
        <v>85</v>
      </c>
      <c r="AD506" s="98" t="s">
        <v>208</v>
      </c>
      <c r="AE506" s="65" t="s">
        <v>73</v>
      </c>
      <c r="AF506" s="39" t="s">
        <v>663</v>
      </c>
      <c r="AG506" s="98" t="s">
        <v>127</v>
      </c>
      <c r="AH506" s="115">
        <v>650</v>
      </c>
      <c r="AI506" s="117" t="s">
        <v>264</v>
      </c>
      <c r="AJ506" s="115" t="s">
        <v>241</v>
      </c>
      <c r="AK506" s="73">
        <v>2337</v>
      </c>
      <c r="AL506" s="116">
        <f t="shared" si="61"/>
        <v>885723000</v>
      </c>
      <c r="AM506" s="116">
        <v>218</v>
      </c>
      <c r="AN506" s="116">
        <v>65942407</v>
      </c>
      <c r="AO506" s="116">
        <v>747</v>
      </c>
      <c r="AP506" s="116">
        <v>258838939</v>
      </c>
      <c r="AQ506" s="116">
        <f t="shared" si="62"/>
        <v>1564.9499999999998</v>
      </c>
      <c r="AR506" s="116">
        <f t="shared" si="63"/>
        <v>545666766</v>
      </c>
      <c r="AS506" s="118">
        <v>0.66964056482670087</v>
      </c>
    </row>
    <row r="507" spans="2:45" x14ac:dyDescent="0.3">
      <c r="B507" s="126" t="s">
        <v>661</v>
      </c>
      <c r="C507" s="98" t="str">
        <f t="shared" si="64"/>
        <v>DJ620</v>
      </c>
      <c r="D507" s="98" t="s">
        <v>55</v>
      </c>
      <c r="E507" s="98" t="str">
        <f t="shared" si="66"/>
        <v>W</v>
      </c>
      <c r="F507" s="98" t="str">
        <f t="shared" si="67"/>
        <v>DJ</v>
      </c>
      <c r="G507" s="98" t="s">
        <v>56</v>
      </c>
      <c r="H507" s="115" t="s">
        <v>662</v>
      </c>
      <c r="I507" s="98" t="s">
        <v>78</v>
      </c>
      <c r="J507" s="115" t="str">
        <f t="shared" si="65"/>
        <v/>
      </c>
      <c r="K507" s="115">
        <v>1</v>
      </c>
      <c r="L507" s="121">
        <v>379000</v>
      </c>
      <c r="M507" s="78" t="s">
        <v>194</v>
      </c>
      <c r="N507" s="98" t="s">
        <v>261</v>
      </c>
      <c r="O507" s="98" t="s">
        <v>485</v>
      </c>
      <c r="P507" s="98">
        <v>100</v>
      </c>
      <c r="Q507" s="32" t="s">
        <v>119</v>
      </c>
      <c r="R507" s="98" t="s">
        <v>262</v>
      </c>
      <c r="S507" s="32" t="s">
        <v>263</v>
      </c>
      <c r="T507" s="98" t="s">
        <v>122</v>
      </c>
      <c r="U507" s="98" t="s">
        <v>658</v>
      </c>
      <c r="V507" s="98"/>
      <c r="W507" s="98"/>
      <c r="X507" s="78" t="s">
        <v>67</v>
      </c>
      <c r="Y507" s="98" t="s">
        <v>68</v>
      </c>
      <c r="Z507" s="32" t="s">
        <v>125</v>
      </c>
      <c r="AA507" s="32" t="s">
        <v>90</v>
      </c>
      <c r="AB507" s="78" t="s">
        <v>71</v>
      </c>
      <c r="AC507" s="98" t="s">
        <v>85</v>
      </c>
      <c r="AD507" s="98" t="s">
        <v>208</v>
      </c>
      <c r="AE507" s="65" t="s">
        <v>73</v>
      </c>
      <c r="AF507" s="39" t="s">
        <v>663</v>
      </c>
      <c r="AG507" s="98" t="s">
        <v>127</v>
      </c>
      <c r="AH507" s="115">
        <v>650</v>
      </c>
      <c r="AI507" s="117" t="s">
        <v>264</v>
      </c>
      <c r="AJ507" s="115" t="s">
        <v>241</v>
      </c>
      <c r="AK507" s="73">
        <v>10969</v>
      </c>
      <c r="AL507" s="116">
        <f t="shared" si="61"/>
        <v>4157251000</v>
      </c>
      <c r="AM507" s="116">
        <v>1010</v>
      </c>
      <c r="AN507" s="116">
        <v>340999192</v>
      </c>
      <c r="AO507" s="116">
        <v>3803</v>
      </c>
      <c r="AP507" s="116">
        <v>1362161802</v>
      </c>
      <c r="AQ507" s="116">
        <f t="shared" si="62"/>
        <v>7642.15</v>
      </c>
      <c r="AR507" s="116">
        <f t="shared" si="63"/>
        <v>2664664862</v>
      </c>
      <c r="AS507" s="118">
        <v>0.6967043486188349</v>
      </c>
    </row>
    <row r="508" spans="2:45" x14ac:dyDescent="0.3">
      <c r="B508" s="126" t="s">
        <v>664</v>
      </c>
      <c r="C508" s="98" t="str">
        <f t="shared" si="64"/>
        <v>DJ630</v>
      </c>
      <c r="D508" s="98" t="s">
        <v>55</v>
      </c>
      <c r="E508" s="98" t="str">
        <f t="shared" si="66"/>
        <v>M</v>
      </c>
      <c r="F508" s="98" t="str">
        <f t="shared" si="67"/>
        <v>DJ</v>
      </c>
      <c r="G508" s="98" t="s">
        <v>56</v>
      </c>
      <c r="H508" s="115" t="s">
        <v>665</v>
      </c>
      <c r="I508" s="98" t="s">
        <v>78</v>
      </c>
      <c r="J508" s="115">
        <f t="shared" si="65"/>
        <v>1</v>
      </c>
      <c r="K508" s="115">
        <v>1</v>
      </c>
      <c r="L508" s="121">
        <v>369000</v>
      </c>
      <c r="M508" s="78" t="s">
        <v>194</v>
      </c>
      <c r="N508" s="98" t="s">
        <v>261</v>
      </c>
      <c r="O508" s="98" t="s">
        <v>485</v>
      </c>
      <c r="P508" s="98">
        <v>100</v>
      </c>
      <c r="Q508" s="32" t="s">
        <v>119</v>
      </c>
      <c r="R508" s="98" t="s">
        <v>262</v>
      </c>
      <c r="S508" s="32" t="s">
        <v>263</v>
      </c>
      <c r="T508" s="98" t="s">
        <v>122</v>
      </c>
      <c r="U508" s="98" t="s">
        <v>207</v>
      </c>
      <c r="V508" s="98"/>
      <c r="W508" s="98"/>
      <c r="X508" s="78" t="s">
        <v>67</v>
      </c>
      <c r="Y508" s="98" t="s">
        <v>68</v>
      </c>
      <c r="Z508" s="32" t="s">
        <v>125</v>
      </c>
      <c r="AA508" s="32" t="s">
        <v>90</v>
      </c>
      <c r="AB508" s="78" t="s">
        <v>71</v>
      </c>
      <c r="AC508" s="98" t="s">
        <v>85</v>
      </c>
      <c r="AD508" s="98" t="s">
        <v>208</v>
      </c>
      <c r="AE508" s="65" t="s">
        <v>73</v>
      </c>
      <c r="AF508" s="39" t="s">
        <v>557</v>
      </c>
      <c r="AG508" s="98" t="s">
        <v>127</v>
      </c>
      <c r="AH508" s="115">
        <v>650</v>
      </c>
      <c r="AI508" s="117" t="s">
        <v>264</v>
      </c>
      <c r="AJ508" s="115" t="s">
        <v>241</v>
      </c>
      <c r="AK508" s="73">
        <v>13451</v>
      </c>
      <c r="AL508" s="116">
        <f t="shared" si="61"/>
        <v>4963419000</v>
      </c>
      <c r="AM508" s="116">
        <v>565</v>
      </c>
      <c r="AN508" s="116">
        <v>191975429</v>
      </c>
      <c r="AO508" s="116">
        <v>2113</v>
      </c>
      <c r="AP508" s="116">
        <v>727827041</v>
      </c>
      <c r="AQ508" s="116">
        <f t="shared" si="62"/>
        <v>6820.8499999999995</v>
      </c>
      <c r="AR508" s="116">
        <f t="shared" si="63"/>
        <v>2315542158</v>
      </c>
      <c r="AS508" s="118">
        <v>0.50708869229053599</v>
      </c>
    </row>
    <row r="509" spans="2:45" x14ac:dyDescent="0.3">
      <c r="B509" s="126" t="s">
        <v>664</v>
      </c>
      <c r="C509" s="98" t="str">
        <f t="shared" si="64"/>
        <v>DJ630</v>
      </c>
      <c r="D509" s="98" t="s">
        <v>55</v>
      </c>
      <c r="E509" s="98" t="str">
        <f t="shared" si="66"/>
        <v>M</v>
      </c>
      <c r="F509" s="98" t="str">
        <f t="shared" si="67"/>
        <v>DJ</v>
      </c>
      <c r="G509" s="98" t="s">
        <v>56</v>
      </c>
      <c r="H509" s="115" t="s">
        <v>665</v>
      </c>
      <c r="I509" s="98" t="s">
        <v>179</v>
      </c>
      <c r="J509" s="115" t="str">
        <f t="shared" si="65"/>
        <v/>
      </c>
      <c r="K509" s="115">
        <v>1</v>
      </c>
      <c r="L509" s="121">
        <v>369000</v>
      </c>
      <c r="M509" s="78" t="s">
        <v>194</v>
      </c>
      <c r="N509" s="98" t="s">
        <v>261</v>
      </c>
      <c r="O509" s="98" t="s">
        <v>485</v>
      </c>
      <c r="P509" s="98">
        <v>100</v>
      </c>
      <c r="Q509" s="32" t="s">
        <v>119</v>
      </c>
      <c r="R509" s="98" t="s">
        <v>262</v>
      </c>
      <c r="S509" s="32" t="s">
        <v>263</v>
      </c>
      <c r="T509" s="98" t="s">
        <v>122</v>
      </c>
      <c r="U509" s="98" t="s">
        <v>207</v>
      </c>
      <c r="V509" s="98"/>
      <c r="W509" s="98"/>
      <c r="X509" s="78" t="s">
        <v>67</v>
      </c>
      <c r="Y509" s="98" t="s">
        <v>68</v>
      </c>
      <c r="Z509" s="32" t="s">
        <v>125</v>
      </c>
      <c r="AA509" s="32" t="s">
        <v>90</v>
      </c>
      <c r="AB509" s="78" t="s">
        <v>71</v>
      </c>
      <c r="AC509" s="98" t="s">
        <v>85</v>
      </c>
      <c r="AD509" s="98" t="s">
        <v>208</v>
      </c>
      <c r="AE509" s="65" t="s">
        <v>73</v>
      </c>
      <c r="AF509" s="39" t="s">
        <v>557</v>
      </c>
      <c r="AG509" s="98" t="s">
        <v>127</v>
      </c>
      <c r="AH509" s="115">
        <v>650</v>
      </c>
      <c r="AI509" s="117" t="s">
        <v>264</v>
      </c>
      <c r="AJ509" s="115" t="s">
        <v>241</v>
      </c>
      <c r="AK509" s="73">
        <v>1011</v>
      </c>
      <c r="AL509" s="116">
        <f t="shared" si="61"/>
        <v>373059000</v>
      </c>
      <c r="AM509" s="116">
        <v>47</v>
      </c>
      <c r="AN509" s="116">
        <v>16130283</v>
      </c>
      <c r="AO509" s="116">
        <v>230</v>
      </c>
      <c r="AP509" s="116">
        <v>79783120</v>
      </c>
      <c r="AQ509" s="116">
        <f t="shared" si="62"/>
        <v>583.85</v>
      </c>
      <c r="AR509" s="116">
        <f t="shared" si="63"/>
        <v>198205398</v>
      </c>
      <c r="AS509" s="118">
        <v>0.57749752720079128</v>
      </c>
    </row>
    <row r="510" spans="2:45" x14ac:dyDescent="0.3">
      <c r="B510" s="126" t="s">
        <v>664</v>
      </c>
      <c r="C510" s="98" t="str">
        <f t="shared" si="64"/>
        <v>DJ630</v>
      </c>
      <c r="D510" s="98" t="s">
        <v>55</v>
      </c>
      <c r="E510" s="98" t="str">
        <f t="shared" si="66"/>
        <v>M</v>
      </c>
      <c r="F510" s="98" t="str">
        <f t="shared" si="67"/>
        <v>DJ</v>
      </c>
      <c r="G510" s="98" t="s">
        <v>56</v>
      </c>
      <c r="H510" s="115" t="s">
        <v>665</v>
      </c>
      <c r="I510" s="98" t="s">
        <v>113</v>
      </c>
      <c r="J510" s="115" t="str">
        <f t="shared" si="65"/>
        <v/>
      </c>
      <c r="K510" s="115">
        <v>1</v>
      </c>
      <c r="L510" s="121">
        <v>369000</v>
      </c>
      <c r="M510" s="78" t="s">
        <v>194</v>
      </c>
      <c r="N510" s="98" t="s">
        <v>261</v>
      </c>
      <c r="O510" s="98" t="s">
        <v>485</v>
      </c>
      <c r="P510" s="98">
        <v>100</v>
      </c>
      <c r="Q510" s="32" t="s">
        <v>119</v>
      </c>
      <c r="R510" s="98" t="s">
        <v>262</v>
      </c>
      <c r="S510" s="32" t="s">
        <v>263</v>
      </c>
      <c r="T510" s="98" t="s">
        <v>122</v>
      </c>
      <c r="U510" s="98" t="s">
        <v>207</v>
      </c>
      <c r="V510" s="98"/>
      <c r="W510" s="98"/>
      <c r="X510" s="78" t="s">
        <v>67</v>
      </c>
      <c r="Y510" s="98" t="s">
        <v>68</v>
      </c>
      <c r="Z510" s="32" t="s">
        <v>125</v>
      </c>
      <c r="AA510" s="32" t="s">
        <v>90</v>
      </c>
      <c r="AB510" s="78" t="s">
        <v>71</v>
      </c>
      <c r="AC510" s="98" t="s">
        <v>85</v>
      </c>
      <c r="AD510" s="98" t="s">
        <v>208</v>
      </c>
      <c r="AE510" s="65" t="s">
        <v>73</v>
      </c>
      <c r="AF510" s="39" t="s">
        <v>557</v>
      </c>
      <c r="AG510" s="98" t="s">
        <v>127</v>
      </c>
      <c r="AH510" s="115">
        <v>650</v>
      </c>
      <c r="AI510" s="117" t="s">
        <v>264</v>
      </c>
      <c r="AJ510" s="115" t="s">
        <v>241</v>
      </c>
      <c r="AK510" s="73">
        <v>1916</v>
      </c>
      <c r="AL510" s="116">
        <f t="shared" si="61"/>
        <v>707004000</v>
      </c>
      <c r="AM510" s="116">
        <v>157</v>
      </c>
      <c r="AN510" s="116">
        <v>53326326</v>
      </c>
      <c r="AO510" s="116">
        <v>515</v>
      </c>
      <c r="AP510" s="116">
        <v>179871547</v>
      </c>
      <c r="AQ510" s="116">
        <f t="shared" si="62"/>
        <v>1185.5999999999999</v>
      </c>
      <c r="AR510" s="116">
        <f t="shared" si="63"/>
        <v>402487487.99999994</v>
      </c>
      <c r="AS510" s="118">
        <v>0.61878914405010432</v>
      </c>
    </row>
    <row r="511" spans="2:45" x14ac:dyDescent="0.3">
      <c r="B511" s="126" t="s">
        <v>664</v>
      </c>
      <c r="C511" s="98" t="str">
        <f t="shared" si="64"/>
        <v>DJ630</v>
      </c>
      <c r="D511" s="98" t="s">
        <v>55</v>
      </c>
      <c r="E511" s="98" t="str">
        <f t="shared" si="66"/>
        <v>M</v>
      </c>
      <c r="F511" s="98" t="str">
        <f t="shared" si="67"/>
        <v>DJ</v>
      </c>
      <c r="G511" s="98" t="s">
        <v>56</v>
      </c>
      <c r="H511" s="115" t="s">
        <v>665</v>
      </c>
      <c r="I511" s="98" t="s">
        <v>159</v>
      </c>
      <c r="J511" s="115" t="str">
        <f t="shared" si="65"/>
        <v/>
      </c>
      <c r="K511" s="115">
        <v>1</v>
      </c>
      <c r="L511" s="121">
        <v>369000</v>
      </c>
      <c r="M511" s="78" t="s">
        <v>194</v>
      </c>
      <c r="N511" s="98" t="s">
        <v>261</v>
      </c>
      <c r="O511" s="98" t="s">
        <v>485</v>
      </c>
      <c r="P511" s="98">
        <v>100</v>
      </c>
      <c r="Q511" s="32" t="s">
        <v>119</v>
      </c>
      <c r="R511" s="98" t="s">
        <v>262</v>
      </c>
      <c r="S511" s="32" t="s">
        <v>263</v>
      </c>
      <c r="T511" s="98" t="s">
        <v>122</v>
      </c>
      <c r="U511" s="98" t="s">
        <v>207</v>
      </c>
      <c r="V511" s="98"/>
      <c r="W511" s="98"/>
      <c r="X511" s="78" t="s">
        <v>67</v>
      </c>
      <c r="Y511" s="98" t="s">
        <v>68</v>
      </c>
      <c r="Z511" s="32" t="s">
        <v>125</v>
      </c>
      <c r="AA511" s="32" t="s">
        <v>90</v>
      </c>
      <c r="AB511" s="78" t="s">
        <v>71</v>
      </c>
      <c r="AC511" s="98" t="s">
        <v>85</v>
      </c>
      <c r="AD511" s="98" t="s">
        <v>208</v>
      </c>
      <c r="AE511" s="65" t="s">
        <v>73</v>
      </c>
      <c r="AF511" s="39" t="s">
        <v>557</v>
      </c>
      <c r="AG511" s="98" t="s">
        <v>127</v>
      </c>
      <c r="AH511" s="115">
        <v>650</v>
      </c>
      <c r="AI511" s="117" t="s">
        <v>264</v>
      </c>
      <c r="AJ511" s="115" t="s">
        <v>241</v>
      </c>
      <c r="AK511" s="73">
        <v>1105</v>
      </c>
      <c r="AL511" s="116">
        <f t="shared" si="61"/>
        <v>407745000</v>
      </c>
      <c r="AM511" s="116">
        <v>68</v>
      </c>
      <c r="AN511" s="116">
        <v>23161867</v>
      </c>
      <c r="AO511" s="116">
        <v>256</v>
      </c>
      <c r="AP511" s="116">
        <v>89121415</v>
      </c>
      <c r="AQ511" s="116">
        <f t="shared" si="62"/>
        <v>642.74999999999989</v>
      </c>
      <c r="AR511" s="116">
        <f t="shared" si="63"/>
        <v>218200769.99999997</v>
      </c>
      <c r="AS511" s="118">
        <v>0.58167420814479631</v>
      </c>
    </row>
    <row r="512" spans="2:45" x14ac:dyDescent="0.3">
      <c r="B512" s="126" t="s">
        <v>666</v>
      </c>
      <c r="C512" s="98" t="str">
        <f t="shared" si="64"/>
        <v>DJ640</v>
      </c>
      <c r="D512" s="98" t="s">
        <v>55</v>
      </c>
      <c r="E512" s="98" t="str">
        <f t="shared" si="66"/>
        <v>W</v>
      </c>
      <c r="F512" s="98" t="str">
        <f t="shared" si="67"/>
        <v>DJ</v>
      </c>
      <c r="G512" s="98" t="s">
        <v>56</v>
      </c>
      <c r="H512" s="115" t="s">
        <v>667</v>
      </c>
      <c r="I512" s="98" t="s">
        <v>159</v>
      </c>
      <c r="J512" s="115">
        <f t="shared" si="65"/>
        <v>1</v>
      </c>
      <c r="K512" s="115">
        <v>1</v>
      </c>
      <c r="L512" s="121">
        <v>369000</v>
      </c>
      <c r="M512" s="78" t="s">
        <v>194</v>
      </c>
      <c r="N512" s="98" t="s">
        <v>261</v>
      </c>
      <c r="O512" s="98" t="s">
        <v>485</v>
      </c>
      <c r="P512" s="98">
        <v>100</v>
      </c>
      <c r="Q512" s="32" t="s">
        <v>119</v>
      </c>
      <c r="R512" s="98" t="s">
        <v>262</v>
      </c>
      <c r="S512" s="32" t="s">
        <v>263</v>
      </c>
      <c r="T512" s="98" t="s">
        <v>122</v>
      </c>
      <c r="U512" s="98" t="s">
        <v>207</v>
      </c>
      <c r="V512" s="98"/>
      <c r="W512" s="98"/>
      <c r="X512" s="78" t="s">
        <v>67</v>
      </c>
      <c r="Y512" s="98" t="s">
        <v>68</v>
      </c>
      <c r="Z512" s="32" t="s">
        <v>125</v>
      </c>
      <c r="AA512" s="32" t="s">
        <v>90</v>
      </c>
      <c r="AB512" s="78" t="s">
        <v>71</v>
      </c>
      <c r="AC512" s="98" t="s">
        <v>85</v>
      </c>
      <c r="AD512" s="98" t="s">
        <v>208</v>
      </c>
      <c r="AE512" s="65" t="s">
        <v>73</v>
      </c>
      <c r="AF512" s="39" t="s">
        <v>301</v>
      </c>
      <c r="AG512" s="98" t="s">
        <v>127</v>
      </c>
      <c r="AH512" s="115">
        <v>650</v>
      </c>
      <c r="AI512" s="117" t="s">
        <v>264</v>
      </c>
      <c r="AJ512" s="115" t="s">
        <v>241</v>
      </c>
      <c r="AK512" s="73">
        <v>606</v>
      </c>
      <c r="AL512" s="116">
        <f t="shared" si="61"/>
        <v>223614000</v>
      </c>
      <c r="AM512" s="116">
        <v>40</v>
      </c>
      <c r="AN512" s="116">
        <v>13929247</v>
      </c>
      <c r="AO512" s="116">
        <v>185</v>
      </c>
      <c r="AP512" s="116">
        <v>65342822</v>
      </c>
      <c r="AQ512" s="116">
        <f t="shared" si="62"/>
        <v>397.09999999999997</v>
      </c>
      <c r="AR512" s="116">
        <f t="shared" si="63"/>
        <v>134807508</v>
      </c>
      <c r="AS512" s="118">
        <v>0.65528052805280523</v>
      </c>
    </row>
    <row r="513" spans="2:45" x14ac:dyDescent="0.3">
      <c r="B513" s="126" t="s">
        <v>666</v>
      </c>
      <c r="C513" s="98" t="str">
        <f t="shared" si="64"/>
        <v>DJ640</v>
      </c>
      <c r="D513" s="98" t="s">
        <v>55</v>
      </c>
      <c r="E513" s="98" t="str">
        <f t="shared" si="66"/>
        <v>W</v>
      </c>
      <c r="F513" s="98" t="str">
        <f t="shared" si="67"/>
        <v>DJ</v>
      </c>
      <c r="G513" s="98" t="s">
        <v>56</v>
      </c>
      <c r="H513" s="115" t="s">
        <v>667</v>
      </c>
      <c r="I513" s="98" t="s">
        <v>79</v>
      </c>
      <c r="J513" s="115" t="str">
        <f t="shared" si="65"/>
        <v/>
      </c>
      <c r="K513" s="115">
        <v>1</v>
      </c>
      <c r="L513" s="121">
        <v>369000</v>
      </c>
      <c r="M513" s="78" t="s">
        <v>194</v>
      </c>
      <c r="N513" s="98" t="s">
        <v>261</v>
      </c>
      <c r="O513" s="98" t="s">
        <v>485</v>
      </c>
      <c r="P513" s="98">
        <v>100</v>
      </c>
      <c r="Q513" s="32" t="s">
        <v>119</v>
      </c>
      <c r="R513" s="98" t="s">
        <v>262</v>
      </c>
      <c r="S513" s="32" t="s">
        <v>263</v>
      </c>
      <c r="T513" s="98" t="s">
        <v>122</v>
      </c>
      <c r="U513" s="98" t="s">
        <v>207</v>
      </c>
      <c r="V513" s="98"/>
      <c r="W513" s="98"/>
      <c r="X513" s="78" t="s">
        <v>67</v>
      </c>
      <c r="Y513" s="98" t="s">
        <v>68</v>
      </c>
      <c r="Z513" s="32" t="s">
        <v>125</v>
      </c>
      <c r="AA513" s="32" t="s">
        <v>90</v>
      </c>
      <c r="AB513" s="78" t="s">
        <v>71</v>
      </c>
      <c r="AC513" s="98" t="s">
        <v>85</v>
      </c>
      <c r="AD513" s="98" t="s">
        <v>208</v>
      </c>
      <c r="AE513" s="65" t="s">
        <v>73</v>
      </c>
      <c r="AF513" s="39" t="s">
        <v>301</v>
      </c>
      <c r="AG513" s="98" t="s">
        <v>127</v>
      </c>
      <c r="AH513" s="115">
        <v>650</v>
      </c>
      <c r="AI513" s="117" t="s">
        <v>264</v>
      </c>
      <c r="AJ513" s="115" t="s">
        <v>241</v>
      </c>
      <c r="AK513" s="73">
        <v>1004</v>
      </c>
      <c r="AL513" s="116">
        <f t="shared" si="61"/>
        <v>370476000</v>
      </c>
      <c r="AM513" s="116">
        <v>63</v>
      </c>
      <c r="AN513" s="116">
        <v>21495401</v>
      </c>
      <c r="AO513" s="116">
        <v>294</v>
      </c>
      <c r="AP513" s="116">
        <v>103583451</v>
      </c>
      <c r="AQ513" s="116">
        <f t="shared" si="62"/>
        <v>645.40000000000009</v>
      </c>
      <c r="AR513" s="116">
        <f t="shared" si="63"/>
        <v>219100392.00000003</v>
      </c>
      <c r="AS513" s="118">
        <v>0.64282868525896419</v>
      </c>
    </row>
    <row r="514" spans="2:45" x14ac:dyDescent="0.3">
      <c r="B514" s="126" t="s">
        <v>666</v>
      </c>
      <c r="C514" s="98" t="str">
        <f t="shared" si="64"/>
        <v>DJ640</v>
      </c>
      <c r="D514" s="98" t="s">
        <v>55</v>
      </c>
      <c r="E514" s="98" t="str">
        <f t="shared" si="66"/>
        <v>W</v>
      </c>
      <c r="F514" s="98" t="str">
        <f t="shared" si="67"/>
        <v>DJ</v>
      </c>
      <c r="G514" s="98" t="s">
        <v>56</v>
      </c>
      <c r="H514" s="115" t="s">
        <v>667</v>
      </c>
      <c r="I514" s="98" t="s">
        <v>78</v>
      </c>
      <c r="J514" s="115" t="str">
        <f t="shared" si="65"/>
        <v/>
      </c>
      <c r="K514" s="115">
        <v>1</v>
      </c>
      <c r="L514" s="121">
        <v>369000</v>
      </c>
      <c r="M514" s="78" t="s">
        <v>194</v>
      </c>
      <c r="N514" s="98" t="s">
        <v>261</v>
      </c>
      <c r="O514" s="98" t="s">
        <v>485</v>
      </c>
      <c r="P514" s="98">
        <v>100</v>
      </c>
      <c r="Q514" s="32" t="s">
        <v>119</v>
      </c>
      <c r="R514" s="98" t="s">
        <v>262</v>
      </c>
      <c r="S514" s="32" t="s">
        <v>263</v>
      </c>
      <c r="T514" s="98" t="s">
        <v>122</v>
      </c>
      <c r="U514" s="98" t="s">
        <v>207</v>
      </c>
      <c r="V514" s="98"/>
      <c r="W514" s="98"/>
      <c r="X514" s="78" t="s">
        <v>67</v>
      </c>
      <c r="Y514" s="98" t="s">
        <v>68</v>
      </c>
      <c r="Z514" s="32" t="s">
        <v>125</v>
      </c>
      <c r="AA514" s="32" t="s">
        <v>90</v>
      </c>
      <c r="AB514" s="78" t="s">
        <v>71</v>
      </c>
      <c r="AC514" s="98" t="s">
        <v>85</v>
      </c>
      <c r="AD514" s="98" t="s">
        <v>208</v>
      </c>
      <c r="AE514" s="65" t="s">
        <v>73</v>
      </c>
      <c r="AF514" s="39" t="s">
        <v>301</v>
      </c>
      <c r="AG514" s="98" t="s">
        <v>127</v>
      </c>
      <c r="AH514" s="115">
        <v>650</v>
      </c>
      <c r="AI514" s="117" t="s">
        <v>264</v>
      </c>
      <c r="AJ514" s="115" t="s">
        <v>241</v>
      </c>
      <c r="AK514" s="73">
        <v>6216</v>
      </c>
      <c r="AL514" s="116">
        <f t="shared" si="61"/>
        <v>2293704000</v>
      </c>
      <c r="AM514" s="116">
        <v>305</v>
      </c>
      <c r="AN514" s="116">
        <v>103376268</v>
      </c>
      <c r="AO514" s="116">
        <v>1367</v>
      </c>
      <c r="AP514" s="116">
        <v>480470914</v>
      </c>
      <c r="AQ514" s="116">
        <f t="shared" si="62"/>
        <v>3542.6</v>
      </c>
      <c r="AR514" s="116">
        <f t="shared" si="63"/>
        <v>1202641848</v>
      </c>
      <c r="AS514" s="118">
        <v>0.56991634491634491</v>
      </c>
    </row>
    <row r="515" spans="2:45" x14ac:dyDescent="0.3">
      <c r="B515" s="126" t="s">
        <v>666</v>
      </c>
      <c r="C515" s="98" t="str">
        <f t="shared" si="64"/>
        <v>DJ640</v>
      </c>
      <c r="D515" s="98" t="s">
        <v>55</v>
      </c>
      <c r="E515" s="98" t="str">
        <f t="shared" si="66"/>
        <v>W</v>
      </c>
      <c r="F515" s="98" t="str">
        <f t="shared" si="67"/>
        <v>DJ</v>
      </c>
      <c r="G515" s="98" t="s">
        <v>56</v>
      </c>
      <c r="H515" s="115" t="s">
        <v>667</v>
      </c>
      <c r="I515" s="98" t="s">
        <v>82</v>
      </c>
      <c r="J515" s="115" t="str">
        <f t="shared" si="65"/>
        <v/>
      </c>
      <c r="K515" s="115">
        <v>1</v>
      </c>
      <c r="L515" s="121">
        <v>369000</v>
      </c>
      <c r="M515" s="78" t="s">
        <v>194</v>
      </c>
      <c r="N515" s="98" t="s">
        <v>261</v>
      </c>
      <c r="O515" s="98" t="s">
        <v>485</v>
      </c>
      <c r="P515" s="98">
        <v>100</v>
      </c>
      <c r="Q515" s="32" t="s">
        <v>119</v>
      </c>
      <c r="R515" s="98" t="s">
        <v>262</v>
      </c>
      <c r="S515" s="32" t="s">
        <v>263</v>
      </c>
      <c r="T515" s="98" t="s">
        <v>122</v>
      </c>
      <c r="U515" s="98" t="s">
        <v>207</v>
      </c>
      <c r="V515" s="98"/>
      <c r="W515" s="98"/>
      <c r="X515" s="78" t="s">
        <v>67</v>
      </c>
      <c r="Y515" s="98" t="s">
        <v>68</v>
      </c>
      <c r="Z515" s="32" t="s">
        <v>125</v>
      </c>
      <c r="AA515" s="32" t="s">
        <v>90</v>
      </c>
      <c r="AB515" s="78" t="s">
        <v>71</v>
      </c>
      <c r="AC515" s="98" t="s">
        <v>85</v>
      </c>
      <c r="AD515" s="98" t="s">
        <v>208</v>
      </c>
      <c r="AE515" s="65" t="s">
        <v>73</v>
      </c>
      <c r="AF515" s="39" t="s">
        <v>301</v>
      </c>
      <c r="AG515" s="98" t="s">
        <v>127</v>
      </c>
      <c r="AH515" s="115">
        <v>650</v>
      </c>
      <c r="AI515" s="117" t="s">
        <v>264</v>
      </c>
      <c r="AJ515" s="115" t="s">
        <v>241</v>
      </c>
      <c r="AK515" s="73">
        <v>703</v>
      </c>
      <c r="AL515" s="116">
        <f t="shared" si="61"/>
        <v>259407000</v>
      </c>
      <c r="AM515" s="116">
        <v>4</v>
      </c>
      <c r="AN515" s="116">
        <v>1391470</v>
      </c>
      <c r="AO515" s="116">
        <v>40</v>
      </c>
      <c r="AP515" s="116">
        <v>13971192</v>
      </c>
      <c r="AQ515" s="116">
        <f t="shared" si="62"/>
        <v>286.05</v>
      </c>
      <c r="AR515" s="116">
        <f t="shared" si="63"/>
        <v>97108254</v>
      </c>
      <c r="AS515" s="118">
        <v>0.40689900426742531</v>
      </c>
    </row>
    <row r="516" spans="2:45" x14ac:dyDescent="0.3">
      <c r="B516" s="126" t="s">
        <v>668</v>
      </c>
      <c r="C516" s="98" t="str">
        <f t="shared" si="64"/>
        <v>DJ670</v>
      </c>
      <c r="D516" s="98" t="s">
        <v>55</v>
      </c>
      <c r="E516" s="98" t="str">
        <f t="shared" si="66"/>
        <v>M</v>
      </c>
      <c r="F516" s="98" t="str">
        <f t="shared" si="67"/>
        <v>DJ</v>
      </c>
      <c r="G516" s="98" t="s">
        <v>56</v>
      </c>
      <c r="H516" s="115" t="s">
        <v>669</v>
      </c>
      <c r="I516" s="98" t="s">
        <v>435</v>
      </c>
      <c r="J516" s="115">
        <f t="shared" si="65"/>
        <v>1</v>
      </c>
      <c r="K516" s="115">
        <v>1</v>
      </c>
      <c r="L516" s="121">
        <v>439000</v>
      </c>
      <c r="M516" s="78" t="s">
        <v>194</v>
      </c>
      <c r="N516" s="98" t="s">
        <v>261</v>
      </c>
      <c r="O516" s="98" t="s">
        <v>485</v>
      </c>
      <c r="P516" s="98">
        <v>100</v>
      </c>
      <c r="Q516" s="32" t="s">
        <v>119</v>
      </c>
      <c r="R516" s="98" t="s">
        <v>262</v>
      </c>
      <c r="S516" s="32" t="s">
        <v>263</v>
      </c>
      <c r="T516" s="98" t="s">
        <v>122</v>
      </c>
      <c r="U516" s="98" t="s">
        <v>670</v>
      </c>
      <c r="V516" s="98"/>
      <c r="W516" s="98"/>
      <c r="X516" s="78" t="s">
        <v>67</v>
      </c>
      <c r="Y516" s="98" t="s">
        <v>68</v>
      </c>
      <c r="Z516" s="32" t="s">
        <v>125</v>
      </c>
      <c r="AA516" s="32" t="s">
        <v>90</v>
      </c>
      <c r="AB516" s="78" t="s">
        <v>71</v>
      </c>
      <c r="AC516" s="98" t="s">
        <v>144</v>
      </c>
      <c r="AD516" s="98" t="s">
        <v>279</v>
      </c>
      <c r="AE516" s="65" t="s">
        <v>73</v>
      </c>
      <c r="AF516" s="39" t="s">
        <v>671</v>
      </c>
      <c r="AG516" s="98" t="s">
        <v>127</v>
      </c>
      <c r="AH516" s="115">
        <v>650</v>
      </c>
      <c r="AI516" s="117" t="s">
        <v>107</v>
      </c>
      <c r="AJ516" s="115" t="s">
        <v>108</v>
      </c>
      <c r="AK516" s="73">
        <v>2122</v>
      </c>
      <c r="AL516" s="116">
        <f t="shared" si="61"/>
        <v>931558000</v>
      </c>
      <c r="AM516" s="116">
        <v>174</v>
      </c>
      <c r="AN516" s="116">
        <v>71300567</v>
      </c>
      <c r="AO516" s="116">
        <v>557</v>
      </c>
      <c r="AP516" s="116">
        <v>232170802</v>
      </c>
      <c r="AQ516" s="116">
        <f t="shared" si="62"/>
        <v>1193.6000000000001</v>
      </c>
      <c r="AR516" s="116">
        <f t="shared" si="63"/>
        <v>482071168.00000006</v>
      </c>
      <c r="AS516" s="118">
        <v>0.56248821866164</v>
      </c>
    </row>
    <row r="517" spans="2:45" x14ac:dyDescent="0.3">
      <c r="B517" s="126" t="s">
        <v>668</v>
      </c>
      <c r="C517" s="98" t="str">
        <f t="shared" si="64"/>
        <v>DJ670</v>
      </c>
      <c r="D517" s="98" t="s">
        <v>55</v>
      </c>
      <c r="E517" s="98" t="str">
        <f t="shared" si="66"/>
        <v>M</v>
      </c>
      <c r="F517" s="98" t="str">
        <f t="shared" si="67"/>
        <v>DJ</v>
      </c>
      <c r="G517" s="98" t="s">
        <v>56</v>
      </c>
      <c r="H517" s="115" t="s">
        <v>669</v>
      </c>
      <c r="I517" s="98" t="s">
        <v>78</v>
      </c>
      <c r="J517" s="115" t="str">
        <f t="shared" si="65"/>
        <v/>
      </c>
      <c r="K517" s="115">
        <v>1</v>
      </c>
      <c r="L517" s="121">
        <v>439000</v>
      </c>
      <c r="M517" s="78" t="s">
        <v>194</v>
      </c>
      <c r="N517" s="98" t="s">
        <v>261</v>
      </c>
      <c r="O517" s="98" t="s">
        <v>485</v>
      </c>
      <c r="P517" s="98">
        <v>100</v>
      </c>
      <c r="Q517" s="32" t="s">
        <v>119</v>
      </c>
      <c r="R517" s="98" t="s">
        <v>262</v>
      </c>
      <c r="S517" s="32" t="s">
        <v>263</v>
      </c>
      <c r="T517" s="98" t="s">
        <v>122</v>
      </c>
      <c r="U517" s="98" t="s">
        <v>670</v>
      </c>
      <c r="V517" s="98"/>
      <c r="W517" s="98"/>
      <c r="X517" s="78" t="s">
        <v>67</v>
      </c>
      <c r="Y517" s="98" t="s">
        <v>68</v>
      </c>
      <c r="Z517" s="32" t="s">
        <v>125</v>
      </c>
      <c r="AA517" s="32" t="s">
        <v>90</v>
      </c>
      <c r="AB517" s="78" t="s">
        <v>71</v>
      </c>
      <c r="AC517" s="98" t="s">
        <v>144</v>
      </c>
      <c r="AD517" s="98" t="s">
        <v>279</v>
      </c>
      <c r="AE517" s="65" t="s">
        <v>73</v>
      </c>
      <c r="AF517" s="39" t="s">
        <v>671</v>
      </c>
      <c r="AG517" s="98" t="s">
        <v>127</v>
      </c>
      <c r="AH517" s="115">
        <v>650</v>
      </c>
      <c r="AI517" s="117" t="s">
        <v>107</v>
      </c>
      <c r="AJ517" s="115" t="s">
        <v>108</v>
      </c>
      <c r="AK517" s="73">
        <v>14962</v>
      </c>
      <c r="AL517" s="116">
        <f t="shared" si="61"/>
        <v>6568318000</v>
      </c>
      <c r="AM517" s="116">
        <v>910</v>
      </c>
      <c r="AN517" s="116">
        <v>370280649</v>
      </c>
      <c r="AO517" s="116">
        <v>2805</v>
      </c>
      <c r="AP517" s="116">
        <v>1132824462</v>
      </c>
      <c r="AQ517" s="116">
        <f t="shared" si="62"/>
        <v>7293.6</v>
      </c>
      <c r="AR517" s="116">
        <f t="shared" si="63"/>
        <v>2945739168</v>
      </c>
      <c r="AS517" s="118">
        <v>0.48747493650581475</v>
      </c>
    </row>
    <row r="518" spans="2:45" x14ac:dyDescent="0.3">
      <c r="B518" s="126" t="s">
        <v>668</v>
      </c>
      <c r="C518" s="98" t="str">
        <f t="shared" si="64"/>
        <v>DJ670</v>
      </c>
      <c r="D518" s="98" t="s">
        <v>55</v>
      </c>
      <c r="E518" s="98" t="str">
        <f t="shared" si="66"/>
        <v>M</v>
      </c>
      <c r="F518" s="98" t="str">
        <f t="shared" si="67"/>
        <v>DJ</v>
      </c>
      <c r="G518" s="98" t="s">
        <v>56</v>
      </c>
      <c r="H518" s="115" t="s">
        <v>669</v>
      </c>
      <c r="I518" s="98" t="s">
        <v>163</v>
      </c>
      <c r="J518" s="115" t="str">
        <f t="shared" si="65"/>
        <v/>
      </c>
      <c r="K518" s="115">
        <v>1</v>
      </c>
      <c r="L518" s="121">
        <v>439000</v>
      </c>
      <c r="M518" s="78" t="s">
        <v>194</v>
      </c>
      <c r="N518" s="98" t="s">
        <v>261</v>
      </c>
      <c r="O518" s="98" t="s">
        <v>485</v>
      </c>
      <c r="P518" s="98">
        <v>100</v>
      </c>
      <c r="Q518" s="32" t="s">
        <v>119</v>
      </c>
      <c r="R518" s="98" t="s">
        <v>262</v>
      </c>
      <c r="S518" s="32" t="s">
        <v>263</v>
      </c>
      <c r="T518" s="98" t="s">
        <v>122</v>
      </c>
      <c r="U518" s="98" t="s">
        <v>670</v>
      </c>
      <c r="V518" s="98"/>
      <c r="W518" s="98"/>
      <c r="X518" s="78" t="s">
        <v>67</v>
      </c>
      <c r="Y518" s="98" t="s">
        <v>68</v>
      </c>
      <c r="Z518" s="32" t="s">
        <v>125</v>
      </c>
      <c r="AA518" s="32" t="s">
        <v>90</v>
      </c>
      <c r="AB518" s="78" t="s">
        <v>71</v>
      </c>
      <c r="AC518" s="98" t="s">
        <v>144</v>
      </c>
      <c r="AD518" s="98" t="s">
        <v>279</v>
      </c>
      <c r="AE518" s="65" t="s">
        <v>73</v>
      </c>
      <c r="AF518" s="39" t="s">
        <v>671</v>
      </c>
      <c r="AG518" s="98" t="s">
        <v>127</v>
      </c>
      <c r="AH518" s="115">
        <v>650</v>
      </c>
      <c r="AI518" s="117" t="s">
        <v>107</v>
      </c>
      <c r="AJ518" s="115" t="s">
        <v>108</v>
      </c>
      <c r="AK518" s="73">
        <v>988</v>
      </c>
      <c r="AL518" s="116">
        <f t="shared" si="61"/>
        <v>433732000</v>
      </c>
      <c r="AM518" s="116">
        <v>19</v>
      </c>
      <c r="AN518" s="116">
        <v>7598773</v>
      </c>
      <c r="AO518" s="116">
        <v>62</v>
      </c>
      <c r="AP518" s="116">
        <v>25844832</v>
      </c>
      <c r="AQ518" s="116">
        <f t="shared" si="62"/>
        <v>358.4</v>
      </c>
      <c r="AR518" s="116">
        <f t="shared" si="63"/>
        <v>144750592</v>
      </c>
      <c r="AS518" s="118">
        <v>0.36275303643724693</v>
      </c>
    </row>
    <row r="519" spans="2:45" x14ac:dyDescent="0.3">
      <c r="B519" s="126" t="s">
        <v>668</v>
      </c>
      <c r="C519" s="98" t="str">
        <f t="shared" si="64"/>
        <v>DJ670</v>
      </c>
      <c r="D519" s="98" t="s">
        <v>55</v>
      </c>
      <c r="E519" s="98" t="str">
        <f t="shared" si="66"/>
        <v>M</v>
      </c>
      <c r="F519" s="98" t="str">
        <f t="shared" si="67"/>
        <v>DJ</v>
      </c>
      <c r="G519" s="98" t="s">
        <v>56</v>
      </c>
      <c r="H519" s="115" t="s">
        <v>669</v>
      </c>
      <c r="I519" s="98" t="s">
        <v>570</v>
      </c>
      <c r="J519" s="115" t="str">
        <f t="shared" si="65"/>
        <v/>
      </c>
      <c r="K519" s="115">
        <v>1</v>
      </c>
      <c r="L519" s="121">
        <v>439000</v>
      </c>
      <c r="M519" s="78" t="s">
        <v>194</v>
      </c>
      <c r="N519" s="98" t="s">
        <v>261</v>
      </c>
      <c r="O519" s="98" t="s">
        <v>485</v>
      </c>
      <c r="P519" s="98">
        <v>100</v>
      </c>
      <c r="Q519" s="32" t="s">
        <v>119</v>
      </c>
      <c r="R519" s="98" t="s">
        <v>262</v>
      </c>
      <c r="S519" s="32" t="s">
        <v>263</v>
      </c>
      <c r="T519" s="98" t="s">
        <v>122</v>
      </c>
      <c r="U519" s="98" t="s">
        <v>670</v>
      </c>
      <c r="V519" s="98"/>
      <c r="W519" s="98"/>
      <c r="X519" s="78" t="s">
        <v>67</v>
      </c>
      <c r="Y519" s="98" t="s">
        <v>68</v>
      </c>
      <c r="Z519" s="32" t="s">
        <v>125</v>
      </c>
      <c r="AA519" s="32" t="s">
        <v>90</v>
      </c>
      <c r="AB519" s="78" t="s">
        <v>71</v>
      </c>
      <c r="AC519" s="98" t="s">
        <v>144</v>
      </c>
      <c r="AD519" s="98" t="s">
        <v>279</v>
      </c>
      <c r="AE519" s="65" t="s">
        <v>73</v>
      </c>
      <c r="AF519" s="39" t="s">
        <v>671</v>
      </c>
      <c r="AG519" s="98" t="s">
        <v>127</v>
      </c>
      <c r="AH519" s="115">
        <v>650</v>
      </c>
      <c r="AI519" s="117" t="s">
        <v>107</v>
      </c>
      <c r="AJ519" s="115" t="s">
        <v>108</v>
      </c>
      <c r="AK519" s="73">
        <v>1463</v>
      </c>
      <c r="AL519" s="116">
        <f t="shared" si="61"/>
        <v>642257000</v>
      </c>
      <c r="AM519" s="116">
        <v>49</v>
      </c>
      <c r="AN519" s="116">
        <v>19944217</v>
      </c>
      <c r="AO519" s="116">
        <v>154</v>
      </c>
      <c r="AP519" s="116">
        <v>62669372</v>
      </c>
      <c r="AQ519" s="116">
        <f t="shared" si="62"/>
        <v>592.9</v>
      </c>
      <c r="AR519" s="116">
        <f t="shared" si="63"/>
        <v>239460452</v>
      </c>
      <c r="AS519" s="118">
        <v>0.40526315789473683</v>
      </c>
    </row>
    <row r="520" spans="2:45" x14ac:dyDescent="0.3">
      <c r="B520" s="126" t="s">
        <v>672</v>
      </c>
      <c r="C520" s="98" t="str">
        <f t="shared" si="64"/>
        <v>DJ680</v>
      </c>
      <c r="D520" s="98" t="s">
        <v>55</v>
      </c>
      <c r="E520" s="98" t="str">
        <f t="shared" si="66"/>
        <v>W</v>
      </c>
      <c r="F520" s="98" t="str">
        <f t="shared" si="67"/>
        <v>DJ</v>
      </c>
      <c r="G520" s="98" t="s">
        <v>56</v>
      </c>
      <c r="H520" s="115" t="s">
        <v>673</v>
      </c>
      <c r="I520" s="98" t="s">
        <v>570</v>
      </c>
      <c r="J520" s="115">
        <f t="shared" si="65"/>
        <v>1</v>
      </c>
      <c r="K520" s="115">
        <v>1</v>
      </c>
      <c r="L520" s="121">
        <v>439000</v>
      </c>
      <c r="M520" s="78" t="s">
        <v>194</v>
      </c>
      <c r="N520" s="98" t="s">
        <v>261</v>
      </c>
      <c r="O520" s="98" t="s">
        <v>485</v>
      </c>
      <c r="P520" s="98">
        <v>100</v>
      </c>
      <c r="Q520" s="32" t="s">
        <v>119</v>
      </c>
      <c r="R520" s="98" t="s">
        <v>262</v>
      </c>
      <c r="S520" s="32" t="s">
        <v>263</v>
      </c>
      <c r="T520" s="98" t="s">
        <v>122</v>
      </c>
      <c r="U520" s="98" t="s">
        <v>670</v>
      </c>
      <c r="V520" s="98"/>
      <c r="W520" s="98"/>
      <c r="X520" s="78" t="s">
        <v>67</v>
      </c>
      <c r="Y520" s="98" t="s">
        <v>68</v>
      </c>
      <c r="Z520" s="32" t="s">
        <v>125</v>
      </c>
      <c r="AA520" s="32" t="s">
        <v>90</v>
      </c>
      <c r="AB520" s="78" t="s">
        <v>71</v>
      </c>
      <c r="AC520" s="98" t="s">
        <v>144</v>
      </c>
      <c r="AD520" s="98" t="s">
        <v>279</v>
      </c>
      <c r="AE520" s="65" t="s">
        <v>73</v>
      </c>
      <c r="AF520" s="39" t="s">
        <v>674</v>
      </c>
      <c r="AG520" s="98" t="s">
        <v>127</v>
      </c>
      <c r="AH520" s="115">
        <v>650</v>
      </c>
      <c r="AI520" s="117" t="s">
        <v>107</v>
      </c>
      <c r="AJ520" s="115" t="s">
        <v>108</v>
      </c>
      <c r="AK520" s="73">
        <v>2205</v>
      </c>
      <c r="AL520" s="116">
        <f t="shared" si="61"/>
        <v>967995000</v>
      </c>
      <c r="AM520" s="116">
        <v>43</v>
      </c>
      <c r="AN520" s="116">
        <v>17770531</v>
      </c>
      <c r="AO520" s="116">
        <v>132</v>
      </c>
      <c r="AP520" s="116">
        <v>55285059</v>
      </c>
      <c r="AQ520" s="116">
        <f t="shared" si="62"/>
        <v>793.49999999999989</v>
      </c>
      <c r="AR520" s="116">
        <f t="shared" si="63"/>
        <v>320478779.99999994</v>
      </c>
      <c r="AS520" s="118">
        <v>0.35986394557823126</v>
      </c>
    </row>
    <row r="521" spans="2:45" x14ac:dyDescent="0.3">
      <c r="B521" s="126" t="s">
        <v>672</v>
      </c>
      <c r="C521" s="98" t="str">
        <f t="shared" si="64"/>
        <v>DJ680</v>
      </c>
      <c r="D521" s="98" t="s">
        <v>55</v>
      </c>
      <c r="E521" s="98" t="str">
        <f t="shared" si="66"/>
        <v>W</v>
      </c>
      <c r="F521" s="98" t="str">
        <f t="shared" si="67"/>
        <v>DJ</v>
      </c>
      <c r="G521" s="98" t="s">
        <v>56</v>
      </c>
      <c r="H521" s="115" t="s">
        <v>673</v>
      </c>
      <c r="I521" s="98" t="s">
        <v>163</v>
      </c>
      <c r="J521" s="115" t="str">
        <f t="shared" si="65"/>
        <v/>
      </c>
      <c r="K521" s="115">
        <v>1</v>
      </c>
      <c r="L521" s="121">
        <v>439000</v>
      </c>
      <c r="M521" s="78" t="s">
        <v>194</v>
      </c>
      <c r="N521" s="98" t="s">
        <v>261</v>
      </c>
      <c r="O521" s="98" t="s">
        <v>485</v>
      </c>
      <c r="P521" s="98">
        <v>100</v>
      </c>
      <c r="Q521" s="32" t="s">
        <v>119</v>
      </c>
      <c r="R521" s="98" t="s">
        <v>262</v>
      </c>
      <c r="S521" s="32" t="s">
        <v>263</v>
      </c>
      <c r="T521" s="98" t="s">
        <v>122</v>
      </c>
      <c r="U521" s="98" t="s">
        <v>670</v>
      </c>
      <c r="V521" s="98"/>
      <c r="W521" s="98"/>
      <c r="X521" s="78" t="s">
        <v>67</v>
      </c>
      <c r="Y521" s="98" t="s">
        <v>68</v>
      </c>
      <c r="Z521" s="32" t="s">
        <v>125</v>
      </c>
      <c r="AA521" s="32" t="s">
        <v>90</v>
      </c>
      <c r="AB521" s="78" t="s">
        <v>71</v>
      </c>
      <c r="AC521" s="98" t="s">
        <v>144</v>
      </c>
      <c r="AD521" s="98" t="s">
        <v>279</v>
      </c>
      <c r="AE521" s="65" t="s">
        <v>73</v>
      </c>
      <c r="AF521" s="39" t="s">
        <v>674</v>
      </c>
      <c r="AG521" s="98" t="s">
        <v>127</v>
      </c>
      <c r="AH521" s="115">
        <v>650</v>
      </c>
      <c r="AI521" s="117" t="s">
        <v>107</v>
      </c>
      <c r="AJ521" s="115" t="s">
        <v>108</v>
      </c>
      <c r="AK521" s="73">
        <v>2340</v>
      </c>
      <c r="AL521" s="116">
        <f t="shared" si="61"/>
        <v>1027260000</v>
      </c>
      <c r="AM521" s="116">
        <v>46</v>
      </c>
      <c r="AN521" s="116">
        <v>18991473</v>
      </c>
      <c r="AO521" s="116">
        <v>177</v>
      </c>
      <c r="AP521" s="116">
        <v>74757673</v>
      </c>
      <c r="AQ521" s="116">
        <f t="shared" si="62"/>
        <v>879</v>
      </c>
      <c r="AR521" s="116">
        <f t="shared" si="63"/>
        <v>355010520</v>
      </c>
      <c r="AS521" s="118">
        <v>0.37564102564102564</v>
      </c>
    </row>
    <row r="522" spans="2:45" x14ac:dyDescent="0.3">
      <c r="B522" s="126" t="s">
        <v>672</v>
      </c>
      <c r="C522" s="98" t="str">
        <f t="shared" si="64"/>
        <v>DJ680</v>
      </c>
      <c r="D522" s="98" t="s">
        <v>55</v>
      </c>
      <c r="E522" s="98" t="str">
        <f t="shared" si="66"/>
        <v>W</v>
      </c>
      <c r="F522" s="98" t="str">
        <f t="shared" si="67"/>
        <v>DJ</v>
      </c>
      <c r="G522" s="98" t="s">
        <v>56</v>
      </c>
      <c r="H522" s="115" t="s">
        <v>673</v>
      </c>
      <c r="I522" s="98" t="s">
        <v>435</v>
      </c>
      <c r="J522" s="115" t="str">
        <f t="shared" si="65"/>
        <v/>
      </c>
      <c r="K522" s="115">
        <v>1</v>
      </c>
      <c r="L522" s="121">
        <v>439000</v>
      </c>
      <c r="M522" s="78" t="s">
        <v>194</v>
      </c>
      <c r="N522" s="98" t="s">
        <v>261</v>
      </c>
      <c r="O522" s="98" t="s">
        <v>485</v>
      </c>
      <c r="P522" s="98">
        <v>100</v>
      </c>
      <c r="Q522" s="32" t="s">
        <v>119</v>
      </c>
      <c r="R522" s="98" t="s">
        <v>262</v>
      </c>
      <c r="S522" s="32" t="s">
        <v>263</v>
      </c>
      <c r="T522" s="98" t="s">
        <v>122</v>
      </c>
      <c r="U522" s="98" t="s">
        <v>670</v>
      </c>
      <c r="V522" s="98"/>
      <c r="W522" s="98"/>
      <c r="X522" s="78" t="s">
        <v>67</v>
      </c>
      <c r="Y522" s="98" t="s">
        <v>68</v>
      </c>
      <c r="Z522" s="32" t="s">
        <v>125</v>
      </c>
      <c r="AA522" s="32" t="s">
        <v>90</v>
      </c>
      <c r="AB522" s="78" t="s">
        <v>71</v>
      </c>
      <c r="AC522" s="98" t="s">
        <v>144</v>
      </c>
      <c r="AD522" s="98" t="s">
        <v>279</v>
      </c>
      <c r="AE522" s="65" t="s">
        <v>73</v>
      </c>
      <c r="AF522" s="39" t="s">
        <v>674</v>
      </c>
      <c r="AG522" s="98" t="s">
        <v>127</v>
      </c>
      <c r="AH522" s="115">
        <v>650</v>
      </c>
      <c r="AI522" s="117" t="s">
        <v>107</v>
      </c>
      <c r="AJ522" s="115" t="s">
        <v>108</v>
      </c>
      <c r="AK522" s="73">
        <v>3082</v>
      </c>
      <c r="AL522" s="116">
        <f t="shared" si="61"/>
        <v>1352998000</v>
      </c>
      <c r="AM522" s="116">
        <v>199</v>
      </c>
      <c r="AN522" s="116">
        <v>83815932</v>
      </c>
      <c r="AO522" s="116">
        <v>1014</v>
      </c>
      <c r="AP522" s="116">
        <v>436016439</v>
      </c>
      <c r="AQ522" s="116">
        <f t="shared" si="62"/>
        <v>1938.6</v>
      </c>
      <c r="AR522" s="116">
        <f t="shared" si="63"/>
        <v>782961768</v>
      </c>
      <c r="AS522" s="118">
        <v>0.62900713822193377</v>
      </c>
    </row>
    <row r="523" spans="2:45" x14ac:dyDescent="0.3">
      <c r="B523" s="126" t="s">
        <v>672</v>
      </c>
      <c r="C523" s="98" t="str">
        <f t="shared" si="64"/>
        <v>DJ680</v>
      </c>
      <c r="D523" s="98" t="s">
        <v>55</v>
      </c>
      <c r="E523" s="98" t="str">
        <f t="shared" si="66"/>
        <v>W</v>
      </c>
      <c r="F523" s="98" t="str">
        <f t="shared" si="67"/>
        <v>DJ</v>
      </c>
      <c r="G523" s="98" t="s">
        <v>56</v>
      </c>
      <c r="H523" s="115" t="s">
        <v>673</v>
      </c>
      <c r="I523" s="98" t="s">
        <v>79</v>
      </c>
      <c r="J523" s="115" t="str">
        <f t="shared" si="65"/>
        <v/>
      </c>
      <c r="K523" s="115">
        <v>1</v>
      </c>
      <c r="L523" s="121">
        <v>439000</v>
      </c>
      <c r="M523" s="78" t="s">
        <v>194</v>
      </c>
      <c r="N523" s="98" t="s">
        <v>261</v>
      </c>
      <c r="O523" s="98" t="s">
        <v>485</v>
      </c>
      <c r="P523" s="98">
        <v>100</v>
      </c>
      <c r="Q523" s="32" t="s">
        <v>119</v>
      </c>
      <c r="R523" s="98" t="s">
        <v>262</v>
      </c>
      <c r="S523" s="32" t="s">
        <v>263</v>
      </c>
      <c r="T523" s="98" t="s">
        <v>122</v>
      </c>
      <c r="U523" s="98" t="s">
        <v>670</v>
      </c>
      <c r="V523" s="98"/>
      <c r="W523" s="98"/>
      <c r="X523" s="78" t="s">
        <v>67</v>
      </c>
      <c r="Y523" s="98" t="s">
        <v>68</v>
      </c>
      <c r="Z523" s="32" t="s">
        <v>125</v>
      </c>
      <c r="AA523" s="32" t="s">
        <v>90</v>
      </c>
      <c r="AB523" s="78" t="s">
        <v>71</v>
      </c>
      <c r="AC523" s="98" t="s">
        <v>144</v>
      </c>
      <c r="AD523" s="98" t="s">
        <v>279</v>
      </c>
      <c r="AE523" s="65" t="s">
        <v>73</v>
      </c>
      <c r="AF523" s="39" t="s">
        <v>674</v>
      </c>
      <c r="AG523" s="98" t="s">
        <v>127</v>
      </c>
      <c r="AH523" s="115">
        <v>650</v>
      </c>
      <c r="AI523" s="117" t="s">
        <v>107</v>
      </c>
      <c r="AJ523" s="115" t="s">
        <v>108</v>
      </c>
      <c r="AK523" s="73">
        <v>4433</v>
      </c>
      <c r="AL523" s="116">
        <f t="shared" si="61"/>
        <v>1946087000</v>
      </c>
      <c r="AM523" s="116">
        <v>338</v>
      </c>
      <c r="AN523" s="116">
        <v>138530655</v>
      </c>
      <c r="AO523" s="116">
        <v>1071</v>
      </c>
      <c r="AP523" s="116">
        <v>452961119</v>
      </c>
      <c r="AQ523" s="116">
        <f t="shared" si="62"/>
        <v>2400.8999999999996</v>
      </c>
      <c r="AR523" s="116">
        <f t="shared" si="63"/>
        <v>969675491.99999988</v>
      </c>
      <c r="AS523" s="118">
        <v>0.54159711256485443</v>
      </c>
    </row>
    <row r="524" spans="2:45" x14ac:dyDescent="0.3">
      <c r="B524" s="126" t="s">
        <v>672</v>
      </c>
      <c r="C524" s="98" t="str">
        <f t="shared" si="64"/>
        <v>DJ680</v>
      </c>
      <c r="D524" s="98" t="s">
        <v>55</v>
      </c>
      <c r="E524" s="98" t="str">
        <f t="shared" si="66"/>
        <v>W</v>
      </c>
      <c r="F524" s="98" t="str">
        <f t="shared" si="67"/>
        <v>DJ</v>
      </c>
      <c r="G524" s="98" t="s">
        <v>56</v>
      </c>
      <c r="H524" s="115" t="s">
        <v>673</v>
      </c>
      <c r="I524" s="98" t="s">
        <v>78</v>
      </c>
      <c r="J524" s="115" t="str">
        <f t="shared" si="65"/>
        <v/>
      </c>
      <c r="K524" s="115">
        <v>1</v>
      </c>
      <c r="L524" s="121">
        <v>439000</v>
      </c>
      <c r="M524" s="78" t="s">
        <v>194</v>
      </c>
      <c r="N524" s="98" t="s">
        <v>261</v>
      </c>
      <c r="O524" s="98" t="s">
        <v>485</v>
      </c>
      <c r="P524" s="98">
        <v>100</v>
      </c>
      <c r="Q524" s="32" t="s">
        <v>119</v>
      </c>
      <c r="R524" s="98" t="s">
        <v>262</v>
      </c>
      <c r="S524" s="32" t="s">
        <v>263</v>
      </c>
      <c r="T524" s="98" t="s">
        <v>122</v>
      </c>
      <c r="U524" s="98" t="s">
        <v>670</v>
      </c>
      <c r="V524" s="98"/>
      <c r="W524" s="98"/>
      <c r="X524" s="78" t="s">
        <v>67</v>
      </c>
      <c r="Y524" s="98" t="s">
        <v>68</v>
      </c>
      <c r="Z524" s="32" t="s">
        <v>125</v>
      </c>
      <c r="AA524" s="32" t="s">
        <v>90</v>
      </c>
      <c r="AB524" s="78" t="s">
        <v>71</v>
      </c>
      <c r="AC524" s="98" t="s">
        <v>144</v>
      </c>
      <c r="AD524" s="98" t="s">
        <v>279</v>
      </c>
      <c r="AE524" s="65" t="s">
        <v>73</v>
      </c>
      <c r="AF524" s="39" t="s">
        <v>674</v>
      </c>
      <c r="AG524" s="98" t="s">
        <v>127</v>
      </c>
      <c r="AH524" s="115">
        <v>650</v>
      </c>
      <c r="AI524" s="117" t="s">
        <v>107</v>
      </c>
      <c r="AJ524" s="115" t="s">
        <v>108</v>
      </c>
      <c r="AK524" s="73">
        <v>29054</v>
      </c>
      <c r="AL524" s="116">
        <f t="shared" si="61"/>
        <v>12754706000</v>
      </c>
      <c r="AM524" s="116">
        <v>1578</v>
      </c>
      <c r="AN524" s="116">
        <v>644439046</v>
      </c>
      <c r="AO524" s="116">
        <v>4813</v>
      </c>
      <c r="AP524" s="116">
        <v>2009957459</v>
      </c>
      <c r="AQ524" s="116">
        <f t="shared" si="62"/>
        <v>13529.199999999999</v>
      </c>
      <c r="AR524" s="116">
        <f t="shared" si="63"/>
        <v>5464173296</v>
      </c>
      <c r="AS524" s="118">
        <v>0.46565705238521371</v>
      </c>
    </row>
    <row r="525" spans="2:45" x14ac:dyDescent="0.3">
      <c r="B525" s="126" t="s">
        <v>675</v>
      </c>
      <c r="C525" s="98" t="str">
        <f t="shared" si="64"/>
        <v>DJ8C0</v>
      </c>
      <c r="D525" s="98" t="s">
        <v>55</v>
      </c>
      <c r="E525" s="98" t="str">
        <f t="shared" si="66"/>
        <v>X</v>
      </c>
      <c r="F525" s="98" t="str">
        <f t="shared" si="67"/>
        <v>DJ</v>
      </c>
      <c r="G525" s="98" t="s">
        <v>56</v>
      </c>
      <c r="H525" s="115" t="s">
        <v>676</v>
      </c>
      <c r="I525" s="98" t="s">
        <v>677</v>
      </c>
      <c r="J525" s="115">
        <f t="shared" si="65"/>
        <v>1</v>
      </c>
      <c r="K525" s="115">
        <v>1</v>
      </c>
      <c r="L525" s="121">
        <v>299000</v>
      </c>
      <c r="M525" s="78" t="s">
        <v>217</v>
      </c>
      <c r="N525" s="98" t="s">
        <v>218</v>
      </c>
      <c r="O525" s="98" t="s">
        <v>485</v>
      </c>
      <c r="P525" s="98">
        <v>100</v>
      </c>
      <c r="Q525" s="32" t="s">
        <v>219</v>
      </c>
      <c r="R525" s="98" t="s">
        <v>220</v>
      </c>
      <c r="S525" s="32" t="s">
        <v>221</v>
      </c>
      <c r="T525" s="98" t="s">
        <v>65</v>
      </c>
      <c r="U525" s="98"/>
      <c r="V525" s="98" t="s">
        <v>520</v>
      </c>
      <c r="W525" s="98"/>
      <c r="X525" s="78" t="s">
        <v>67</v>
      </c>
      <c r="Y525" s="98" t="s">
        <v>68</v>
      </c>
      <c r="Z525" s="32" t="s">
        <v>69</v>
      </c>
      <c r="AA525" s="32" t="s">
        <v>70</v>
      </c>
      <c r="AB525" s="78" t="s">
        <v>71</v>
      </c>
      <c r="AC525" s="98" t="s">
        <v>85</v>
      </c>
      <c r="AD525" s="98" t="s">
        <v>208</v>
      </c>
      <c r="AE525" s="65" t="s">
        <v>137</v>
      </c>
      <c r="AF525" s="39" t="s">
        <v>442</v>
      </c>
      <c r="AG525" s="98" t="s">
        <v>127</v>
      </c>
      <c r="AH525" s="115">
        <v>650</v>
      </c>
      <c r="AI525" s="117" t="s">
        <v>264</v>
      </c>
      <c r="AJ525" s="112" t="s">
        <v>384</v>
      </c>
      <c r="AK525" s="73">
        <v>2984</v>
      </c>
      <c r="AL525" s="116">
        <f t="shared" si="61"/>
        <v>892216000</v>
      </c>
      <c r="AM525" s="116">
        <v>57</v>
      </c>
      <c r="AN525" s="116">
        <v>15944814</v>
      </c>
      <c r="AO525" s="116">
        <v>269</v>
      </c>
      <c r="AP525" s="116">
        <v>76289172</v>
      </c>
      <c r="AQ525" s="116">
        <f t="shared" si="62"/>
        <v>1313.3999999999999</v>
      </c>
      <c r="AR525" s="116">
        <f t="shared" si="63"/>
        <v>361290071.99999994</v>
      </c>
      <c r="AS525" s="118">
        <v>0.44014745308310987</v>
      </c>
    </row>
    <row r="526" spans="2:45" x14ac:dyDescent="0.3">
      <c r="B526" s="126" t="s">
        <v>675</v>
      </c>
      <c r="C526" s="98" t="str">
        <f t="shared" si="64"/>
        <v>DJ8C0</v>
      </c>
      <c r="D526" s="98" t="s">
        <v>55</v>
      </c>
      <c r="E526" s="98" t="str">
        <f t="shared" si="66"/>
        <v>X</v>
      </c>
      <c r="F526" s="98" t="str">
        <f t="shared" si="67"/>
        <v>DJ</v>
      </c>
      <c r="G526" s="98" t="s">
        <v>56</v>
      </c>
      <c r="H526" s="115" t="s">
        <v>676</v>
      </c>
      <c r="I526" s="98" t="s">
        <v>633</v>
      </c>
      <c r="J526" s="115" t="str">
        <f t="shared" si="65"/>
        <v/>
      </c>
      <c r="K526" s="115">
        <v>1</v>
      </c>
      <c r="L526" s="121">
        <v>299000</v>
      </c>
      <c r="M526" s="78" t="s">
        <v>225</v>
      </c>
      <c r="N526" s="98" t="s">
        <v>517</v>
      </c>
      <c r="O526" s="98" t="s">
        <v>143</v>
      </c>
      <c r="P526" s="98">
        <v>100</v>
      </c>
      <c r="Q526" s="32" t="s">
        <v>144</v>
      </c>
      <c r="R526" s="98" t="s">
        <v>518</v>
      </c>
      <c r="S526" s="32" t="s">
        <v>519</v>
      </c>
      <c r="T526" s="98" t="s">
        <v>122</v>
      </c>
      <c r="U526" s="98" t="s">
        <v>332</v>
      </c>
      <c r="V526" s="98" t="s">
        <v>66</v>
      </c>
      <c r="W526" s="98"/>
      <c r="X526" s="78" t="s">
        <v>67</v>
      </c>
      <c r="Y526" s="98" t="s">
        <v>68</v>
      </c>
      <c r="Z526" s="32" t="s">
        <v>441</v>
      </c>
      <c r="AA526" s="32" t="s">
        <v>353</v>
      </c>
      <c r="AB526" s="78" t="s">
        <v>71</v>
      </c>
      <c r="AC526" s="98" t="s">
        <v>85</v>
      </c>
      <c r="AD526" s="98" t="s">
        <v>208</v>
      </c>
      <c r="AE526" s="65" t="s">
        <v>137</v>
      </c>
      <c r="AF526" s="39" t="s">
        <v>442</v>
      </c>
      <c r="AG526" s="98" t="s">
        <v>127</v>
      </c>
      <c r="AH526" s="115">
        <v>650</v>
      </c>
      <c r="AI526" s="117" t="s">
        <v>264</v>
      </c>
      <c r="AJ526" s="112" t="s">
        <v>384</v>
      </c>
      <c r="AK526" s="73">
        <v>4000</v>
      </c>
      <c r="AL526" s="116">
        <f t="shared" si="61"/>
        <v>1196000000</v>
      </c>
      <c r="AM526" s="116">
        <v>242</v>
      </c>
      <c r="AN526" s="116">
        <v>67773067</v>
      </c>
      <c r="AO526" s="116">
        <v>881</v>
      </c>
      <c r="AP526" s="116">
        <v>250840141</v>
      </c>
      <c r="AQ526" s="116">
        <f t="shared" si="62"/>
        <v>2280.9999999999995</v>
      </c>
      <c r="AR526" s="116">
        <f t="shared" si="63"/>
        <v>627457479.99999988</v>
      </c>
      <c r="AS526" s="118">
        <v>0.57024999999999992</v>
      </c>
    </row>
    <row r="527" spans="2:45" x14ac:dyDescent="0.3">
      <c r="B527" s="126" t="s">
        <v>675</v>
      </c>
      <c r="C527" s="98" t="str">
        <f t="shared" si="64"/>
        <v>DJ8C0</v>
      </c>
      <c r="D527" s="98" t="s">
        <v>55</v>
      </c>
      <c r="E527" s="98" t="str">
        <f t="shared" si="66"/>
        <v>X</v>
      </c>
      <c r="F527" s="98" t="str">
        <f t="shared" si="67"/>
        <v>DJ</v>
      </c>
      <c r="G527" s="98" t="s">
        <v>56</v>
      </c>
      <c r="H527" s="115" t="s">
        <v>676</v>
      </c>
      <c r="I527" s="98" t="s">
        <v>140</v>
      </c>
      <c r="J527" s="115" t="str">
        <f t="shared" si="65"/>
        <v/>
      </c>
      <c r="K527" s="115">
        <v>1</v>
      </c>
      <c r="L527" s="121">
        <v>299000</v>
      </c>
      <c r="M527" s="78" t="s">
        <v>217</v>
      </c>
      <c r="N527" s="98" t="s">
        <v>218</v>
      </c>
      <c r="O527" s="98" t="s">
        <v>485</v>
      </c>
      <c r="P527" s="98">
        <v>100</v>
      </c>
      <c r="Q527" s="32" t="s">
        <v>219</v>
      </c>
      <c r="R527" s="98" t="s">
        <v>220</v>
      </c>
      <c r="S527" s="32" t="s">
        <v>221</v>
      </c>
      <c r="T527" s="98" t="s">
        <v>65</v>
      </c>
      <c r="U527" s="98"/>
      <c r="V527" s="98" t="s">
        <v>520</v>
      </c>
      <c r="W527" s="98"/>
      <c r="X527" s="78" t="s">
        <v>67</v>
      </c>
      <c r="Y527" s="98" t="s">
        <v>68</v>
      </c>
      <c r="Z527" s="32" t="s">
        <v>69</v>
      </c>
      <c r="AA527" s="32" t="s">
        <v>70</v>
      </c>
      <c r="AB527" s="78" t="s">
        <v>71</v>
      </c>
      <c r="AC527" s="98" t="s">
        <v>85</v>
      </c>
      <c r="AD527" s="98" t="s">
        <v>208</v>
      </c>
      <c r="AE527" s="65" t="s">
        <v>137</v>
      </c>
      <c r="AF527" s="39" t="s">
        <v>442</v>
      </c>
      <c r="AG527" s="98" t="s">
        <v>127</v>
      </c>
      <c r="AH527" s="115">
        <v>650</v>
      </c>
      <c r="AI527" s="117" t="s">
        <v>264</v>
      </c>
      <c r="AJ527" s="112" t="s">
        <v>384</v>
      </c>
      <c r="AK527" s="73">
        <v>5782</v>
      </c>
      <c r="AL527" s="116">
        <f t="shared" si="61"/>
        <v>1728818000</v>
      </c>
      <c r="AM527" s="116">
        <v>349</v>
      </c>
      <c r="AN527" s="116">
        <v>98878009</v>
      </c>
      <c r="AO527" s="116">
        <v>1372</v>
      </c>
      <c r="AP527" s="116">
        <v>392434078</v>
      </c>
      <c r="AQ527" s="116">
        <f t="shared" si="62"/>
        <v>3395.7000000000003</v>
      </c>
      <c r="AR527" s="116">
        <f t="shared" si="63"/>
        <v>934089156</v>
      </c>
      <c r="AS527" s="118">
        <v>0.58728813559322035</v>
      </c>
    </row>
    <row r="528" spans="2:45" x14ac:dyDescent="0.3">
      <c r="B528" s="126" t="s">
        <v>675</v>
      </c>
      <c r="C528" s="98" t="str">
        <f t="shared" si="64"/>
        <v>DJ8C0</v>
      </c>
      <c r="D528" s="98" t="s">
        <v>55</v>
      </c>
      <c r="E528" s="98" t="str">
        <f t="shared" si="66"/>
        <v>X</v>
      </c>
      <c r="F528" s="98" t="str">
        <f t="shared" si="67"/>
        <v>DJ</v>
      </c>
      <c r="G528" s="98" t="s">
        <v>56</v>
      </c>
      <c r="H528" s="115" t="s">
        <v>676</v>
      </c>
      <c r="I528" s="98" t="s">
        <v>388</v>
      </c>
      <c r="J528" s="115" t="str">
        <f t="shared" si="65"/>
        <v/>
      </c>
      <c r="K528" s="115">
        <v>1</v>
      </c>
      <c r="L528" s="121">
        <v>299000</v>
      </c>
      <c r="M528" s="78" t="s">
        <v>509</v>
      </c>
      <c r="N528" s="98" t="s">
        <v>678</v>
      </c>
      <c r="O528" s="98" t="s">
        <v>485</v>
      </c>
      <c r="P528" s="98">
        <v>100</v>
      </c>
      <c r="Q528" s="32" t="s">
        <v>119</v>
      </c>
      <c r="R528" s="98" t="s">
        <v>246</v>
      </c>
      <c r="S528" s="32" t="s">
        <v>331</v>
      </c>
      <c r="T528" s="98" t="s">
        <v>122</v>
      </c>
      <c r="U528" s="98" t="s">
        <v>207</v>
      </c>
      <c r="V528" s="98" t="s">
        <v>66</v>
      </c>
      <c r="W528" s="98"/>
      <c r="X528" s="78" t="s">
        <v>67</v>
      </c>
      <c r="Y528" s="98" t="s">
        <v>68</v>
      </c>
      <c r="Z528" s="32" t="s">
        <v>125</v>
      </c>
      <c r="AA528" s="32" t="s">
        <v>90</v>
      </c>
      <c r="AB528" s="78" t="s">
        <v>71</v>
      </c>
      <c r="AC528" s="98" t="s">
        <v>85</v>
      </c>
      <c r="AD528" s="98" t="s">
        <v>208</v>
      </c>
      <c r="AE528" s="65" t="s">
        <v>137</v>
      </c>
      <c r="AF528" s="39" t="s">
        <v>442</v>
      </c>
      <c r="AG528" s="98" t="s">
        <v>127</v>
      </c>
      <c r="AH528" s="115">
        <v>650</v>
      </c>
      <c r="AI528" s="117" t="s">
        <v>264</v>
      </c>
      <c r="AJ528" s="112" t="s">
        <v>384</v>
      </c>
      <c r="AK528" s="73">
        <v>497</v>
      </c>
      <c r="AL528" s="116">
        <f t="shared" si="61"/>
        <v>148603000</v>
      </c>
      <c r="AM528" s="116">
        <v>18</v>
      </c>
      <c r="AN528" s="116">
        <v>5033027</v>
      </c>
      <c r="AO528" s="116">
        <v>98</v>
      </c>
      <c r="AP528" s="116">
        <v>27920463</v>
      </c>
      <c r="AQ528" s="116">
        <f t="shared" si="62"/>
        <v>271.95</v>
      </c>
      <c r="AR528" s="116">
        <f t="shared" si="63"/>
        <v>74808005.999999985</v>
      </c>
      <c r="AS528" s="118">
        <v>0.54718309859154923</v>
      </c>
    </row>
    <row r="529" spans="2:45" x14ac:dyDescent="0.3">
      <c r="B529" s="126" t="s">
        <v>675</v>
      </c>
      <c r="C529" s="98" t="str">
        <f t="shared" si="64"/>
        <v>DJ8C0</v>
      </c>
      <c r="D529" s="98" t="s">
        <v>55</v>
      </c>
      <c r="E529" s="98" t="str">
        <f t="shared" si="66"/>
        <v>X</v>
      </c>
      <c r="F529" s="98" t="str">
        <f t="shared" si="67"/>
        <v>DJ</v>
      </c>
      <c r="G529" s="98" t="s">
        <v>56</v>
      </c>
      <c r="H529" s="115" t="s">
        <v>676</v>
      </c>
      <c r="I529" s="98" t="s">
        <v>570</v>
      </c>
      <c r="J529" s="115" t="str">
        <f t="shared" si="65"/>
        <v/>
      </c>
      <c r="K529" s="115">
        <v>1</v>
      </c>
      <c r="L529" s="121">
        <v>299000</v>
      </c>
      <c r="M529" s="78" t="s">
        <v>509</v>
      </c>
      <c r="N529" s="98" t="s">
        <v>678</v>
      </c>
      <c r="O529" s="98" t="s">
        <v>485</v>
      </c>
      <c r="P529" s="98">
        <v>100</v>
      </c>
      <c r="Q529" s="32" t="s">
        <v>119</v>
      </c>
      <c r="R529" s="98" t="s">
        <v>246</v>
      </c>
      <c r="S529" s="32" t="s">
        <v>331</v>
      </c>
      <c r="T529" s="98" t="s">
        <v>122</v>
      </c>
      <c r="U529" s="98" t="s">
        <v>207</v>
      </c>
      <c r="V529" s="98" t="s">
        <v>66</v>
      </c>
      <c r="W529" s="98"/>
      <c r="X529" s="78" t="s">
        <v>67</v>
      </c>
      <c r="Y529" s="98" t="s">
        <v>68</v>
      </c>
      <c r="Z529" s="32" t="s">
        <v>125</v>
      </c>
      <c r="AA529" s="32" t="s">
        <v>90</v>
      </c>
      <c r="AB529" s="78" t="s">
        <v>71</v>
      </c>
      <c r="AC529" s="98" t="s">
        <v>85</v>
      </c>
      <c r="AD529" s="98" t="s">
        <v>208</v>
      </c>
      <c r="AE529" s="65" t="s">
        <v>137</v>
      </c>
      <c r="AF529" s="39" t="s">
        <v>442</v>
      </c>
      <c r="AG529" s="98" t="s">
        <v>127</v>
      </c>
      <c r="AH529" s="115">
        <v>650</v>
      </c>
      <c r="AI529" s="117" t="s">
        <v>264</v>
      </c>
      <c r="AJ529" s="112" t="s">
        <v>384</v>
      </c>
      <c r="AK529" s="73">
        <v>1288</v>
      </c>
      <c r="AL529" s="116">
        <f t="shared" si="61"/>
        <v>385112000</v>
      </c>
      <c r="AM529" s="116">
        <v>74</v>
      </c>
      <c r="AN529" s="116">
        <v>20445203</v>
      </c>
      <c r="AO529" s="116">
        <v>315</v>
      </c>
      <c r="AP529" s="116">
        <v>88980790</v>
      </c>
      <c r="AQ529" s="116">
        <f t="shared" si="62"/>
        <v>765.8</v>
      </c>
      <c r="AR529" s="116">
        <f t="shared" si="63"/>
        <v>210656263.99999997</v>
      </c>
      <c r="AS529" s="118">
        <v>0.5945652173913043</v>
      </c>
    </row>
    <row r="530" spans="2:45" x14ac:dyDescent="0.3">
      <c r="B530" s="126" t="s">
        <v>675</v>
      </c>
      <c r="C530" s="98" t="str">
        <f t="shared" si="64"/>
        <v>DJ8C0</v>
      </c>
      <c r="D530" s="98" t="s">
        <v>55</v>
      </c>
      <c r="E530" s="98" t="str">
        <f t="shared" si="66"/>
        <v>X</v>
      </c>
      <c r="F530" s="98" t="str">
        <f t="shared" si="67"/>
        <v>DJ</v>
      </c>
      <c r="G530" s="98" t="s">
        <v>56</v>
      </c>
      <c r="H530" s="115" t="s">
        <v>676</v>
      </c>
      <c r="I530" s="98" t="s">
        <v>78</v>
      </c>
      <c r="J530" s="115" t="str">
        <f t="shared" si="65"/>
        <v/>
      </c>
      <c r="K530" s="115">
        <v>1</v>
      </c>
      <c r="L530" s="121">
        <v>299000</v>
      </c>
      <c r="M530" s="78" t="s">
        <v>509</v>
      </c>
      <c r="N530" s="98" t="s">
        <v>678</v>
      </c>
      <c r="O530" s="98" t="s">
        <v>485</v>
      </c>
      <c r="P530" s="98">
        <v>100</v>
      </c>
      <c r="Q530" s="32" t="s">
        <v>119</v>
      </c>
      <c r="R530" s="98" t="s">
        <v>246</v>
      </c>
      <c r="S530" s="32" t="s">
        <v>331</v>
      </c>
      <c r="T530" s="98" t="s">
        <v>122</v>
      </c>
      <c r="U530" s="98" t="s">
        <v>207</v>
      </c>
      <c r="V530" s="98" t="s">
        <v>66</v>
      </c>
      <c r="W530" s="98"/>
      <c r="X530" s="78" t="s">
        <v>67</v>
      </c>
      <c r="Y530" s="98" t="s">
        <v>68</v>
      </c>
      <c r="Z530" s="32" t="s">
        <v>125</v>
      </c>
      <c r="AA530" s="32" t="s">
        <v>90</v>
      </c>
      <c r="AB530" s="78" t="s">
        <v>71</v>
      </c>
      <c r="AC530" s="98" t="s">
        <v>85</v>
      </c>
      <c r="AD530" s="98" t="s">
        <v>208</v>
      </c>
      <c r="AE530" s="65" t="s">
        <v>137</v>
      </c>
      <c r="AF530" s="39" t="s">
        <v>442</v>
      </c>
      <c r="AG530" s="98" t="s">
        <v>127</v>
      </c>
      <c r="AH530" s="115">
        <v>650</v>
      </c>
      <c r="AI530" s="117" t="s">
        <v>264</v>
      </c>
      <c r="AJ530" s="112" t="s">
        <v>384</v>
      </c>
      <c r="AK530" s="73">
        <v>13896</v>
      </c>
      <c r="AL530" s="116">
        <f t="shared" si="61"/>
        <v>4154904000</v>
      </c>
      <c r="AM530" s="116">
        <v>1162</v>
      </c>
      <c r="AN530" s="116">
        <v>322726231</v>
      </c>
      <c r="AO530" s="116">
        <v>4326</v>
      </c>
      <c r="AP530" s="116">
        <v>1227071101</v>
      </c>
      <c r="AQ530" s="116">
        <f t="shared" si="62"/>
        <v>9189.5999999999985</v>
      </c>
      <c r="AR530" s="116">
        <f t="shared" si="63"/>
        <v>2527875167.9999995</v>
      </c>
      <c r="AS530" s="118">
        <v>0.66131260794473223</v>
      </c>
    </row>
    <row r="531" spans="2:45" x14ac:dyDescent="0.3">
      <c r="B531" s="126" t="s">
        <v>675</v>
      </c>
      <c r="C531" s="98" t="str">
        <f t="shared" si="64"/>
        <v>DJ8C0</v>
      </c>
      <c r="D531" s="98" t="s">
        <v>55</v>
      </c>
      <c r="E531" s="98" t="str">
        <f t="shared" si="66"/>
        <v>X</v>
      </c>
      <c r="F531" s="98" t="str">
        <f t="shared" si="67"/>
        <v>DJ</v>
      </c>
      <c r="G531" s="98" t="s">
        <v>56</v>
      </c>
      <c r="H531" s="115" t="s">
        <v>676</v>
      </c>
      <c r="I531" s="98" t="s">
        <v>233</v>
      </c>
      <c r="J531" s="115" t="str">
        <f t="shared" si="65"/>
        <v/>
      </c>
      <c r="K531" s="115">
        <v>1</v>
      </c>
      <c r="L531" s="121">
        <v>299000</v>
      </c>
      <c r="M531" s="78" t="s">
        <v>509</v>
      </c>
      <c r="N531" s="98" t="s">
        <v>678</v>
      </c>
      <c r="O531" s="98" t="s">
        <v>485</v>
      </c>
      <c r="P531" s="98">
        <v>100</v>
      </c>
      <c r="Q531" s="32" t="s">
        <v>119</v>
      </c>
      <c r="R531" s="98" t="s">
        <v>246</v>
      </c>
      <c r="S531" s="32" t="s">
        <v>331</v>
      </c>
      <c r="T531" s="98" t="s">
        <v>122</v>
      </c>
      <c r="U531" s="98" t="s">
        <v>207</v>
      </c>
      <c r="V531" s="98" t="s">
        <v>66</v>
      </c>
      <c r="W531" s="98"/>
      <c r="X531" s="78" t="s">
        <v>67</v>
      </c>
      <c r="Y531" s="98" t="s">
        <v>68</v>
      </c>
      <c r="Z531" s="32" t="s">
        <v>125</v>
      </c>
      <c r="AA531" s="32" t="s">
        <v>90</v>
      </c>
      <c r="AB531" s="78" t="s">
        <v>71</v>
      </c>
      <c r="AC531" s="98" t="s">
        <v>85</v>
      </c>
      <c r="AD531" s="98" t="s">
        <v>208</v>
      </c>
      <c r="AE531" s="65" t="s">
        <v>137</v>
      </c>
      <c r="AF531" s="39" t="s">
        <v>442</v>
      </c>
      <c r="AG531" s="98" t="s">
        <v>127</v>
      </c>
      <c r="AH531" s="115">
        <v>650</v>
      </c>
      <c r="AI531" s="117" t="s">
        <v>264</v>
      </c>
      <c r="AJ531" s="112" t="s">
        <v>384</v>
      </c>
      <c r="AK531" s="73">
        <v>1788</v>
      </c>
      <c r="AL531" s="116">
        <f t="shared" si="61"/>
        <v>534612000</v>
      </c>
      <c r="AM531" s="116">
        <v>100</v>
      </c>
      <c r="AN531" s="116">
        <v>27617731</v>
      </c>
      <c r="AO531" s="116">
        <v>394</v>
      </c>
      <c r="AP531" s="116">
        <v>110738708</v>
      </c>
      <c r="AQ531" s="116">
        <f t="shared" si="62"/>
        <v>1019.8</v>
      </c>
      <c r="AR531" s="116">
        <f t="shared" si="63"/>
        <v>280526584</v>
      </c>
      <c r="AS531" s="118">
        <v>0.57035794183445188</v>
      </c>
    </row>
    <row r="532" spans="2:45" x14ac:dyDescent="0.3">
      <c r="B532" s="126" t="s">
        <v>675</v>
      </c>
      <c r="C532" s="98" t="str">
        <f t="shared" si="64"/>
        <v>DJ8C0</v>
      </c>
      <c r="D532" s="98" t="s">
        <v>55</v>
      </c>
      <c r="E532" s="98" t="str">
        <f t="shared" si="66"/>
        <v>X</v>
      </c>
      <c r="F532" s="98" t="str">
        <f t="shared" si="67"/>
        <v>DJ</v>
      </c>
      <c r="G532" s="98" t="s">
        <v>56</v>
      </c>
      <c r="H532" s="115" t="s">
        <v>676</v>
      </c>
      <c r="I532" s="98" t="s">
        <v>542</v>
      </c>
      <c r="J532" s="115" t="str">
        <f t="shared" si="65"/>
        <v/>
      </c>
      <c r="K532" s="115">
        <v>1</v>
      </c>
      <c r="L532" s="121">
        <v>299000</v>
      </c>
      <c r="M532" s="78" t="s">
        <v>217</v>
      </c>
      <c r="N532" s="98" t="s">
        <v>218</v>
      </c>
      <c r="O532" s="98" t="s">
        <v>485</v>
      </c>
      <c r="P532" s="98">
        <v>100</v>
      </c>
      <c r="Q532" s="32" t="s">
        <v>219</v>
      </c>
      <c r="R532" s="98" t="s">
        <v>220</v>
      </c>
      <c r="S532" s="32" t="s">
        <v>221</v>
      </c>
      <c r="T532" s="98" t="s">
        <v>65</v>
      </c>
      <c r="U532" s="98"/>
      <c r="V532" s="98" t="s">
        <v>520</v>
      </c>
      <c r="W532" s="98"/>
      <c r="X532" s="78" t="s">
        <v>67</v>
      </c>
      <c r="Y532" s="98" t="s">
        <v>68</v>
      </c>
      <c r="Z532" s="32" t="s">
        <v>69</v>
      </c>
      <c r="AA532" s="32" t="s">
        <v>70</v>
      </c>
      <c r="AB532" s="78" t="s">
        <v>71</v>
      </c>
      <c r="AC532" s="98" t="s">
        <v>85</v>
      </c>
      <c r="AD532" s="98" t="s">
        <v>208</v>
      </c>
      <c r="AE532" s="65" t="s">
        <v>137</v>
      </c>
      <c r="AF532" s="39" t="s">
        <v>442</v>
      </c>
      <c r="AG532" s="98" t="s">
        <v>127</v>
      </c>
      <c r="AH532" s="115">
        <v>650</v>
      </c>
      <c r="AI532" s="117" t="s">
        <v>264</v>
      </c>
      <c r="AJ532" s="112" t="s">
        <v>384</v>
      </c>
      <c r="AK532" s="73">
        <v>1458</v>
      </c>
      <c r="AL532" s="116">
        <f t="shared" si="61"/>
        <v>435942000</v>
      </c>
      <c r="AM532" s="116">
        <v>14</v>
      </c>
      <c r="AN532" s="116">
        <v>3925961</v>
      </c>
      <c r="AO532" s="116">
        <v>71</v>
      </c>
      <c r="AP532" s="116">
        <v>20281214</v>
      </c>
      <c r="AQ532" s="116">
        <f t="shared" si="62"/>
        <v>581.29999999999995</v>
      </c>
      <c r="AR532" s="116">
        <f t="shared" si="63"/>
        <v>159904004</v>
      </c>
      <c r="AS532" s="118">
        <v>0.39869684499314129</v>
      </c>
    </row>
    <row r="533" spans="2:45" x14ac:dyDescent="0.3">
      <c r="B533" s="126" t="s">
        <v>675</v>
      </c>
      <c r="C533" s="98" t="str">
        <f t="shared" si="64"/>
        <v>DJ8C0</v>
      </c>
      <c r="D533" s="98" t="s">
        <v>55</v>
      </c>
      <c r="E533" s="98" t="str">
        <f t="shared" si="66"/>
        <v>X</v>
      </c>
      <c r="F533" s="98" t="str">
        <f t="shared" si="67"/>
        <v>DJ</v>
      </c>
      <c r="G533" s="98" t="s">
        <v>56</v>
      </c>
      <c r="H533" s="115" t="s">
        <v>676</v>
      </c>
      <c r="I533" s="98" t="s">
        <v>177</v>
      </c>
      <c r="J533" s="115" t="str">
        <f t="shared" si="65"/>
        <v/>
      </c>
      <c r="K533" s="115">
        <v>1</v>
      </c>
      <c r="L533" s="121">
        <v>299000</v>
      </c>
      <c r="M533" s="78" t="s">
        <v>225</v>
      </c>
      <c r="N533" s="98" t="s">
        <v>517</v>
      </c>
      <c r="O533" s="98" t="s">
        <v>143</v>
      </c>
      <c r="P533" s="98">
        <v>100</v>
      </c>
      <c r="Q533" s="32" t="s">
        <v>144</v>
      </c>
      <c r="R533" s="98" t="s">
        <v>518</v>
      </c>
      <c r="S533" s="32" t="s">
        <v>519</v>
      </c>
      <c r="T533" s="98" t="s">
        <v>122</v>
      </c>
      <c r="U533" s="98" t="s">
        <v>332</v>
      </c>
      <c r="V533" s="98" t="s">
        <v>66</v>
      </c>
      <c r="W533" s="98"/>
      <c r="X533" s="78" t="s">
        <v>67</v>
      </c>
      <c r="Y533" s="98" t="s">
        <v>68</v>
      </c>
      <c r="Z533" s="32" t="s">
        <v>441</v>
      </c>
      <c r="AA533" s="32" t="s">
        <v>353</v>
      </c>
      <c r="AB533" s="78" t="s">
        <v>71</v>
      </c>
      <c r="AC533" s="98" t="s">
        <v>85</v>
      </c>
      <c r="AD533" s="98" t="s">
        <v>208</v>
      </c>
      <c r="AE533" s="65" t="s">
        <v>137</v>
      </c>
      <c r="AF533" s="39" t="s">
        <v>442</v>
      </c>
      <c r="AG533" s="98" t="s">
        <v>127</v>
      </c>
      <c r="AH533" s="115">
        <v>650</v>
      </c>
      <c r="AI533" s="117" t="s">
        <v>264</v>
      </c>
      <c r="AJ533" s="112" t="s">
        <v>384</v>
      </c>
      <c r="AK533" s="73">
        <v>804</v>
      </c>
      <c r="AL533" s="116">
        <f t="shared" si="61"/>
        <v>240396000</v>
      </c>
      <c r="AM533" s="116">
        <v>0</v>
      </c>
      <c r="AN533" s="116">
        <v>0</v>
      </c>
      <c r="AO533" s="116">
        <v>4</v>
      </c>
      <c r="AP533" s="116">
        <v>1160000</v>
      </c>
      <c r="AQ533" s="116">
        <f t="shared" si="62"/>
        <v>285.39999999999998</v>
      </c>
      <c r="AR533" s="116">
        <f t="shared" si="63"/>
        <v>78507831.999999985</v>
      </c>
      <c r="AS533" s="118">
        <v>0.35497512437810941</v>
      </c>
    </row>
    <row r="534" spans="2:45" x14ac:dyDescent="0.3">
      <c r="B534" s="126" t="s">
        <v>675</v>
      </c>
      <c r="C534" s="98" t="str">
        <f t="shared" si="64"/>
        <v>DJ8C0</v>
      </c>
      <c r="D534" s="98" t="s">
        <v>55</v>
      </c>
      <c r="E534" s="98" t="str">
        <f t="shared" si="66"/>
        <v>X</v>
      </c>
      <c r="F534" s="98" t="str">
        <f t="shared" si="67"/>
        <v>DJ</v>
      </c>
      <c r="G534" s="98" t="s">
        <v>56</v>
      </c>
      <c r="H534" s="115" t="s">
        <v>676</v>
      </c>
      <c r="I534" s="98" t="s">
        <v>596</v>
      </c>
      <c r="J534" s="115" t="str">
        <f t="shared" si="65"/>
        <v/>
      </c>
      <c r="K534" s="115">
        <v>1</v>
      </c>
      <c r="L534" s="121">
        <v>299000</v>
      </c>
      <c r="M534" s="78" t="s">
        <v>225</v>
      </c>
      <c r="N534" s="98" t="s">
        <v>517</v>
      </c>
      <c r="O534" s="98" t="s">
        <v>143</v>
      </c>
      <c r="P534" s="98">
        <v>100</v>
      </c>
      <c r="Q534" s="32" t="s">
        <v>144</v>
      </c>
      <c r="R534" s="98" t="s">
        <v>518</v>
      </c>
      <c r="S534" s="32" t="s">
        <v>519</v>
      </c>
      <c r="T534" s="98" t="s">
        <v>122</v>
      </c>
      <c r="U534" s="98" t="s">
        <v>332</v>
      </c>
      <c r="V534" s="98" t="s">
        <v>66</v>
      </c>
      <c r="W534" s="98"/>
      <c r="X534" s="78" t="s">
        <v>67</v>
      </c>
      <c r="Y534" s="98" t="s">
        <v>68</v>
      </c>
      <c r="Z534" s="32" t="s">
        <v>441</v>
      </c>
      <c r="AA534" s="32" t="s">
        <v>353</v>
      </c>
      <c r="AB534" s="78" t="s">
        <v>71</v>
      </c>
      <c r="AC534" s="98" t="s">
        <v>85</v>
      </c>
      <c r="AD534" s="98" t="s">
        <v>208</v>
      </c>
      <c r="AE534" s="65" t="s">
        <v>137</v>
      </c>
      <c r="AF534" s="39" t="s">
        <v>442</v>
      </c>
      <c r="AG534" s="98" t="s">
        <v>127</v>
      </c>
      <c r="AH534" s="115">
        <v>650</v>
      </c>
      <c r="AI534" s="117" t="s">
        <v>264</v>
      </c>
      <c r="AJ534" s="112" t="s">
        <v>384</v>
      </c>
      <c r="AK534" s="73">
        <v>803</v>
      </c>
      <c r="AL534" s="116">
        <f t="shared" si="61"/>
        <v>240097000</v>
      </c>
      <c r="AM534" s="116">
        <v>1</v>
      </c>
      <c r="AN534" s="116">
        <v>279000</v>
      </c>
      <c r="AO534" s="116">
        <v>8</v>
      </c>
      <c r="AP534" s="116">
        <v>2306300</v>
      </c>
      <c r="AQ534" s="116">
        <f t="shared" si="62"/>
        <v>289.04999999999995</v>
      </c>
      <c r="AR534" s="116">
        <f t="shared" si="63"/>
        <v>79511873.999999985</v>
      </c>
      <c r="AS534" s="118">
        <v>0.35996264009962636</v>
      </c>
    </row>
    <row r="535" spans="2:45" x14ac:dyDescent="0.3">
      <c r="B535" s="126" t="s">
        <v>675</v>
      </c>
      <c r="C535" s="98" t="str">
        <f t="shared" si="64"/>
        <v>DJ8C0</v>
      </c>
      <c r="D535" s="98" t="s">
        <v>148</v>
      </c>
      <c r="E535" s="98" t="str">
        <f t="shared" si="66"/>
        <v>X</v>
      </c>
      <c r="F535" s="98" t="str">
        <f t="shared" si="67"/>
        <v>DJ</v>
      </c>
      <c r="G535" s="98" t="s">
        <v>56</v>
      </c>
      <c r="H535" s="115" t="s">
        <v>676</v>
      </c>
      <c r="I535" s="98" t="s">
        <v>385</v>
      </c>
      <c r="J535" s="115" t="str">
        <f t="shared" si="65"/>
        <v/>
      </c>
      <c r="K535" s="115">
        <v>1</v>
      </c>
      <c r="L535" s="121">
        <v>299000</v>
      </c>
      <c r="M535" s="78" t="s">
        <v>509</v>
      </c>
      <c r="N535" s="98" t="s">
        <v>678</v>
      </c>
      <c r="O535" s="98" t="s">
        <v>485</v>
      </c>
      <c r="P535" s="98">
        <v>100</v>
      </c>
      <c r="Q535" s="32" t="s">
        <v>119</v>
      </c>
      <c r="R535" s="98" t="s">
        <v>246</v>
      </c>
      <c r="S535" s="32" t="s">
        <v>331</v>
      </c>
      <c r="T535" s="98" t="s">
        <v>122</v>
      </c>
      <c r="U535" s="98" t="s">
        <v>207</v>
      </c>
      <c r="V535" s="98" t="s">
        <v>66</v>
      </c>
      <c r="W535" s="98"/>
      <c r="X535" s="78" t="s">
        <v>67</v>
      </c>
      <c r="Y535" s="98" t="s">
        <v>68</v>
      </c>
      <c r="Z535" s="32" t="s">
        <v>125</v>
      </c>
      <c r="AA535" s="32" t="s">
        <v>90</v>
      </c>
      <c r="AB535" s="78" t="s">
        <v>71</v>
      </c>
      <c r="AC535" s="98" t="s">
        <v>85</v>
      </c>
      <c r="AD535" s="98" t="s">
        <v>208</v>
      </c>
      <c r="AE535" s="65" t="s">
        <v>137</v>
      </c>
      <c r="AF535" s="39" t="s">
        <v>442</v>
      </c>
      <c r="AG535" s="98" t="s">
        <v>127</v>
      </c>
      <c r="AH535" s="115">
        <v>650</v>
      </c>
      <c r="AI535" s="117" t="s">
        <v>264</v>
      </c>
      <c r="AJ535" s="112" t="s">
        <v>384</v>
      </c>
      <c r="AK535" s="73">
        <v>2022</v>
      </c>
      <c r="AL535" s="116">
        <f t="shared" si="61"/>
        <v>604578000</v>
      </c>
      <c r="AM535" s="116">
        <v>80</v>
      </c>
      <c r="AN535" s="116">
        <v>21992570</v>
      </c>
      <c r="AO535" s="116">
        <v>326</v>
      </c>
      <c r="AP535" s="116">
        <v>91340194</v>
      </c>
      <c r="AQ535" s="116">
        <f t="shared" si="62"/>
        <v>1033.6999999999998</v>
      </c>
      <c r="AR535" s="116">
        <f t="shared" si="63"/>
        <v>284350196</v>
      </c>
      <c r="AS535" s="118">
        <v>0.51122650840751727</v>
      </c>
    </row>
    <row r="536" spans="2:45" x14ac:dyDescent="0.3">
      <c r="B536" s="126" t="s">
        <v>679</v>
      </c>
      <c r="C536" s="98" t="str">
        <f t="shared" si="64"/>
        <v>DJ8D0</v>
      </c>
      <c r="D536" s="98" t="s">
        <v>55</v>
      </c>
      <c r="E536" s="98" t="str">
        <f t="shared" si="66"/>
        <v>W</v>
      </c>
      <c r="F536" s="98" t="str">
        <f t="shared" si="67"/>
        <v>DJ</v>
      </c>
      <c r="G536" s="98" t="s">
        <v>56</v>
      </c>
      <c r="H536" s="115" t="s">
        <v>680</v>
      </c>
      <c r="I536" s="98" t="s">
        <v>159</v>
      </c>
      <c r="J536" s="115">
        <f t="shared" si="65"/>
        <v>1</v>
      </c>
      <c r="K536" s="115">
        <v>1</v>
      </c>
      <c r="L536" s="121">
        <v>299000</v>
      </c>
      <c r="M536" s="78" t="s">
        <v>509</v>
      </c>
      <c r="N536" s="98" t="s">
        <v>678</v>
      </c>
      <c r="O536" s="98" t="s">
        <v>485</v>
      </c>
      <c r="P536" s="98">
        <v>100</v>
      </c>
      <c r="Q536" s="32" t="s">
        <v>119</v>
      </c>
      <c r="R536" s="98" t="s">
        <v>246</v>
      </c>
      <c r="S536" s="32" t="s">
        <v>331</v>
      </c>
      <c r="T536" s="98" t="s">
        <v>122</v>
      </c>
      <c r="U536" s="98" t="s">
        <v>207</v>
      </c>
      <c r="V536" s="98" t="s">
        <v>66</v>
      </c>
      <c r="W536" s="98"/>
      <c r="X536" s="78" t="s">
        <v>67</v>
      </c>
      <c r="Y536" s="98" t="s">
        <v>68</v>
      </c>
      <c r="Z536" s="32" t="s">
        <v>125</v>
      </c>
      <c r="AA536" s="32" t="s">
        <v>90</v>
      </c>
      <c r="AB536" s="78" t="s">
        <v>71</v>
      </c>
      <c r="AC536" s="98" t="s">
        <v>85</v>
      </c>
      <c r="AD536" s="98" t="s">
        <v>208</v>
      </c>
      <c r="AE536" s="65" t="s">
        <v>137</v>
      </c>
      <c r="AF536" s="39" t="s">
        <v>199</v>
      </c>
      <c r="AG536" s="98" t="s">
        <v>127</v>
      </c>
      <c r="AH536" s="115">
        <v>650</v>
      </c>
      <c r="AI536" s="117" t="s">
        <v>128</v>
      </c>
      <c r="AJ536" s="115" t="s">
        <v>77</v>
      </c>
      <c r="AK536" s="73">
        <v>1598</v>
      </c>
      <c r="AL536" s="116">
        <f t="shared" si="61"/>
        <v>477802000</v>
      </c>
      <c r="AM536" s="116">
        <v>69</v>
      </c>
      <c r="AN536" s="116">
        <v>19291673</v>
      </c>
      <c r="AO536" s="116">
        <v>342</v>
      </c>
      <c r="AP536" s="116">
        <v>98165636</v>
      </c>
      <c r="AQ536" s="116">
        <f t="shared" si="62"/>
        <v>821.4</v>
      </c>
      <c r="AR536" s="116">
        <f t="shared" si="63"/>
        <v>225950711.99999997</v>
      </c>
      <c r="AS536" s="118">
        <v>0.51401752190237793</v>
      </c>
    </row>
    <row r="537" spans="2:45" x14ac:dyDescent="0.3">
      <c r="B537" s="126" t="s">
        <v>679</v>
      </c>
      <c r="C537" s="98" t="str">
        <f t="shared" si="64"/>
        <v>DJ8D0</v>
      </c>
      <c r="D537" s="98" t="s">
        <v>55</v>
      </c>
      <c r="E537" s="98" t="str">
        <f t="shared" si="66"/>
        <v>W</v>
      </c>
      <c r="F537" s="98" t="str">
        <f t="shared" si="67"/>
        <v>DJ</v>
      </c>
      <c r="G537" s="98" t="s">
        <v>56</v>
      </c>
      <c r="H537" s="115" t="s">
        <v>680</v>
      </c>
      <c r="I537" s="98" t="s">
        <v>78</v>
      </c>
      <c r="J537" s="115" t="str">
        <f t="shared" si="65"/>
        <v/>
      </c>
      <c r="K537" s="115">
        <v>1</v>
      </c>
      <c r="L537" s="121">
        <v>299000</v>
      </c>
      <c r="M537" s="78" t="s">
        <v>509</v>
      </c>
      <c r="N537" s="98" t="s">
        <v>678</v>
      </c>
      <c r="O537" s="98" t="s">
        <v>485</v>
      </c>
      <c r="P537" s="98">
        <v>100</v>
      </c>
      <c r="Q537" s="32" t="s">
        <v>119</v>
      </c>
      <c r="R537" s="98" t="s">
        <v>246</v>
      </c>
      <c r="S537" s="32" t="s">
        <v>331</v>
      </c>
      <c r="T537" s="98" t="s">
        <v>122</v>
      </c>
      <c r="U537" s="98" t="s">
        <v>207</v>
      </c>
      <c r="V537" s="98" t="s">
        <v>66</v>
      </c>
      <c r="W537" s="98"/>
      <c r="X537" s="78" t="s">
        <v>67</v>
      </c>
      <c r="Y537" s="98" t="s">
        <v>68</v>
      </c>
      <c r="Z537" s="32" t="s">
        <v>125</v>
      </c>
      <c r="AA537" s="32" t="s">
        <v>90</v>
      </c>
      <c r="AB537" s="78" t="s">
        <v>71</v>
      </c>
      <c r="AC537" s="98" t="s">
        <v>85</v>
      </c>
      <c r="AD537" s="98" t="s">
        <v>208</v>
      </c>
      <c r="AE537" s="65" t="s">
        <v>137</v>
      </c>
      <c r="AF537" s="39" t="s">
        <v>199</v>
      </c>
      <c r="AG537" s="98" t="s">
        <v>127</v>
      </c>
      <c r="AH537" s="115">
        <v>650</v>
      </c>
      <c r="AI537" s="117" t="s">
        <v>128</v>
      </c>
      <c r="AJ537" s="115" t="s">
        <v>77</v>
      </c>
      <c r="AK537" s="73">
        <v>3772</v>
      </c>
      <c r="AL537" s="116">
        <f t="shared" ref="AL537:AL600" si="68">AK537*L537</f>
        <v>1127828000</v>
      </c>
      <c r="AM537" s="116">
        <v>227</v>
      </c>
      <c r="AN537" s="116">
        <v>64037543</v>
      </c>
      <c r="AO537" s="116">
        <v>881</v>
      </c>
      <c r="AP537" s="116">
        <v>252871888</v>
      </c>
      <c r="AQ537" s="116">
        <f t="shared" ref="AQ537:AQ600" si="69">AK537*AS537</f>
        <v>2012.6000000000001</v>
      </c>
      <c r="AR537" s="116">
        <f t="shared" ref="AR537:AR600" si="70">(AL537*AS537)*0.92</f>
        <v>553626008</v>
      </c>
      <c r="AS537" s="118">
        <v>0.53356309650053024</v>
      </c>
    </row>
    <row r="538" spans="2:45" x14ac:dyDescent="0.3">
      <c r="B538" s="126" t="s">
        <v>679</v>
      </c>
      <c r="C538" s="98" t="str">
        <f t="shared" ref="C538:C601" si="71">MID(B538,3,5)</f>
        <v>DJ8D0</v>
      </c>
      <c r="D538" s="98" t="s">
        <v>55</v>
      </c>
      <c r="E538" s="98" t="str">
        <f t="shared" si="66"/>
        <v>W</v>
      </c>
      <c r="F538" s="98" t="str">
        <f t="shared" si="67"/>
        <v>DJ</v>
      </c>
      <c r="G538" s="98" t="s">
        <v>56</v>
      </c>
      <c r="H538" s="115" t="s">
        <v>680</v>
      </c>
      <c r="I538" s="98" t="s">
        <v>79</v>
      </c>
      <c r="J538" s="115" t="str">
        <f t="shared" ref="J538:J603" si="72">IF(B538=B537,"",1)</f>
        <v/>
      </c>
      <c r="K538" s="115">
        <v>1</v>
      </c>
      <c r="L538" s="121">
        <v>299000</v>
      </c>
      <c r="M538" s="78" t="s">
        <v>509</v>
      </c>
      <c r="N538" s="98" t="s">
        <v>678</v>
      </c>
      <c r="O538" s="98" t="s">
        <v>485</v>
      </c>
      <c r="P538" s="98">
        <v>100</v>
      </c>
      <c r="Q538" s="32" t="s">
        <v>119</v>
      </c>
      <c r="R538" s="98" t="s">
        <v>246</v>
      </c>
      <c r="S538" s="32" t="s">
        <v>331</v>
      </c>
      <c r="T538" s="98" t="s">
        <v>122</v>
      </c>
      <c r="U538" s="98" t="s">
        <v>207</v>
      </c>
      <c r="V538" s="98" t="s">
        <v>66</v>
      </c>
      <c r="W538" s="98"/>
      <c r="X538" s="78" t="s">
        <v>67</v>
      </c>
      <c r="Y538" s="98" t="s">
        <v>68</v>
      </c>
      <c r="Z538" s="32" t="s">
        <v>125</v>
      </c>
      <c r="AA538" s="32" t="s">
        <v>90</v>
      </c>
      <c r="AB538" s="78" t="s">
        <v>71</v>
      </c>
      <c r="AC538" s="98" t="s">
        <v>85</v>
      </c>
      <c r="AD538" s="98" t="s">
        <v>208</v>
      </c>
      <c r="AE538" s="65" t="s">
        <v>137</v>
      </c>
      <c r="AF538" s="39" t="s">
        <v>199</v>
      </c>
      <c r="AG538" s="98" t="s">
        <v>127</v>
      </c>
      <c r="AH538" s="115">
        <v>650</v>
      </c>
      <c r="AI538" s="117" t="s">
        <v>128</v>
      </c>
      <c r="AJ538" s="115" t="s">
        <v>77</v>
      </c>
      <c r="AK538" s="73">
        <v>2207</v>
      </c>
      <c r="AL538" s="116">
        <f t="shared" si="68"/>
        <v>659893000</v>
      </c>
      <c r="AM538" s="116">
        <v>82</v>
      </c>
      <c r="AN538" s="116">
        <v>23238063</v>
      </c>
      <c r="AO538" s="116">
        <v>442</v>
      </c>
      <c r="AP538" s="116">
        <v>127858974</v>
      </c>
      <c r="AQ538" s="116">
        <f t="shared" si="69"/>
        <v>1104.0999999999999</v>
      </c>
      <c r="AR538" s="116">
        <f t="shared" si="70"/>
        <v>303715828</v>
      </c>
      <c r="AS538" s="118">
        <v>0.5002718622564567</v>
      </c>
    </row>
    <row r="539" spans="2:45" x14ac:dyDescent="0.3">
      <c r="B539" s="126" t="s">
        <v>679</v>
      </c>
      <c r="C539" s="98" t="str">
        <f t="shared" si="71"/>
        <v>DJ8D0</v>
      </c>
      <c r="D539" s="98" t="s">
        <v>55</v>
      </c>
      <c r="E539" s="98" t="str">
        <f t="shared" si="66"/>
        <v>W</v>
      </c>
      <c r="F539" s="98" t="str">
        <f t="shared" si="67"/>
        <v>DJ</v>
      </c>
      <c r="G539" s="98" t="s">
        <v>56</v>
      </c>
      <c r="H539" s="115" t="s">
        <v>680</v>
      </c>
      <c r="I539" s="98" t="s">
        <v>542</v>
      </c>
      <c r="J539" s="115" t="str">
        <f t="shared" si="72"/>
        <v/>
      </c>
      <c r="K539" s="115">
        <v>1</v>
      </c>
      <c r="L539" s="121">
        <v>299000</v>
      </c>
      <c r="M539" s="78" t="s">
        <v>217</v>
      </c>
      <c r="N539" s="98" t="s">
        <v>218</v>
      </c>
      <c r="O539" s="98" t="s">
        <v>485</v>
      </c>
      <c r="P539" s="98">
        <v>100</v>
      </c>
      <c r="Q539" s="32" t="s">
        <v>219</v>
      </c>
      <c r="R539" s="98" t="s">
        <v>220</v>
      </c>
      <c r="S539" s="32" t="s">
        <v>221</v>
      </c>
      <c r="T539" s="98" t="s">
        <v>65</v>
      </c>
      <c r="U539" s="98"/>
      <c r="V539" s="98" t="s">
        <v>520</v>
      </c>
      <c r="W539" s="98"/>
      <c r="X539" s="78" t="s">
        <v>67</v>
      </c>
      <c r="Y539" s="98" t="s">
        <v>68</v>
      </c>
      <c r="Z539" s="32" t="s">
        <v>69</v>
      </c>
      <c r="AA539" s="32" t="s">
        <v>70</v>
      </c>
      <c r="AB539" s="78" t="s">
        <v>71</v>
      </c>
      <c r="AC539" s="98" t="s">
        <v>85</v>
      </c>
      <c r="AD539" s="98" t="s">
        <v>208</v>
      </c>
      <c r="AE539" s="65" t="s">
        <v>137</v>
      </c>
      <c r="AF539" s="39" t="s">
        <v>199</v>
      </c>
      <c r="AG539" s="98" t="s">
        <v>127</v>
      </c>
      <c r="AH539" s="115">
        <v>650</v>
      </c>
      <c r="AI539" s="117" t="s">
        <v>128</v>
      </c>
      <c r="AJ539" s="115" t="s">
        <v>77</v>
      </c>
      <c r="AK539" s="73">
        <v>2491</v>
      </c>
      <c r="AL539" s="116">
        <f t="shared" si="68"/>
        <v>744809000</v>
      </c>
      <c r="AM539" s="116">
        <v>1</v>
      </c>
      <c r="AN539" s="116">
        <v>279000</v>
      </c>
      <c r="AO539" s="116">
        <v>17</v>
      </c>
      <c r="AP539" s="116">
        <v>4960745</v>
      </c>
      <c r="AQ539" s="116">
        <f t="shared" si="69"/>
        <v>764.3</v>
      </c>
      <c r="AR539" s="116">
        <f t="shared" si="70"/>
        <v>210243643.99999997</v>
      </c>
      <c r="AS539" s="118">
        <v>0.30682456844640704</v>
      </c>
    </row>
    <row r="540" spans="2:45" x14ac:dyDescent="0.3">
      <c r="B540" s="126" t="s">
        <v>679</v>
      </c>
      <c r="C540" s="98" t="str">
        <f t="shared" si="71"/>
        <v>DJ8D0</v>
      </c>
      <c r="D540" s="98" t="s">
        <v>55</v>
      </c>
      <c r="E540" s="98" t="str">
        <f t="shared" si="66"/>
        <v>W</v>
      </c>
      <c r="F540" s="98" t="str">
        <f t="shared" si="67"/>
        <v>DJ</v>
      </c>
      <c r="G540" s="98" t="s">
        <v>56</v>
      </c>
      <c r="H540" s="115" t="s">
        <v>680</v>
      </c>
      <c r="I540" s="98" t="s">
        <v>140</v>
      </c>
      <c r="J540" s="115" t="str">
        <f t="shared" si="72"/>
        <v/>
      </c>
      <c r="K540" s="115">
        <v>1</v>
      </c>
      <c r="L540" s="121">
        <v>299000</v>
      </c>
      <c r="M540" s="78" t="s">
        <v>217</v>
      </c>
      <c r="N540" s="98" t="s">
        <v>218</v>
      </c>
      <c r="O540" s="98" t="s">
        <v>485</v>
      </c>
      <c r="P540" s="98">
        <v>100</v>
      </c>
      <c r="Q540" s="32" t="s">
        <v>219</v>
      </c>
      <c r="R540" s="98" t="s">
        <v>220</v>
      </c>
      <c r="S540" s="32" t="s">
        <v>221</v>
      </c>
      <c r="T540" s="98" t="s">
        <v>65</v>
      </c>
      <c r="U540" s="98"/>
      <c r="V540" s="98" t="s">
        <v>520</v>
      </c>
      <c r="W540" s="98"/>
      <c r="X540" s="78" t="s">
        <v>67</v>
      </c>
      <c r="Y540" s="98" t="s">
        <v>68</v>
      </c>
      <c r="Z540" s="32" t="s">
        <v>69</v>
      </c>
      <c r="AA540" s="32" t="s">
        <v>70</v>
      </c>
      <c r="AB540" s="78" t="s">
        <v>71</v>
      </c>
      <c r="AC540" s="98" t="s">
        <v>85</v>
      </c>
      <c r="AD540" s="98" t="s">
        <v>208</v>
      </c>
      <c r="AE540" s="65" t="s">
        <v>137</v>
      </c>
      <c r="AF540" s="39" t="s">
        <v>199</v>
      </c>
      <c r="AG540" s="98" t="s">
        <v>127</v>
      </c>
      <c r="AH540" s="115">
        <v>650</v>
      </c>
      <c r="AI540" s="117" t="s">
        <v>128</v>
      </c>
      <c r="AJ540" s="115" t="s">
        <v>77</v>
      </c>
      <c r="AK540" s="73">
        <v>3978</v>
      </c>
      <c r="AL540" s="116">
        <f t="shared" si="68"/>
        <v>1189422000</v>
      </c>
      <c r="AM540" s="116">
        <v>87</v>
      </c>
      <c r="AN540" s="116">
        <v>24520155</v>
      </c>
      <c r="AO540" s="116">
        <v>418</v>
      </c>
      <c r="AP540" s="116">
        <v>120248809</v>
      </c>
      <c r="AQ540" s="116">
        <f t="shared" si="69"/>
        <v>1611.4</v>
      </c>
      <c r="AR540" s="116">
        <f t="shared" si="70"/>
        <v>443263912</v>
      </c>
      <c r="AS540" s="118">
        <v>0.40507792860734038</v>
      </c>
    </row>
    <row r="541" spans="2:45" x14ac:dyDescent="0.3">
      <c r="B541" s="126" t="s">
        <v>679</v>
      </c>
      <c r="C541" s="98" t="str">
        <f t="shared" si="71"/>
        <v>DJ8D0</v>
      </c>
      <c r="D541" s="98" t="s">
        <v>55</v>
      </c>
      <c r="E541" s="98" t="str">
        <f t="shared" si="66"/>
        <v>W</v>
      </c>
      <c r="F541" s="98" t="str">
        <f t="shared" si="67"/>
        <v>DJ</v>
      </c>
      <c r="G541" s="98" t="s">
        <v>56</v>
      </c>
      <c r="H541" s="115" t="s">
        <v>680</v>
      </c>
      <c r="I541" s="98" t="s">
        <v>633</v>
      </c>
      <c r="J541" s="115" t="str">
        <f t="shared" si="72"/>
        <v/>
      </c>
      <c r="K541" s="115">
        <v>1</v>
      </c>
      <c r="L541" s="121">
        <v>299000</v>
      </c>
      <c r="M541" s="78" t="s">
        <v>225</v>
      </c>
      <c r="N541" s="98" t="s">
        <v>517</v>
      </c>
      <c r="O541" s="98" t="s">
        <v>143</v>
      </c>
      <c r="P541" s="98">
        <v>100</v>
      </c>
      <c r="Q541" s="32" t="s">
        <v>144</v>
      </c>
      <c r="R541" s="98" t="s">
        <v>518</v>
      </c>
      <c r="S541" s="32" t="s">
        <v>519</v>
      </c>
      <c r="T541" s="98" t="s">
        <v>122</v>
      </c>
      <c r="U541" s="98" t="s">
        <v>332</v>
      </c>
      <c r="V541" s="98" t="s">
        <v>66</v>
      </c>
      <c r="W541" s="98"/>
      <c r="X541" s="78" t="s">
        <v>67</v>
      </c>
      <c r="Y541" s="98" t="s">
        <v>68</v>
      </c>
      <c r="Z541" s="32" t="s">
        <v>441</v>
      </c>
      <c r="AA541" s="32" t="s">
        <v>353</v>
      </c>
      <c r="AB541" s="78" t="s">
        <v>71</v>
      </c>
      <c r="AC541" s="98" t="s">
        <v>85</v>
      </c>
      <c r="AD541" s="98" t="s">
        <v>208</v>
      </c>
      <c r="AE541" s="65" t="s">
        <v>137</v>
      </c>
      <c r="AF541" s="39" t="s">
        <v>199</v>
      </c>
      <c r="AG541" s="98" t="s">
        <v>127</v>
      </c>
      <c r="AH541" s="115">
        <v>650</v>
      </c>
      <c r="AI541" s="117" t="s">
        <v>128</v>
      </c>
      <c r="AJ541" s="115" t="s">
        <v>77</v>
      </c>
      <c r="AK541" s="73">
        <v>2495</v>
      </c>
      <c r="AL541" s="116">
        <f t="shared" si="68"/>
        <v>746005000</v>
      </c>
      <c r="AM541" s="116">
        <v>39</v>
      </c>
      <c r="AN541" s="116">
        <v>11184149</v>
      </c>
      <c r="AO541" s="116">
        <v>249</v>
      </c>
      <c r="AP541" s="116">
        <v>72077056</v>
      </c>
      <c r="AQ541" s="116">
        <f t="shared" si="69"/>
        <v>997.5</v>
      </c>
      <c r="AR541" s="116">
        <f t="shared" si="70"/>
        <v>274392300</v>
      </c>
      <c r="AS541" s="118">
        <v>0.3997995991983968</v>
      </c>
    </row>
    <row r="542" spans="2:45" x14ac:dyDescent="0.3">
      <c r="B542" s="126" t="s">
        <v>679</v>
      </c>
      <c r="C542" s="98" t="str">
        <f t="shared" si="71"/>
        <v>DJ8D0</v>
      </c>
      <c r="D542" s="98" t="s">
        <v>55</v>
      </c>
      <c r="E542" s="98" t="str">
        <f t="shared" si="66"/>
        <v>W</v>
      </c>
      <c r="F542" s="98" t="str">
        <f t="shared" si="67"/>
        <v>DJ</v>
      </c>
      <c r="G542" s="98" t="s">
        <v>56</v>
      </c>
      <c r="H542" s="115" t="s">
        <v>680</v>
      </c>
      <c r="I542" s="98" t="s">
        <v>177</v>
      </c>
      <c r="J542" s="115" t="str">
        <f t="shared" si="72"/>
        <v/>
      </c>
      <c r="K542" s="115">
        <v>1</v>
      </c>
      <c r="L542" s="121">
        <v>299000</v>
      </c>
      <c r="M542" s="78" t="s">
        <v>509</v>
      </c>
      <c r="N542" s="98" t="s">
        <v>678</v>
      </c>
      <c r="O542" s="98" t="s">
        <v>485</v>
      </c>
      <c r="P542" s="98">
        <v>100</v>
      </c>
      <c r="Q542" s="32" t="s">
        <v>119</v>
      </c>
      <c r="R542" s="98" t="s">
        <v>246</v>
      </c>
      <c r="S542" s="32" t="s">
        <v>331</v>
      </c>
      <c r="T542" s="98" t="s">
        <v>122</v>
      </c>
      <c r="U542" s="98" t="s">
        <v>207</v>
      </c>
      <c r="V542" s="98" t="s">
        <v>66</v>
      </c>
      <c r="W542" s="98"/>
      <c r="X542" s="78" t="s">
        <v>67</v>
      </c>
      <c r="Y542" s="98" t="s">
        <v>68</v>
      </c>
      <c r="Z542" s="32" t="s">
        <v>125</v>
      </c>
      <c r="AA542" s="32" t="s">
        <v>90</v>
      </c>
      <c r="AB542" s="78" t="s">
        <v>71</v>
      </c>
      <c r="AC542" s="98" t="s">
        <v>85</v>
      </c>
      <c r="AD542" s="98" t="s">
        <v>208</v>
      </c>
      <c r="AE542" s="65" t="s">
        <v>137</v>
      </c>
      <c r="AF542" s="39" t="s">
        <v>199</v>
      </c>
      <c r="AG542" s="98" t="s">
        <v>127</v>
      </c>
      <c r="AH542" s="115">
        <v>650</v>
      </c>
      <c r="AI542" s="117" t="s">
        <v>128</v>
      </c>
      <c r="AJ542" s="115" t="s">
        <v>77</v>
      </c>
      <c r="AK542" s="73">
        <v>599</v>
      </c>
      <c r="AL542" s="116">
        <f t="shared" si="68"/>
        <v>179101000</v>
      </c>
      <c r="AM542" s="116">
        <v>2</v>
      </c>
      <c r="AN542" s="116">
        <v>548440</v>
      </c>
      <c r="AO542" s="116">
        <v>3</v>
      </c>
      <c r="AP542" s="116">
        <v>837440</v>
      </c>
      <c r="AQ542" s="116">
        <f t="shared" si="69"/>
        <v>182.7</v>
      </c>
      <c r="AR542" s="116">
        <f t="shared" si="70"/>
        <v>50257115.999999993</v>
      </c>
      <c r="AS542" s="118">
        <v>0.30500834724540898</v>
      </c>
    </row>
    <row r="543" spans="2:45" x14ac:dyDescent="0.3">
      <c r="B543" s="126" t="s">
        <v>679</v>
      </c>
      <c r="C543" s="98" t="str">
        <f t="shared" si="71"/>
        <v>DJ8D0</v>
      </c>
      <c r="D543" s="98" t="s">
        <v>55</v>
      </c>
      <c r="E543" s="98" t="str">
        <f t="shared" si="66"/>
        <v>W</v>
      </c>
      <c r="F543" s="98" t="str">
        <f t="shared" si="67"/>
        <v>DJ</v>
      </c>
      <c r="G543" s="98" t="s">
        <v>56</v>
      </c>
      <c r="H543" s="115" t="s">
        <v>680</v>
      </c>
      <c r="I543" s="98" t="s">
        <v>596</v>
      </c>
      <c r="J543" s="115" t="str">
        <f t="shared" si="72"/>
        <v/>
      </c>
      <c r="K543" s="115">
        <v>1</v>
      </c>
      <c r="L543" s="121">
        <v>299000</v>
      </c>
      <c r="M543" s="78" t="s">
        <v>225</v>
      </c>
      <c r="N543" s="98" t="s">
        <v>517</v>
      </c>
      <c r="O543" s="98" t="s">
        <v>143</v>
      </c>
      <c r="P543" s="98">
        <v>100</v>
      </c>
      <c r="Q543" s="32" t="s">
        <v>144</v>
      </c>
      <c r="R543" s="98" t="s">
        <v>518</v>
      </c>
      <c r="S543" s="32" t="s">
        <v>519</v>
      </c>
      <c r="T543" s="98" t="s">
        <v>122</v>
      </c>
      <c r="U543" s="98" t="s">
        <v>332</v>
      </c>
      <c r="V543" s="98" t="s">
        <v>66</v>
      </c>
      <c r="W543" s="98"/>
      <c r="X543" s="78" t="s">
        <v>67</v>
      </c>
      <c r="Y543" s="98" t="s">
        <v>68</v>
      </c>
      <c r="Z543" s="32" t="s">
        <v>441</v>
      </c>
      <c r="AA543" s="32" t="s">
        <v>353</v>
      </c>
      <c r="AB543" s="78" t="s">
        <v>71</v>
      </c>
      <c r="AC543" s="98" t="s">
        <v>85</v>
      </c>
      <c r="AD543" s="98" t="s">
        <v>208</v>
      </c>
      <c r="AE543" s="65" t="s">
        <v>137</v>
      </c>
      <c r="AF543" s="39" t="s">
        <v>199</v>
      </c>
      <c r="AG543" s="98" t="s">
        <v>127</v>
      </c>
      <c r="AH543" s="115">
        <v>650</v>
      </c>
      <c r="AI543" s="117" t="s">
        <v>128</v>
      </c>
      <c r="AJ543" s="115" t="s">
        <v>77</v>
      </c>
      <c r="AK543" s="73">
        <v>597</v>
      </c>
      <c r="AL543" s="116">
        <f t="shared" si="68"/>
        <v>178503000</v>
      </c>
      <c r="AM543" s="116">
        <v>0</v>
      </c>
      <c r="AN543" s="116">
        <v>0</v>
      </c>
      <c r="AO543" s="116">
        <v>1</v>
      </c>
      <c r="AP543" s="116">
        <v>299000</v>
      </c>
      <c r="AQ543" s="116">
        <f t="shared" si="69"/>
        <v>180.1</v>
      </c>
      <c r="AR543" s="116">
        <f t="shared" si="70"/>
        <v>49541907.999999993</v>
      </c>
      <c r="AS543" s="118">
        <v>0.30167504187604688</v>
      </c>
    </row>
    <row r="544" spans="2:45" x14ac:dyDescent="0.3">
      <c r="B544" s="126" t="s">
        <v>679</v>
      </c>
      <c r="C544" s="98" t="str">
        <f t="shared" si="71"/>
        <v>DJ8D0</v>
      </c>
      <c r="D544" s="98" t="s">
        <v>148</v>
      </c>
      <c r="E544" s="98" t="str">
        <f t="shared" si="66"/>
        <v>W</v>
      </c>
      <c r="F544" s="98" t="str">
        <f t="shared" si="67"/>
        <v>DJ</v>
      </c>
      <c r="G544" s="98" t="s">
        <v>56</v>
      </c>
      <c r="H544" s="115" t="s">
        <v>680</v>
      </c>
      <c r="I544" s="98" t="s">
        <v>523</v>
      </c>
      <c r="J544" s="115" t="str">
        <f t="shared" si="72"/>
        <v/>
      </c>
      <c r="K544" s="115">
        <v>1</v>
      </c>
      <c r="L544" s="121">
        <v>299000</v>
      </c>
      <c r="M544" s="78" t="s">
        <v>509</v>
      </c>
      <c r="N544" s="98" t="s">
        <v>678</v>
      </c>
      <c r="O544" s="98" t="s">
        <v>485</v>
      </c>
      <c r="P544" s="98">
        <v>100</v>
      </c>
      <c r="Q544" s="32" t="s">
        <v>119</v>
      </c>
      <c r="R544" s="98" t="s">
        <v>246</v>
      </c>
      <c r="S544" s="32" t="s">
        <v>331</v>
      </c>
      <c r="T544" s="98" t="s">
        <v>122</v>
      </c>
      <c r="U544" s="98" t="s">
        <v>207</v>
      </c>
      <c r="V544" s="98" t="s">
        <v>66</v>
      </c>
      <c r="W544" s="98"/>
      <c r="X544" s="78" t="s">
        <v>67</v>
      </c>
      <c r="Y544" s="98" t="s">
        <v>68</v>
      </c>
      <c r="Z544" s="32" t="s">
        <v>125</v>
      </c>
      <c r="AA544" s="32" t="s">
        <v>90</v>
      </c>
      <c r="AB544" s="78" t="s">
        <v>71</v>
      </c>
      <c r="AC544" s="98" t="s">
        <v>85</v>
      </c>
      <c r="AD544" s="98" t="s">
        <v>208</v>
      </c>
      <c r="AE544" s="65" t="s">
        <v>137</v>
      </c>
      <c r="AF544" s="39" t="s">
        <v>199</v>
      </c>
      <c r="AG544" s="98" t="s">
        <v>127</v>
      </c>
      <c r="AH544" s="115">
        <v>650</v>
      </c>
      <c r="AI544" s="117" t="s">
        <v>128</v>
      </c>
      <c r="AJ544" s="115" t="s">
        <v>77</v>
      </c>
      <c r="AK544" s="73">
        <v>805</v>
      </c>
      <c r="AL544" s="116">
        <f t="shared" si="68"/>
        <v>240695000</v>
      </c>
      <c r="AM544" s="116">
        <v>11</v>
      </c>
      <c r="AN544" s="116">
        <v>3105604</v>
      </c>
      <c r="AO544" s="116">
        <v>39</v>
      </c>
      <c r="AP544" s="116">
        <v>11196268</v>
      </c>
      <c r="AQ544" s="116">
        <f t="shared" si="69"/>
        <v>280.5</v>
      </c>
      <c r="AR544" s="116">
        <f t="shared" si="70"/>
        <v>77159940</v>
      </c>
      <c r="AS544" s="118">
        <v>0.3484472049689441</v>
      </c>
    </row>
    <row r="545" spans="2:45" x14ac:dyDescent="0.3">
      <c r="B545" s="126" t="s">
        <v>681</v>
      </c>
      <c r="C545" s="98" t="str">
        <f t="shared" si="71"/>
        <v>DJ8E0</v>
      </c>
      <c r="D545" s="98" t="s">
        <v>55</v>
      </c>
      <c r="E545" s="98" t="str">
        <f t="shared" si="66"/>
        <v>M</v>
      </c>
      <c r="F545" s="98" t="str">
        <f t="shared" si="67"/>
        <v>DJ</v>
      </c>
      <c r="G545" s="98" t="s">
        <v>56</v>
      </c>
      <c r="H545" s="115" t="s">
        <v>401</v>
      </c>
      <c r="I545" s="98" t="s">
        <v>633</v>
      </c>
      <c r="J545" s="115">
        <f t="shared" si="72"/>
        <v>1</v>
      </c>
      <c r="K545" s="115">
        <v>1</v>
      </c>
      <c r="L545" s="121">
        <v>359000</v>
      </c>
      <c r="M545" s="78" t="s">
        <v>225</v>
      </c>
      <c r="N545" s="98" t="s">
        <v>517</v>
      </c>
      <c r="O545" s="98" t="s">
        <v>143</v>
      </c>
      <c r="P545" s="98">
        <v>100</v>
      </c>
      <c r="Q545" s="32" t="s">
        <v>144</v>
      </c>
      <c r="R545" s="98" t="s">
        <v>518</v>
      </c>
      <c r="S545" s="32" t="s">
        <v>519</v>
      </c>
      <c r="T545" s="98" t="s">
        <v>122</v>
      </c>
      <c r="U545" s="98" t="s">
        <v>332</v>
      </c>
      <c r="V545" s="98" t="s">
        <v>66</v>
      </c>
      <c r="W545" s="98"/>
      <c r="X545" s="78" t="s">
        <v>67</v>
      </c>
      <c r="Y545" s="98" t="s">
        <v>68</v>
      </c>
      <c r="Z545" s="32" t="s">
        <v>441</v>
      </c>
      <c r="AA545" s="32" t="s">
        <v>353</v>
      </c>
      <c r="AB545" s="78" t="s">
        <v>71</v>
      </c>
      <c r="AC545" s="98" t="s">
        <v>85</v>
      </c>
      <c r="AD545" s="98" t="s">
        <v>208</v>
      </c>
      <c r="AE545" s="65" t="s">
        <v>137</v>
      </c>
      <c r="AF545" s="39" t="s">
        <v>402</v>
      </c>
      <c r="AG545" s="98" t="s">
        <v>127</v>
      </c>
      <c r="AH545" s="115">
        <v>650</v>
      </c>
      <c r="AI545" s="117" t="s">
        <v>107</v>
      </c>
      <c r="AJ545" s="115" t="s">
        <v>108</v>
      </c>
      <c r="AK545" s="73">
        <v>968</v>
      </c>
      <c r="AL545" s="116">
        <f t="shared" si="68"/>
        <v>347512000</v>
      </c>
      <c r="AM545" s="116">
        <v>44</v>
      </c>
      <c r="AN545" s="116">
        <v>15016508</v>
      </c>
      <c r="AO545" s="116">
        <v>127</v>
      </c>
      <c r="AP545" s="116">
        <v>43941964</v>
      </c>
      <c r="AQ545" s="116">
        <f t="shared" si="69"/>
        <v>417.4</v>
      </c>
      <c r="AR545" s="116">
        <f t="shared" si="70"/>
        <v>137858872</v>
      </c>
      <c r="AS545" s="118">
        <v>0.43119834710743798</v>
      </c>
    </row>
    <row r="546" spans="2:45" x14ac:dyDescent="0.3">
      <c r="B546" s="126" t="s">
        <v>681</v>
      </c>
      <c r="C546" s="98" t="str">
        <f t="shared" si="71"/>
        <v>DJ8E0</v>
      </c>
      <c r="D546" s="98" t="s">
        <v>55</v>
      </c>
      <c r="E546" s="98" t="str">
        <f t="shared" si="66"/>
        <v>M</v>
      </c>
      <c r="F546" s="98" t="str">
        <f t="shared" si="67"/>
        <v>DJ</v>
      </c>
      <c r="G546" s="98" t="s">
        <v>56</v>
      </c>
      <c r="H546" s="115" t="s">
        <v>401</v>
      </c>
      <c r="I546" s="98" t="s">
        <v>78</v>
      </c>
      <c r="J546" s="115" t="str">
        <f t="shared" si="72"/>
        <v/>
      </c>
      <c r="K546" s="115">
        <v>1</v>
      </c>
      <c r="L546" s="121">
        <v>359000</v>
      </c>
      <c r="M546" s="78" t="s">
        <v>509</v>
      </c>
      <c r="N546" s="98" t="s">
        <v>678</v>
      </c>
      <c r="O546" s="98" t="s">
        <v>485</v>
      </c>
      <c r="P546" s="98">
        <v>100</v>
      </c>
      <c r="Q546" s="32" t="s">
        <v>119</v>
      </c>
      <c r="R546" s="98" t="s">
        <v>246</v>
      </c>
      <c r="S546" s="32" t="s">
        <v>331</v>
      </c>
      <c r="T546" s="98" t="s">
        <v>122</v>
      </c>
      <c r="U546" s="98" t="s">
        <v>207</v>
      </c>
      <c r="V546" s="98" t="s">
        <v>66</v>
      </c>
      <c r="W546" s="98"/>
      <c r="X546" s="78" t="s">
        <v>67</v>
      </c>
      <c r="Y546" s="98" t="s">
        <v>68</v>
      </c>
      <c r="Z546" s="32" t="s">
        <v>125</v>
      </c>
      <c r="AA546" s="32" t="s">
        <v>90</v>
      </c>
      <c r="AB546" s="78" t="s">
        <v>71</v>
      </c>
      <c r="AC546" s="98" t="s">
        <v>85</v>
      </c>
      <c r="AD546" s="98" t="s">
        <v>208</v>
      </c>
      <c r="AE546" s="65" t="s">
        <v>137</v>
      </c>
      <c r="AF546" s="39" t="s">
        <v>402</v>
      </c>
      <c r="AG546" s="98" t="s">
        <v>127</v>
      </c>
      <c r="AH546" s="115">
        <v>650</v>
      </c>
      <c r="AI546" s="117" t="s">
        <v>107</v>
      </c>
      <c r="AJ546" s="115" t="s">
        <v>108</v>
      </c>
      <c r="AK546" s="73">
        <v>4130</v>
      </c>
      <c r="AL546" s="116">
        <f t="shared" si="68"/>
        <v>1482670000</v>
      </c>
      <c r="AM546" s="116">
        <v>258</v>
      </c>
      <c r="AN546" s="116">
        <v>87384346</v>
      </c>
      <c r="AO546" s="116">
        <v>669</v>
      </c>
      <c r="AP546" s="116">
        <v>230980619</v>
      </c>
      <c r="AQ546" s="116">
        <f t="shared" si="69"/>
        <v>1908</v>
      </c>
      <c r="AR546" s="116">
        <f t="shared" si="70"/>
        <v>630174240</v>
      </c>
      <c r="AS546" s="118">
        <v>0.46198547215496366</v>
      </c>
    </row>
    <row r="547" spans="2:45" x14ac:dyDescent="0.3">
      <c r="B547" s="126" t="s">
        <v>682</v>
      </c>
      <c r="C547" s="98" t="str">
        <f t="shared" si="71"/>
        <v>DJ8F0</v>
      </c>
      <c r="D547" s="98" t="s">
        <v>55</v>
      </c>
      <c r="E547" s="98" t="str">
        <f t="shared" si="66"/>
        <v>W</v>
      </c>
      <c r="F547" s="98" t="str">
        <f t="shared" si="67"/>
        <v>DJ</v>
      </c>
      <c r="G547" s="98" t="s">
        <v>56</v>
      </c>
      <c r="H547" s="115" t="s">
        <v>404</v>
      </c>
      <c r="I547" s="98" t="s">
        <v>79</v>
      </c>
      <c r="J547" s="115">
        <f t="shared" si="72"/>
        <v>1</v>
      </c>
      <c r="K547" s="115">
        <v>1</v>
      </c>
      <c r="L547" s="121">
        <v>359000</v>
      </c>
      <c r="M547" s="78" t="s">
        <v>509</v>
      </c>
      <c r="N547" s="98" t="s">
        <v>678</v>
      </c>
      <c r="O547" s="98" t="s">
        <v>485</v>
      </c>
      <c r="P547" s="98">
        <v>100</v>
      </c>
      <c r="Q547" s="32" t="s">
        <v>119</v>
      </c>
      <c r="R547" s="98" t="s">
        <v>246</v>
      </c>
      <c r="S547" s="32" t="s">
        <v>331</v>
      </c>
      <c r="T547" s="98" t="s">
        <v>122</v>
      </c>
      <c r="U547" s="98" t="s">
        <v>207</v>
      </c>
      <c r="V547" s="98" t="s">
        <v>66</v>
      </c>
      <c r="W547" s="98"/>
      <c r="X547" s="78" t="s">
        <v>67</v>
      </c>
      <c r="Y547" s="98" t="s">
        <v>68</v>
      </c>
      <c r="Z547" s="32" t="s">
        <v>125</v>
      </c>
      <c r="AA547" s="32" t="s">
        <v>90</v>
      </c>
      <c r="AB547" s="78" t="s">
        <v>71</v>
      </c>
      <c r="AC547" s="98" t="s">
        <v>85</v>
      </c>
      <c r="AD547" s="98" t="s">
        <v>208</v>
      </c>
      <c r="AE547" s="65" t="s">
        <v>137</v>
      </c>
      <c r="AF547" s="39" t="s">
        <v>405</v>
      </c>
      <c r="AG547" s="98" t="s">
        <v>127</v>
      </c>
      <c r="AH547" s="115">
        <v>650</v>
      </c>
      <c r="AI547" s="117" t="s">
        <v>107</v>
      </c>
      <c r="AJ547" s="115" t="s">
        <v>108</v>
      </c>
      <c r="AK547" s="73">
        <v>972</v>
      </c>
      <c r="AL547" s="116">
        <f t="shared" si="68"/>
        <v>348948000</v>
      </c>
      <c r="AM547" s="116">
        <v>126</v>
      </c>
      <c r="AN547" s="116">
        <v>42723955</v>
      </c>
      <c r="AO547" s="116">
        <v>278</v>
      </c>
      <c r="AP547" s="116">
        <v>95677141</v>
      </c>
      <c r="AQ547" s="116">
        <f t="shared" si="69"/>
        <v>569.59999999999991</v>
      </c>
      <c r="AR547" s="116">
        <f t="shared" si="70"/>
        <v>188127487.99999997</v>
      </c>
      <c r="AS547" s="118">
        <v>0.58600823045267481</v>
      </c>
    </row>
    <row r="548" spans="2:45" x14ac:dyDescent="0.3">
      <c r="B548" s="126" t="s">
        <v>682</v>
      </c>
      <c r="C548" s="98" t="str">
        <f t="shared" si="71"/>
        <v>DJ8F0</v>
      </c>
      <c r="D548" s="98" t="s">
        <v>55</v>
      </c>
      <c r="E548" s="98" t="str">
        <f t="shared" si="66"/>
        <v>W</v>
      </c>
      <c r="F548" s="98" t="str">
        <f t="shared" si="67"/>
        <v>DJ</v>
      </c>
      <c r="G548" s="98" t="s">
        <v>56</v>
      </c>
      <c r="H548" s="115" t="s">
        <v>404</v>
      </c>
      <c r="I548" s="98" t="s">
        <v>78</v>
      </c>
      <c r="J548" s="115" t="str">
        <f t="shared" si="72"/>
        <v/>
      </c>
      <c r="K548" s="115">
        <v>1</v>
      </c>
      <c r="L548" s="121">
        <v>359000</v>
      </c>
      <c r="M548" s="78" t="s">
        <v>509</v>
      </c>
      <c r="N548" s="98" t="s">
        <v>678</v>
      </c>
      <c r="O548" s="98" t="s">
        <v>485</v>
      </c>
      <c r="P548" s="98">
        <v>100</v>
      </c>
      <c r="Q548" s="32" t="s">
        <v>119</v>
      </c>
      <c r="R548" s="98" t="s">
        <v>246</v>
      </c>
      <c r="S548" s="32" t="s">
        <v>331</v>
      </c>
      <c r="T548" s="98" t="s">
        <v>122</v>
      </c>
      <c r="U548" s="98" t="s">
        <v>207</v>
      </c>
      <c r="V548" s="98" t="s">
        <v>66</v>
      </c>
      <c r="W548" s="98"/>
      <c r="X548" s="78" t="s">
        <v>67</v>
      </c>
      <c r="Y548" s="98" t="s">
        <v>68</v>
      </c>
      <c r="Z548" s="32" t="s">
        <v>125</v>
      </c>
      <c r="AA548" s="32" t="s">
        <v>90</v>
      </c>
      <c r="AB548" s="78" t="s">
        <v>71</v>
      </c>
      <c r="AC548" s="98" t="s">
        <v>85</v>
      </c>
      <c r="AD548" s="98" t="s">
        <v>208</v>
      </c>
      <c r="AE548" s="65" t="s">
        <v>137</v>
      </c>
      <c r="AF548" s="39" t="s">
        <v>405</v>
      </c>
      <c r="AG548" s="98" t="s">
        <v>127</v>
      </c>
      <c r="AH548" s="115">
        <v>650</v>
      </c>
      <c r="AI548" s="117" t="s">
        <v>107</v>
      </c>
      <c r="AJ548" s="115" t="s">
        <v>108</v>
      </c>
      <c r="AK548" s="73">
        <v>7011</v>
      </c>
      <c r="AL548" s="116">
        <f t="shared" si="68"/>
        <v>2516949000</v>
      </c>
      <c r="AM548" s="116">
        <v>699</v>
      </c>
      <c r="AN548" s="116">
        <v>236856517</v>
      </c>
      <c r="AO548" s="116">
        <v>1689</v>
      </c>
      <c r="AP548" s="116">
        <v>581275138</v>
      </c>
      <c r="AQ548" s="116">
        <f t="shared" si="69"/>
        <v>3792.2999999999997</v>
      </c>
      <c r="AR548" s="116">
        <f t="shared" si="70"/>
        <v>1252520844</v>
      </c>
      <c r="AS548" s="118">
        <v>0.54090714591356437</v>
      </c>
    </row>
    <row r="549" spans="2:45" x14ac:dyDescent="0.3">
      <c r="B549" s="126" t="s">
        <v>683</v>
      </c>
      <c r="C549" s="98" t="str">
        <f t="shared" si="71"/>
        <v>DJ6A0</v>
      </c>
      <c r="D549" s="98" t="s">
        <v>55</v>
      </c>
      <c r="E549" s="98" t="str">
        <f t="shared" si="66"/>
        <v>M</v>
      </c>
      <c r="F549" s="98" t="str">
        <f t="shared" si="67"/>
        <v>DJ</v>
      </c>
      <c r="G549" s="98" t="s">
        <v>56</v>
      </c>
      <c r="H549" s="115" t="s">
        <v>431</v>
      </c>
      <c r="I549" s="98" t="s">
        <v>78</v>
      </c>
      <c r="J549" s="115">
        <f t="shared" si="72"/>
        <v>1</v>
      </c>
      <c r="K549" s="115">
        <v>1</v>
      </c>
      <c r="L549" s="121">
        <v>399000</v>
      </c>
      <c r="M549" s="78" t="s">
        <v>509</v>
      </c>
      <c r="N549" s="98" t="s">
        <v>541</v>
      </c>
      <c r="O549" s="98" t="s">
        <v>485</v>
      </c>
      <c r="P549" s="98">
        <v>100</v>
      </c>
      <c r="Q549" s="32" t="s">
        <v>219</v>
      </c>
      <c r="R549" s="98" t="s">
        <v>220</v>
      </c>
      <c r="S549" s="32" t="s">
        <v>221</v>
      </c>
      <c r="T549" s="98" t="s">
        <v>122</v>
      </c>
      <c r="U549" s="98" t="s">
        <v>332</v>
      </c>
      <c r="V549" s="98" t="s">
        <v>66</v>
      </c>
      <c r="W549" s="98"/>
      <c r="X549" s="78" t="s">
        <v>67</v>
      </c>
      <c r="Y549" s="98" t="s">
        <v>68</v>
      </c>
      <c r="Z549" s="32" t="s">
        <v>69</v>
      </c>
      <c r="AA549" s="32" t="s">
        <v>341</v>
      </c>
      <c r="AB549" s="78" t="s">
        <v>71</v>
      </c>
      <c r="AC549" s="98" t="s">
        <v>144</v>
      </c>
      <c r="AD549" s="98" t="s">
        <v>279</v>
      </c>
      <c r="AE549" s="65" t="s">
        <v>73</v>
      </c>
      <c r="AF549" s="39" t="s">
        <v>427</v>
      </c>
      <c r="AG549" s="98" t="s">
        <v>127</v>
      </c>
      <c r="AH549" s="115">
        <v>650</v>
      </c>
      <c r="AI549" s="117" t="s">
        <v>264</v>
      </c>
      <c r="AJ549" s="115" t="s">
        <v>241</v>
      </c>
      <c r="AK549" s="73">
        <v>4495</v>
      </c>
      <c r="AL549" s="116">
        <f t="shared" si="68"/>
        <v>1793505000</v>
      </c>
      <c r="AM549" s="116">
        <v>150</v>
      </c>
      <c r="AN549" s="116">
        <v>55717805</v>
      </c>
      <c r="AO549" s="116">
        <v>528</v>
      </c>
      <c r="AP549" s="116">
        <v>200451182</v>
      </c>
      <c r="AQ549" s="116">
        <f t="shared" si="69"/>
        <v>2101.25</v>
      </c>
      <c r="AR549" s="116">
        <f t="shared" si="70"/>
        <v>771326850</v>
      </c>
      <c r="AS549" s="118">
        <v>0.46746384872080088</v>
      </c>
    </row>
    <row r="550" spans="2:45" x14ac:dyDescent="0.3">
      <c r="B550" s="126" t="s">
        <v>683</v>
      </c>
      <c r="C550" s="98" t="str">
        <f t="shared" si="71"/>
        <v>DJ6A0</v>
      </c>
      <c r="D550" s="98" t="s">
        <v>55</v>
      </c>
      <c r="E550" s="98" t="str">
        <f t="shared" si="66"/>
        <v>M</v>
      </c>
      <c r="F550" s="98" t="str">
        <f t="shared" si="67"/>
        <v>DJ</v>
      </c>
      <c r="G550" s="98" t="s">
        <v>56</v>
      </c>
      <c r="H550" s="115" t="s">
        <v>431</v>
      </c>
      <c r="I550" s="98" t="s">
        <v>660</v>
      </c>
      <c r="J550" s="115" t="str">
        <f t="shared" si="72"/>
        <v/>
      </c>
      <c r="K550" s="115">
        <v>1</v>
      </c>
      <c r="L550" s="121">
        <v>399000</v>
      </c>
      <c r="M550" s="78" t="s">
        <v>509</v>
      </c>
      <c r="N550" s="98" t="s">
        <v>541</v>
      </c>
      <c r="O550" s="98" t="s">
        <v>485</v>
      </c>
      <c r="P550" s="98">
        <v>100</v>
      </c>
      <c r="Q550" s="32" t="s">
        <v>219</v>
      </c>
      <c r="R550" s="98" t="s">
        <v>220</v>
      </c>
      <c r="S550" s="32" t="s">
        <v>221</v>
      </c>
      <c r="T550" s="98" t="s">
        <v>122</v>
      </c>
      <c r="U550" s="98" t="s">
        <v>332</v>
      </c>
      <c r="V550" s="98" t="s">
        <v>66</v>
      </c>
      <c r="W550" s="98"/>
      <c r="X550" s="78" t="s">
        <v>67</v>
      </c>
      <c r="Y550" s="98" t="s">
        <v>68</v>
      </c>
      <c r="Z550" s="32" t="s">
        <v>69</v>
      </c>
      <c r="AA550" s="32" t="s">
        <v>341</v>
      </c>
      <c r="AB550" s="78" t="s">
        <v>71</v>
      </c>
      <c r="AC550" s="98" t="s">
        <v>144</v>
      </c>
      <c r="AD550" s="98" t="s">
        <v>279</v>
      </c>
      <c r="AE550" s="65" t="s">
        <v>73</v>
      </c>
      <c r="AF550" s="39" t="s">
        <v>427</v>
      </c>
      <c r="AG550" s="98" t="s">
        <v>127</v>
      </c>
      <c r="AH550" s="115">
        <v>650</v>
      </c>
      <c r="AI550" s="117" t="s">
        <v>264</v>
      </c>
      <c r="AJ550" s="115" t="s">
        <v>241</v>
      </c>
      <c r="AK550" s="73">
        <v>988</v>
      </c>
      <c r="AL550" s="116">
        <f t="shared" si="68"/>
        <v>394212000</v>
      </c>
      <c r="AM550" s="116">
        <v>45</v>
      </c>
      <c r="AN550" s="116">
        <v>16773860</v>
      </c>
      <c r="AO550" s="116">
        <v>138</v>
      </c>
      <c r="AP550" s="116">
        <v>52616748</v>
      </c>
      <c r="AQ550" s="116">
        <f t="shared" si="69"/>
        <v>483.8</v>
      </c>
      <c r="AR550" s="116">
        <f t="shared" si="70"/>
        <v>177593304</v>
      </c>
      <c r="AS550" s="118">
        <v>0.48967611336032391</v>
      </c>
    </row>
    <row r="551" spans="2:45" x14ac:dyDescent="0.3">
      <c r="B551" s="126" t="s">
        <v>683</v>
      </c>
      <c r="C551" s="98" t="str">
        <f t="shared" si="71"/>
        <v>DJ6A0</v>
      </c>
      <c r="D551" s="98" t="s">
        <v>55</v>
      </c>
      <c r="E551" s="98" t="str">
        <f t="shared" si="66"/>
        <v>M</v>
      </c>
      <c r="F551" s="98" t="str">
        <f t="shared" si="67"/>
        <v>DJ</v>
      </c>
      <c r="G551" s="98" t="s">
        <v>56</v>
      </c>
      <c r="H551" s="115" t="s">
        <v>431</v>
      </c>
      <c r="I551" s="98" t="s">
        <v>102</v>
      </c>
      <c r="J551" s="115" t="str">
        <f t="shared" si="72"/>
        <v/>
      </c>
      <c r="K551" s="115">
        <v>1</v>
      </c>
      <c r="L551" s="121">
        <v>399000</v>
      </c>
      <c r="M551" s="78" t="s">
        <v>509</v>
      </c>
      <c r="N551" s="98" t="s">
        <v>541</v>
      </c>
      <c r="O551" s="98" t="s">
        <v>485</v>
      </c>
      <c r="P551" s="98">
        <v>100</v>
      </c>
      <c r="Q551" s="32" t="s">
        <v>219</v>
      </c>
      <c r="R551" s="98" t="s">
        <v>220</v>
      </c>
      <c r="S551" s="32" t="s">
        <v>221</v>
      </c>
      <c r="T551" s="98" t="s">
        <v>122</v>
      </c>
      <c r="U551" s="98" t="s">
        <v>332</v>
      </c>
      <c r="V551" s="98" t="s">
        <v>66</v>
      </c>
      <c r="W551" s="98"/>
      <c r="X551" s="78" t="s">
        <v>67</v>
      </c>
      <c r="Y551" s="98" t="s">
        <v>68</v>
      </c>
      <c r="Z551" s="32" t="s">
        <v>69</v>
      </c>
      <c r="AA551" s="32" t="s">
        <v>341</v>
      </c>
      <c r="AB551" s="78" t="s">
        <v>71</v>
      </c>
      <c r="AC551" s="98" t="s">
        <v>144</v>
      </c>
      <c r="AD551" s="98" t="s">
        <v>279</v>
      </c>
      <c r="AE551" s="65" t="s">
        <v>73</v>
      </c>
      <c r="AF551" s="39" t="s">
        <v>427</v>
      </c>
      <c r="AG551" s="98" t="s">
        <v>127</v>
      </c>
      <c r="AH551" s="115">
        <v>650</v>
      </c>
      <c r="AI551" s="117" t="s">
        <v>264</v>
      </c>
      <c r="AJ551" s="115" t="s">
        <v>241</v>
      </c>
      <c r="AK551" s="73">
        <v>1990</v>
      </c>
      <c r="AL551" s="116">
        <f t="shared" si="68"/>
        <v>794010000</v>
      </c>
      <c r="AM551" s="116">
        <v>34</v>
      </c>
      <c r="AN551" s="116">
        <v>12620685</v>
      </c>
      <c r="AO551" s="116">
        <v>111</v>
      </c>
      <c r="AP551" s="116">
        <v>42292455</v>
      </c>
      <c r="AQ551" s="116">
        <f t="shared" si="69"/>
        <v>807.5</v>
      </c>
      <c r="AR551" s="116">
        <f t="shared" si="70"/>
        <v>296417100</v>
      </c>
      <c r="AS551" s="118">
        <v>0.40577889447236182</v>
      </c>
    </row>
    <row r="552" spans="2:45" x14ac:dyDescent="0.3">
      <c r="B552" s="126" t="s">
        <v>684</v>
      </c>
      <c r="C552" s="98" t="str">
        <f t="shared" si="71"/>
        <v>DJ7E0</v>
      </c>
      <c r="D552" s="98" t="s">
        <v>55</v>
      </c>
      <c r="E552" s="98" t="str">
        <f t="shared" si="66"/>
        <v>M</v>
      </c>
      <c r="F552" s="98" t="str">
        <f t="shared" si="67"/>
        <v>DJ</v>
      </c>
      <c r="G552" s="98" t="s">
        <v>56</v>
      </c>
      <c r="H552" s="115" t="s">
        <v>355</v>
      </c>
      <c r="I552" s="98" t="s">
        <v>260</v>
      </c>
      <c r="J552" s="115">
        <f t="shared" si="72"/>
        <v>1</v>
      </c>
      <c r="K552" s="115">
        <v>1</v>
      </c>
      <c r="L552" s="121">
        <v>620000</v>
      </c>
      <c r="M552" s="78" t="s">
        <v>509</v>
      </c>
      <c r="N552" s="98" t="s">
        <v>685</v>
      </c>
      <c r="O552" s="98" t="s">
        <v>485</v>
      </c>
      <c r="P552" s="98">
        <v>100</v>
      </c>
      <c r="Q552" s="32" t="s">
        <v>85</v>
      </c>
      <c r="R552" s="98" t="s">
        <v>686</v>
      </c>
      <c r="S552" s="32" t="s">
        <v>687</v>
      </c>
      <c r="T552" s="98" t="s">
        <v>122</v>
      </c>
      <c r="U552" s="98" t="s">
        <v>207</v>
      </c>
      <c r="V552" s="98" t="s">
        <v>66</v>
      </c>
      <c r="W552" s="98"/>
      <c r="X552" s="78" t="s">
        <v>67</v>
      </c>
      <c r="Y552" s="98" t="s">
        <v>68</v>
      </c>
      <c r="Z552" s="32" t="s">
        <v>125</v>
      </c>
      <c r="AA552" s="32" t="s">
        <v>90</v>
      </c>
      <c r="AB552" s="78" t="s">
        <v>71</v>
      </c>
      <c r="AC552" s="98" t="s">
        <v>62</v>
      </c>
      <c r="AD552" s="98" t="s">
        <v>72</v>
      </c>
      <c r="AE552" s="65" t="s">
        <v>73</v>
      </c>
      <c r="AF552" s="39" t="s">
        <v>359</v>
      </c>
      <c r="AG552" s="98" t="s">
        <v>127</v>
      </c>
      <c r="AH552" s="115">
        <v>650</v>
      </c>
      <c r="AI552" s="117" t="s">
        <v>107</v>
      </c>
      <c r="AJ552" s="115" t="s">
        <v>108</v>
      </c>
      <c r="AK552" s="73">
        <v>812</v>
      </c>
      <c r="AL552" s="116">
        <f t="shared" si="68"/>
        <v>503440000</v>
      </c>
      <c r="AM552" s="116">
        <v>5</v>
      </c>
      <c r="AN552" s="116">
        <v>2861683</v>
      </c>
      <c r="AO552" s="116">
        <v>16</v>
      </c>
      <c r="AP552" s="116">
        <v>9453293</v>
      </c>
      <c r="AQ552" s="116">
        <f t="shared" si="69"/>
        <v>259.59999999999997</v>
      </c>
      <c r="AR552" s="116">
        <f t="shared" si="70"/>
        <v>148075839.99999997</v>
      </c>
      <c r="AS552" s="118">
        <v>0.31970443349753691</v>
      </c>
    </row>
    <row r="553" spans="2:45" x14ac:dyDescent="0.3">
      <c r="B553" s="126" t="s">
        <v>684</v>
      </c>
      <c r="C553" s="98" t="str">
        <f t="shared" si="71"/>
        <v>DJ7E0</v>
      </c>
      <c r="D553" s="98" t="s">
        <v>55</v>
      </c>
      <c r="E553" s="98" t="str">
        <f t="shared" si="66"/>
        <v>M</v>
      </c>
      <c r="F553" s="98" t="str">
        <f t="shared" si="67"/>
        <v>DJ</v>
      </c>
      <c r="G553" s="98" t="s">
        <v>56</v>
      </c>
      <c r="H553" s="115" t="s">
        <v>355</v>
      </c>
      <c r="I553" s="98" t="s">
        <v>78</v>
      </c>
      <c r="J553" s="115" t="str">
        <f t="shared" si="72"/>
        <v/>
      </c>
      <c r="K553" s="115">
        <v>1</v>
      </c>
      <c r="L553" s="121">
        <v>620000</v>
      </c>
      <c r="M553" s="78" t="s">
        <v>509</v>
      </c>
      <c r="N553" s="98" t="s">
        <v>685</v>
      </c>
      <c r="O553" s="98" t="s">
        <v>485</v>
      </c>
      <c r="P553" s="98">
        <v>100</v>
      </c>
      <c r="Q553" s="32" t="s">
        <v>85</v>
      </c>
      <c r="R553" s="98" t="s">
        <v>686</v>
      </c>
      <c r="S553" s="32" t="s">
        <v>687</v>
      </c>
      <c r="T553" s="98" t="s">
        <v>122</v>
      </c>
      <c r="U553" s="98" t="s">
        <v>207</v>
      </c>
      <c r="V553" s="98" t="s">
        <v>66</v>
      </c>
      <c r="W553" s="98"/>
      <c r="X553" s="78" t="s">
        <v>67</v>
      </c>
      <c r="Y553" s="98" t="s">
        <v>68</v>
      </c>
      <c r="Z553" s="32" t="s">
        <v>125</v>
      </c>
      <c r="AA553" s="32" t="s">
        <v>90</v>
      </c>
      <c r="AB553" s="78" t="s">
        <v>71</v>
      </c>
      <c r="AC553" s="98" t="s">
        <v>62</v>
      </c>
      <c r="AD553" s="98" t="s">
        <v>72</v>
      </c>
      <c r="AE553" s="65" t="s">
        <v>73</v>
      </c>
      <c r="AF553" s="39" t="s">
        <v>359</v>
      </c>
      <c r="AG553" s="98" t="s">
        <v>127</v>
      </c>
      <c r="AH553" s="115">
        <v>650</v>
      </c>
      <c r="AI553" s="117" t="s">
        <v>107</v>
      </c>
      <c r="AJ553" s="115" t="s">
        <v>108</v>
      </c>
      <c r="AK553" s="73">
        <v>1211</v>
      </c>
      <c r="AL553" s="116">
        <f t="shared" si="68"/>
        <v>750820000</v>
      </c>
      <c r="AM553" s="116">
        <v>51</v>
      </c>
      <c r="AN553" s="116">
        <v>28957375</v>
      </c>
      <c r="AO553" s="116">
        <v>125</v>
      </c>
      <c r="AP553" s="116">
        <v>73382589</v>
      </c>
      <c r="AQ553" s="116">
        <f t="shared" si="69"/>
        <v>488.29999999999995</v>
      </c>
      <c r="AR553" s="116">
        <f t="shared" si="70"/>
        <v>278526320</v>
      </c>
      <c r="AS553" s="118">
        <v>0.40322047894302226</v>
      </c>
    </row>
    <row r="554" spans="2:45" x14ac:dyDescent="0.3">
      <c r="B554" s="126" t="s">
        <v>688</v>
      </c>
      <c r="C554" s="98" t="str">
        <f t="shared" si="71"/>
        <v>DJ7F0</v>
      </c>
      <c r="D554" s="98" t="s">
        <v>55</v>
      </c>
      <c r="E554" s="98" t="str">
        <f t="shared" si="66"/>
        <v>W</v>
      </c>
      <c r="F554" s="98" t="str">
        <f t="shared" si="67"/>
        <v>DJ</v>
      </c>
      <c r="G554" s="98" t="s">
        <v>56</v>
      </c>
      <c r="H554" s="115" t="s">
        <v>361</v>
      </c>
      <c r="I554" s="98" t="s">
        <v>79</v>
      </c>
      <c r="J554" s="115">
        <f t="shared" si="72"/>
        <v>1</v>
      </c>
      <c r="K554" s="115">
        <v>1</v>
      </c>
      <c r="L554" s="121">
        <v>620000</v>
      </c>
      <c r="M554" s="78" t="s">
        <v>509</v>
      </c>
      <c r="N554" s="98" t="s">
        <v>685</v>
      </c>
      <c r="O554" s="98" t="s">
        <v>485</v>
      </c>
      <c r="P554" s="98">
        <v>100</v>
      </c>
      <c r="Q554" s="32" t="s">
        <v>85</v>
      </c>
      <c r="R554" s="98" t="s">
        <v>686</v>
      </c>
      <c r="S554" s="32" t="s">
        <v>687</v>
      </c>
      <c r="T554" s="98" t="s">
        <v>122</v>
      </c>
      <c r="U554" s="98" t="s">
        <v>207</v>
      </c>
      <c r="V554" s="98" t="s">
        <v>66</v>
      </c>
      <c r="W554" s="98"/>
      <c r="X554" s="78" t="s">
        <v>67</v>
      </c>
      <c r="Y554" s="98" t="s">
        <v>68</v>
      </c>
      <c r="Z554" s="32" t="s">
        <v>125</v>
      </c>
      <c r="AA554" s="32" t="s">
        <v>90</v>
      </c>
      <c r="AB554" s="78" t="s">
        <v>71</v>
      </c>
      <c r="AC554" s="98" t="s">
        <v>62</v>
      </c>
      <c r="AD554" s="98" t="s">
        <v>72</v>
      </c>
      <c r="AE554" s="65" t="s">
        <v>73</v>
      </c>
      <c r="AF554" s="39" t="s">
        <v>362</v>
      </c>
      <c r="AG554" s="98" t="s">
        <v>127</v>
      </c>
      <c r="AH554" s="115">
        <v>650</v>
      </c>
      <c r="AI554" s="117" t="s">
        <v>107</v>
      </c>
      <c r="AJ554" s="115" t="s">
        <v>108</v>
      </c>
      <c r="AK554" s="73">
        <v>809</v>
      </c>
      <c r="AL554" s="116">
        <f t="shared" si="68"/>
        <v>501580000</v>
      </c>
      <c r="AM554" s="116">
        <v>26</v>
      </c>
      <c r="AN554" s="116">
        <v>14576326</v>
      </c>
      <c r="AO554" s="116">
        <v>66</v>
      </c>
      <c r="AP554" s="116">
        <v>38217965</v>
      </c>
      <c r="AQ554" s="116">
        <f t="shared" si="69"/>
        <v>308.7</v>
      </c>
      <c r="AR554" s="116">
        <f t="shared" si="70"/>
        <v>176082480</v>
      </c>
      <c r="AS554" s="118">
        <v>0.38158220024721878</v>
      </c>
    </row>
    <row r="555" spans="2:45" x14ac:dyDescent="0.3">
      <c r="B555" s="126" t="s">
        <v>688</v>
      </c>
      <c r="C555" s="98" t="str">
        <f t="shared" si="71"/>
        <v>DJ7F0</v>
      </c>
      <c r="D555" s="98" t="s">
        <v>55</v>
      </c>
      <c r="E555" s="98" t="str">
        <f t="shared" si="66"/>
        <v>W</v>
      </c>
      <c r="F555" s="98" t="str">
        <f t="shared" si="67"/>
        <v>DJ</v>
      </c>
      <c r="G555" s="98" t="s">
        <v>56</v>
      </c>
      <c r="H555" s="115" t="s">
        <v>361</v>
      </c>
      <c r="I555" s="98" t="s">
        <v>78</v>
      </c>
      <c r="J555" s="115" t="str">
        <f t="shared" si="72"/>
        <v/>
      </c>
      <c r="K555" s="115">
        <v>1</v>
      </c>
      <c r="L555" s="121">
        <v>620000</v>
      </c>
      <c r="M555" s="78" t="s">
        <v>509</v>
      </c>
      <c r="N555" s="98" t="s">
        <v>685</v>
      </c>
      <c r="O555" s="98" t="s">
        <v>485</v>
      </c>
      <c r="P555" s="98">
        <v>100</v>
      </c>
      <c r="Q555" s="32" t="s">
        <v>85</v>
      </c>
      <c r="R555" s="98" t="s">
        <v>686</v>
      </c>
      <c r="S555" s="32" t="s">
        <v>687</v>
      </c>
      <c r="T555" s="98" t="s">
        <v>122</v>
      </c>
      <c r="U555" s="98" t="s">
        <v>207</v>
      </c>
      <c r="V555" s="98" t="s">
        <v>66</v>
      </c>
      <c r="W555" s="98"/>
      <c r="X555" s="78" t="s">
        <v>67</v>
      </c>
      <c r="Y555" s="98" t="s">
        <v>68</v>
      </c>
      <c r="Z555" s="32" t="s">
        <v>125</v>
      </c>
      <c r="AA555" s="32" t="s">
        <v>90</v>
      </c>
      <c r="AB555" s="78" t="s">
        <v>71</v>
      </c>
      <c r="AC555" s="98" t="s">
        <v>62</v>
      </c>
      <c r="AD555" s="98" t="s">
        <v>72</v>
      </c>
      <c r="AE555" s="65" t="s">
        <v>73</v>
      </c>
      <c r="AF555" s="39" t="s">
        <v>362</v>
      </c>
      <c r="AG555" s="98" t="s">
        <v>127</v>
      </c>
      <c r="AH555" s="115">
        <v>650</v>
      </c>
      <c r="AI555" s="117" t="s">
        <v>107</v>
      </c>
      <c r="AJ555" s="115" t="s">
        <v>108</v>
      </c>
      <c r="AK555" s="73">
        <v>1827</v>
      </c>
      <c r="AL555" s="116">
        <f t="shared" si="68"/>
        <v>1132740000</v>
      </c>
      <c r="AM555" s="116">
        <v>111</v>
      </c>
      <c r="AN555" s="116">
        <v>62908165</v>
      </c>
      <c r="AO555" s="116">
        <v>264</v>
      </c>
      <c r="AP555" s="116">
        <v>154442872</v>
      </c>
      <c r="AQ555" s="116">
        <f t="shared" si="69"/>
        <v>812.09999999999991</v>
      </c>
      <c r="AR555" s="116">
        <f t="shared" si="70"/>
        <v>463221840</v>
      </c>
      <c r="AS555" s="118">
        <v>0.44449917898193758</v>
      </c>
    </row>
    <row r="556" spans="2:45" x14ac:dyDescent="0.3">
      <c r="B556" s="126" t="s">
        <v>689</v>
      </c>
      <c r="C556" s="98" t="str">
        <f t="shared" si="71"/>
        <v>DJ530</v>
      </c>
      <c r="D556" s="98" t="s">
        <v>55</v>
      </c>
      <c r="E556" s="98" t="str">
        <f t="shared" si="66"/>
        <v>M</v>
      </c>
      <c r="F556" s="98" t="str">
        <f t="shared" si="67"/>
        <v>DJ</v>
      </c>
      <c r="G556" s="98" t="s">
        <v>56</v>
      </c>
      <c r="H556" s="115" t="s">
        <v>690</v>
      </c>
      <c r="I556" s="98" t="s">
        <v>78</v>
      </c>
      <c r="J556" s="115">
        <f t="shared" si="72"/>
        <v>1</v>
      </c>
      <c r="K556" s="115">
        <v>1</v>
      </c>
      <c r="L556" s="121">
        <v>169000</v>
      </c>
      <c r="M556" s="78" t="s">
        <v>509</v>
      </c>
      <c r="N556" s="98" t="s">
        <v>691</v>
      </c>
      <c r="O556" s="98" t="s">
        <v>143</v>
      </c>
      <c r="P556" s="98">
        <v>100</v>
      </c>
      <c r="Q556" s="32" t="s">
        <v>62</v>
      </c>
      <c r="R556" s="98" t="s">
        <v>692</v>
      </c>
      <c r="S556" s="32" t="s">
        <v>693</v>
      </c>
      <c r="T556" s="98" t="s">
        <v>65</v>
      </c>
      <c r="U556" s="98"/>
      <c r="V556" s="98" t="s">
        <v>66</v>
      </c>
      <c r="W556" s="98"/>
      <c r="X556" s="78" t="s">
        <v>67</v>
      </c>
      <c r="Y556" s="98" t="s">
        <v>68</v>
      </c>
      <c r="Z556" s="32" t="s">
        <v>536</v>
      </c>
      <c r="AA556" s="32" t="s">
        <v>90</v>
      </c>
      <c r="AB556" s="78" t="s">
        <v>71</v>
      </c>
      <c r="AC556" s="98" t="s">
        <v>62</v>
      </c>
      <c r="AD556" s="98" t="s">
        <v>72</v>
      </c>
      <c r="AE556" s="65" t="s">
        <v>137</v>
      </c>
      <c r="AF556" s="39" t="s">
        <v>112</v>
      </c>
      <c r="AG556" s="98" t="s">
        <v>240</v>
      </c>
      <c r="AH556" s="115">
        <v>650</v>
      </c>
      <c r="AI556" s="117" t="s">
        <v>76</v>
      </c>
      <c r="AJ556" s="115" t="s">
        <v>241</v>
      </c>
      <c r="AK556" s="73">
        <v>3543</v>
      </c>
      <c r="AL556" s="116">
        <f t="shared" si="68"/>
        <v>598767000</v>
      </c>
      <c r="AM556" s="116">
        <v>84</v>
      </c>
      <c r="AN556" s="116">
        <v>10826976</v>
      </c>
      <c r="AO556" s="116">
        <v>732</v>
      </c>
      <c r="AP556" s="116">
        <v>109314898</v>
      </c>
      <c r="AQ556" s="116">
        <f t="shared" si="69"/>
        <v>1546.89</v>
      </c>
      <c r="AR556" s="116">
        <f t="shared" si="70"/>
        <v>240510457.20000005</v>
      </c>
      <c r="AS556" s="118">
        <v>0.43660457239627437</v>
      </c>
    </row>
    <row r="557" spans="2:45" x14ac:dyDescent="0.3">
      <c r="B557" s="126" t="s">
        <v>689</v>
      </c>
      <c r="C557" s="98" t="str">
        <f t="shared" si="71"/>
        <v>DJ530</v>
      </c>
      <c r="D557" s="98" t="s">
        <v>55</v>
      </c>
      <c r="E557" s="98" t="str">
        <f t="shared" si="66"/>
        <v>M</v>
      </c>
      <c r="F557" s="98" t="str">
        <f t="shared" si="67"/>
        <v>DJ</v>
      </c>
      <c r="G557" s="98" t="s">
        <v>56</v>
      </c>
      <c r="H557" s="115" t="s">
        <v>690</v>
      </c>
      <c r="I557" s="98" t="s">
        <v>179</v>
      </c>
      <c r="J557" s="115" t="str">
        <f t="shared" si="72"/>
        <v/>
      </c>
      <c r="K557" s="115">
        <v>1</v>
      </c>
      <c r="L557" s="121">
        <v>169000</v>
      </c>
      <c r="M557" s="78" t="s">
        <v>509</v>
      </c>
      <c r="N557" s="98" t="s">
        <v>691</v>
      </c>
      <c r="O557" s="98" t="s">
        <v>143</v>
      </c>
      <c r="P557" s="98">
        <v>100</v>
      </c>
      <c r="Q557" s="32" t="s">
        <v>62</v>
      </c>
      <c r="R557" s="98" t="s">
        <v>692</v>
      </c>
      <c r="S557" s="32" t="s">
        <v>693</v>
      </c>
      <c r="T557" s="98" t="s">
        <v>65</v>
      </c>
      <c r="U557" s="98"/>
      <c r="V557" s="98" t="s">
        <v>66</v>
      </c>
      <c r="W557" s="98"/>
      <c r="X557" s="78" t="s">
        <v>67</v>
      </c>
      <c r="Y557" s="98" t="s">
        <v>68</v>
      </c>
      <c r="Z557" s="32" t="s">
        <v>536</v>
      </c>
      <c r="AA557" s="32" t="s">
        <v>90</v>
      </c>
      <c r="AB557" s="78" t="s">
        <v>71</v>
      </c>
      <c r="AC557" s="98" t="s">
        <v>62</v>
      </c>
      <c r="AD557" s="98" t="s">
        <v>72</v>
      </c>
      <c r="AE557" s="65" t="s">
        <v>137</v>
      </c>
      <c r="AF557" s="39" t="s">
        <v>112</v>
      </c>
      <c r="AG557" s="98" t="s">
        <v>240</v>
      </c>
      <c r="AH557" s="115">
        <v>650</v>
      </c>
      <c r="AI557" s="117" t="s">
        <v>76</v>
      </c>
      <c r="AJ557" s="115" t="s">
        <v>241</v>
      </c>
      <c r="AK557" s="73">
        <v>1009</v>
      </c>
      <c r="AL557" s="116">
        <f t="shared" si="68"/>
        <v>170521000</v>
      </c>
      <c r="AM557" s="116">
        <v>22</v>
      </c>
      <c r="AN557" s="116">
        <v>2806860</v>
      </c>
      <c r="AO557" s="116">
        <v>126</v>
      </c>
      <c r="AP557" s="116">
        <v>19340643</v>
      </c>
      <c r="AQ557" s="116">
        <f t="shared" si="69"/>
        <v>358.07</v>
      </c>
      <c r="AR557" s="116">
        <f t="shared" si="70"/>
        <v>55672723.600000001</v>
      </c>
      <c r="AS557" s="118">
        <v>0.35487611496531218</v>
      </c>
    </row>
    <row r="558" spans="2:45" x14ac:dyDescent="0.3">
      <c r="B558" s="126" t="s">
        <v>689</v>
      </c>
      <c r="C558" s="98" t="str">
        <f t="shared" si="71"/>
        <v>DJ530</v>
      </c>
      <c r="D558" s="98" t="s">
        <v>55</v>
      </c>
      <c r="E558" s="98" t="str">
        <f t="shared" si="66"/>
        <v>M</v>
      </c>
      <c r="F558" s="98" t="str">
        <f t="shared" si="67"/>
        <v>DJ</v>
      </c>
      <c r="G558" s="98" t="s">
        <v>56</v>
      </c>
      <c r="H558" s="115" t="s">
        <v>690</v>
      </c>
      <c r="I558" s="98" t="s">
        <v>554</v>
      </c>
      <c r="J558" s="115" t="str">
        <f t="shared" si="72"/>
        <v/>
      </c>
      <c r="K558" s="115">
        <v>1</v>
      </c>
      <c r="L558" s="121">
        <v>169000</v>
      </c>
      <c r="M558" s="78" t="s">
        <v>509</v>
      </c>
      <c r="N558" s="98" t="s">
        <v>691</v>
      </c>
      <c r="O558" s="98" t="s">
        <v>143</v>
      </c>
      <c r="P558" s="98">
        <v>100</v>
      </c>
      <c r="Q558" s="32" t="s">
        <v>62</v>
      </c>
      <c r="R558" s="98" t="s">
        <v>692</v>
      </c>
      <c r="S558" s="32" t="s">
        <v>693</v>
      </c>
      <c r="T558" s="98" t="s">
        <v>65</v>
      </c>
      <c r="U558" s="98"/>
      <c r="V558" s="98" t="s">
        <v>66</v>
      </c>
      <c r="W558" s="98"/>
      <c r="X558" s="78" t="s">
        <v>67</v>
      </c>
      <c r="Y558" s="98" t="s">
        <v>68</v>
      </c>
      <c r="Z558" s="32" t="s">
        <v>536</v>
      </c>
      <c r="AA558" s="32" t="s">
        <v>90</v>
      </c>
      <c r="AB558" s="78" t="s">
        <v>71</v>
      </c>
      <c r="AC558" s="98" t="s">
        <v>62</v>
      </c>
      <c r="AD558" s="98" t="s">
        <v>72</v>
      </c>
      <c r="AE558" s="65" t="s">
        <v>137</v>
      </c>
      <c r="AF558" s="39" t="s">
        <v>112</v>
      </c>
      <c r="AG558" s="98" t="s">
        <v>240</v>
      </c>
      <c r="AH558" s="115">
        <v>650</v>
      </c>
      <c r="AI558" s="117" t="s">
        <v>76</v>
      </c>
      <c r="AJ558" s="115" t="s">
        <v>241</v>
      </c>
      <c r="AK558" s="73">
        <v>798</v>
      </c>
      <c r="AL558" s="116">
        <f t="shared" si="68"/>
        <v>134862000</v>
      </c>
      <c r="AM558" s="116">
        <v>1</v>
      </c>
      <c r="AN558" s="116">
        <v>154305</v>
      </c>
      <c r="AO558" s="116">
        <v>18</v>
      </c>
      <c r="AP558" s="116">
        <v>2905704</v>
      </c>
      <c r="AQ558" s="116">
        <f t="shared" si="69"/>
        <v>201.54000000000002</v>
      </c>
      <c r="AR558" s="116">
        <f t="shared" si="70"/>
        <v>31335439.200000007</v>
      </c>
      <c r="AS558" s="118">
        <v>0.25255639097744365</v>
      </c>
    </row>
    <row r="559" spans="2:45" x14ac:dyDescent="0.3">
      <c r="B559" s="126" t="s">
        <v>694</v>
      </c>
      <c r="C559" s="98" t="str">
        <f t="shared" si="71"/>
        <v>DJ540</v>
      </c>
      <c r="D559" s="98" t="s">
        <v>55</v>
      </c>
      <c r="E559" s="98" t="str">
        <f t="shared" si="66"/>
        <v>W</v>
      </c>
      <c r="F559" s="98" t="str">
        <f t="shared" si="67"/>
        <v>DJ</v>
      </c>
      <c r="G559" s="98" t="s">
        <v>56</v>
      </c>
      <c r="H559" s="115" t="s">
        <v>695</v>
      </c>
      <c r="I559" s="98" t="s">
        <v>554</v>
      </c>
      <c r="J559" s="115">
        <f t="shared" si="72"/>
        <v>1</v>
      </c>
      <c r="K559" s="115">
        <v>1</v>
      </c>
      <c r="L559" s="121">
        <v>169000</v>
      </c>
      <c r="M559" s="78" t="s">
        <v>509</v>
      </c>
      <c r="N559" s="98" t="s">
        <v>691</v>
      </c>
      <c r="O559" s="98" t="s">
        <v>143</v>
      </c>
      <c r="P559" s="98">
        <v>100</v>
      </c>
      <c r="Q559" s="32" t="s">
        <v>62</v>
      </c>
      <c r="R559" s="98" t="s">
        <v>692</v>
      </c>
      <c r="S559" s="32" t="s">
        <v>693</v>
      </c>
      <c r="T559" s="98" t="s">
        <v>65</v>
      </c>
      <c r="U559" s="98"/>
      <c r="V559" s="98" t="s">
        <v>66</v>
      </c>
      <c r="W559" s="98"/>
      <c r="X559" s="78" t="s">
        <v>67</v>
      </c>
      <c r="Y559" s="98" t="s">
        <v>68</v>
      </c>
      <c r="Z559" s="32" t="s">
        <v>536</v>
      </c>
      <c r="AA559" s="32" t="s">
        <v>90</v>
      </c>
      <c r="AB559" s="78" t="s">
        <v>71</v>
      </c>
      <c r="AC559" s="98" t="s">
        <v>62</v>
      </c>
      <c r="AD559" s="98" t="s">
        <v>72</v>
      </c>
      <c r="AE559" s="65" t="s">
        <v>137</v>
      </c>
      <c r="AF559" s="39" t="s">
        <v>566</v>
      </c>
      <c r="AG559" s="98" t="s">
        <v>240</v>
      </c>
      <c r="AH559" s="115">
        <v>650</v>
      </c>
      <c r="AI559" s="117" t="s">
        <v>76</v>
      </c>
      <c r="AJ559" s="115" t="s">
        <v>94</v>
      </c>
      <c r="AK559" s="73">
        <v>808</v>
      </c>
      <c r="AL559" s="116">
        <f t="shared" si="68"/>
        <v>136552000</v>
      </c>
      <c r="AM559" s="116">
        <v>2</v>
      </c>
      <c r="AN559" s="116">
        <v>321362</v>
      </c>
      <c r="AO559" s="116">
        <v>27</v>
      </c>
      <c r="AP559" s="116">
        <v>4316441</v>
      </c>
      <c r="AQ559" s="116">
        <f t="shared" si="69"/>
        <v>212.84</v>
      </c>
      <c r="AR559" s="116">
        <f t="shared" si="70"/>
        <v>33092363.200000003</v>
      </c>
      <c r="AS559" s="118">
        <v>0.26341584158415843</v>
      </c>
    </row>
    <row r="560" spans="2:45" x14ac:dyDescent="0.3">
      <c r="B560" s="126" t="s">
        <v>694</v>
      </c>
      <c r="C560" s="98" t="str">
        <f t="shared" si="71"/>
        <v>DJ540</v>
      </c>
      <c r="D560" s="98" t="s">
        <v>55</v>
      </c>
      <c r="E560" s="98" t="str">
        <f t="shared" si="66"/>
        <v>W</v>
      </c>
      <c r="F560" s="98" t="str">
        <f t="shared" si="67"/>
        <v>DJ</v>
      </c>
      <c r="G560" s="98" t="s">
        <v>56</v>
      </c>
      <c r="H560" s="115" t="s">
        <v>695</v>
      </c>
      <c r="I560" s="98" t="s">
        <v>179</v>
      </c>
      <c r="J560" s="115" t="str">
        <f t="shared" si="72"/>
        <v/>
      </c>
      <c r="K560" s="115">
        <v>1</v>
      </c>
      <c r="L560" s="121">
        <v>169000</v>
      </c>
      <c r="M560" s="78" t="s">
        <v>509</v>
      </c>
      <c r="N560" s="98" t="s">
        <v>691</v>
      </c>
      <c r="O560" s="98" t="s">
        <v>143</v>
      </c>
      <c r="P560" s="98">
        <v>100</v>
      </c>
      <c r="Q560" s="32" t="s">
        <v>62</v>
      </c>
      <c r="R560" s="98" t="s">
        <v>692</v>
      </c>
      <c r="S560" s="32" t="s">
        <v>693</v>
      </c>
      <c r="T560" s="98" t="s">
        <v>65</v>
      </c>
      <c r="U560" s="98"/>
      <c r="V560" s="98" t="s">
        <v>66</v>
      </c>
      <c r="W560" s="98"/>
      <c r="X560" s="78" t="s">
        <v>67</v>
      </c>
      <c r="Y560" s="98" t="s">
        <v>68</v>
      </c>
      <c r="Z560" s="32" t="s">
        <v>536</v>
      </c>
      <c r="AA560" s="32" t="s">
        <v>90</v>
      </c>
      <c r="AB560" s="78" t="s">
        <v>71</v>
      </c>
      <c r="AC560" s="98" t="s">
        <v>62</v>
      </c>
      <c r="AD560" s="98" t="s">
        <v>72</v>
      </c>
      <c r="AE560" s="65" t="s">
        <v>137</v>
      </c>
      <c r="AF560" s="39" t="s">
        <v>566</v>
      </c>
      <c r="AG560" s="98" t="s">
        <v>240</v>
      </c>
      <c r="AH560" s="115">
        <v>650</v>
      </c>
      <c r="AI560" s="117" t="s">
        <v>76</v>
      </c>
      <c r="AJ560" s="115" t="s">
        <v>94</v>
      </c>
      <c r="AK560" s="73">
        <v>811</v>
      </c>
      <c r="AL560" s="116">
        <f t="shared" si="68"/>
        <v>137059000</v>
      </c>
      <c r="AM560" s="116">
        <v>3</v>
      </c>
      <c r="AN560" s="116">
        <v>339660</v>
      </c>
      <c r="AO560" s="116">
        <v>69</v>
      </c>
      <c r="AP560" s="116">
        <v>10833388</v>
      </c>
      <c r="AQ560" s="116">
        <f t="shared" si="69"/>
        <v>255.53</v>
      </c>
      <c r="AR560" s="116">
        <f t="shared" si="70"/>
        <v>39729804.399999999</v>
      </c>
      <c r="AS560" s="118">
        <v>0.31508014796547473</v>
      </c>
    </row>
    <row r="561" spans="2:45" x14ac:dyDescent="0.3">
      <c r="B561" s="126" t="s">
        <v>694</v>
      </c>
      <c r="C561" s="98" t="str">
        <f t="shared" si="71"/>
        <v>DJ540</v>
      </c>
      <c r="D561" s="98" t="s">
        <v>55</v>
      </c>
      <c r="E561" s="98" t="str">
        <f t="shared" si="66"/>
        <v>W</v>
      </c>
      <c r="F561" s="98" t="str">
        <f t="shared" si="67"/>
        <v>DJ</v>
      </c>
      <c r="G561" s="98" t="s">
        <v>56</v>
      </c>
      <c r="H561" s="115" t="s">
        <v>695</v>
      </c>
      <c r="I561" s="98" t="s">
        <v>78</v>
      </c>
      <c r="J561" s="115" t="str">
        <f t="shared" si="72"/>
        <v/>
      </c>
      <c r="K561" s="115">
        <v>1</v>
      </c>
      <c r="L561" s="121">
        <v>169000</v>
      </c>
      <c r="M561" s="78" t="s">
        <v>509</v>
      </c>
      <c r="N561" s="98" t="s">
        <v>691</v>
      </c>
      <c r="O561" s="98" t="s">
        <v>143</v>
      </c>
      <c r="P561" s="98">
        <v>100</v>
      </c>
      <c r="Q561" s="32" t="s">
        <v>62</v>
      </c>
      <c r="R561" s="98" t="s">
        <v>692</v>
      </c>
      <c r="S561" s="32" t="s">
        <v>693</v>
      </c>
      <c r="T561" s="98" t="s">
        <v>65</v>
      </c>
      <c r="U561" s="98"/>
      <c r="V561" s="98" t="s">
        <v>66</v>
      </c>
      <c r="W561" s="98"/>
      <c r="X561" s="78" t="s">
        <v>67</v>
      </c>
      <c r="Y561" s="98" t="s">
        <v>68</v>
      </c>
      <c r="Z561" s="32" t="s">
        <v>536</v>
      </c>
      <c r="AA561" s="32" t="s">
        <v>90</v>
      </c>
      <c r="AB561" s="78" t="s">
        <v>71</v>
      </c>
      <c r="AC561" s="98" t="s">
        <v>62</v>
      </c>
      <c r="AD561" s="98" t="s">
        <v>72</v>
      </c>
      <c r="AE561" s="65" t="s">
        <v>137</v>
      </c>
      <c r="AF561" s="39" t="s">
        <v>566</v>
      </c>
      <c r="AG561" s="98" t="s">
        <v>240</v>
      </c>
      <c r="AH561" s="115">
        <v>650</v>
      </c>
      <c r="AI561" s="117" t="s">
        <v>76</v>
      </c>
      <c r="AJ561" s="115" t="s">
        <v>94</v>
      </c>
      <c r="AK561" s="73">
        <v>2533</v>
      </c>
      <c r="AL561" s="116">
        <f t="shared" si="68"/>
        <v>428077000</v>
      </c>
      <c r="AM561" s="116">
        <v>37</v>
      </c>
      <c r="AN561" s="116">
        <v>4498652</v>
      </c>
      <c r="AO561" s="116">
        <v>360</v>
      </c>
      <c r="AP561" s="116">
        <v>55405862</v>
      </c>
      <c r="AQ561" s="116">
        <f t="shared" si="69"/>
        <v>942.59</v>
      </c>
      <c r="AR561" s="116">
        <f t="shared" si="70"/>
        <v>146553893.20000002</v>
      </c>
      <c r="AS561" s="118">
        <v>0.37212396367943151</v>
      </c>
    </row>
    <row r="562" spans="2:45" x14ac:dyDescent="0.3">
      <c r="B562" s="126" t="s">
        <v>696</v>
      </c>
      <c r="C562" s="98" t="str">
        <f t="shared" si="71"/>
        <v>DJ510</v>
      </c>
      <c r="D562" s="98" t="s">
        <v>55</v>
      </c>
      <c r="E562" s="98" t="str">
        <f t="shared" si="66"/>
        <v>M</v>
      </c>
      <c r="F562" s="98" t="str">
        <f t="shared" si="67"/>
        <v>DJ</v>
      </c>
      <c r="G562" s="98" t="s">
        <v>56</v>
      </c>
      <c r="H562" s="115" t="s">
        <v>697</v>
      </c>
      <c r="I562" s="98" t="s">
        <v>660</v>
      </c>
      <c r="J562" s="115">
        <f t="shared" si="72"/>
        <v>1</v>
      </c>
      <c r="K562" s="115">
        <v>1</v>
      </c>
      <c r="L562" s="121">
        <v>259000</v>
      </c>
      <c r="M562" s="78" t="s">
        <v>509</v>
      </c>
      <c r="N562" s="98" t="s">
        <v>691</v>
      </c>
      <c r="O562" s="98" t="s">
        <v>143</v>
      </c>
      <c r="P562" s="98">
        <v>100</v>
      </c>
      <c r="Q562" s="32" t="s">
        <v>62</v>
      </c>
      <c r="R562" s="98" t="s">
        <v>692</v>
      </c>
      <c r="S562" s="32" t="s">
        <v>693</v>
      </c>
      <c r="T562" s="98" t="s">
        <v>65</v>
      </c>
      <c r="U562" s="98"/>
      <c r="V562" s="98" t="s">
        <v>66</v>
      </c>
      <c r="W562" s="98"/>
      <c r="X562" s="78" t="s">
        <v>67</v>
      </c>
      <c r="Y562" s="98" t="s">
        <v>68</v>
      </c>
      <c r="Z562" s="32" t="s">
        <v>536</v>
      </c>
      <c r="AA562" s="32" t="s">
        <v>90</v>
      </c>
      <c r="AB562" s="78" t="s">
        <v>71</v>
      </c>
      <c r="AC562" s="98" t="s">
        <v>62</v>
      </c>
      <c r="AD562" s="98" t="s">
        <v>72</v>
      </c>
      <c r="AE562" s="65" t="s">
        <v>137</v>
      </c>
      <c r="AF562" s="39" t="s">
        <v>86</v>
      </c>
      <c r="AG562" s="98" t="s">
        <v>75</v>
      </c>
      <c r="AH562" s="115">
        <v>650</v>
      </c>
      <c r="AI562" s="117" t="s">
        <v>76</v>
      </c>
      <c r="AJ562" s="115" t="s">
        <v>241</v>
      </c>
      <c r="AK562" s="73">
        <v>594</v>
      </c>
      <c r="AL562" s="116">
        <f t="shared" si="68"/>
        <v>153846000</v>
      </c>
      <c r="AM562" s="116">
        <v>12</v>
      </c>
      <c r="AN562" s="116">
        <v>2175600</v>
      </c>
      <c r="AO562" s="116">
        <v>126</v>
      </c>
      <c r="AP562" s="116">
        <v>23817112</v>
      </c>
      <c r="AQ562" s="116">
        <f t="shared" si="69"/>
        <v>262.62</v>
      </c>
      <c r="AR562" s="116">
        <f t="shared" si="70"/>
        <v>62577093.600000001</v>
      </c>
      <c r="AS562" s="118">
        <v>0.44212121212121214</v>
      </c>
    </row>
    <row r="563" spans="2:45" x14ac:dyDescent="0.3">
      <c r="B563" s="126" t="s">
        <v>696</v>
      </c>
      <c r="C563" s="98" t="str">
        <f t="shared" si="71"/>
        <v>DJ510</v>
      </c>
      <c r="D563" s="98" t="s">
        <v>55</v>
      </c>
      <c r="E563" s="98" t="str">
        <f t="shared" si="66"/>
        <v>M</v>
      </c>
      <c r="F563" s="98" t="str">
        <f t="shared" si="67"/>
        <v>DJ</v>
      </c>
      <c r="G563" s="98" t="s">
        <v>56</v>
      </c>
      <c r="H563" s="115" t="s">
        <v>697</v>
      </c>
      <c r="I563" s="98" t="s">
        <v>78</v>
      </c>
      <c r="J563" s="115" t="str">
        <f t="shared" si="72"/>
        <v/>
      </c>
      <c r="K563" s="115">
        <v>1</v>
      </c>
      <c r="L563" s="121">
        <v>259000</v>
      </c>
      <c r="M563" s="78" t="s">
        <v>509</v>
      </c>
      <c r="N563" s="98" t="s">
        <v>691</v>
      </c>
      <c r="O563" s="98" t="s">
        <v>143</v>
      </c>
      <c r="P563" s="98">
        <v>100</v>
      </c>
      <c r="Q563" s="32" t="s">
        <v>62</v>
      </c>
      <c r="R563" s="98" t="s">
        <v>692</v>
      </c>
      <c r="S563" s="32" t="s">
        <v>693</v>
      </c>
      <c r="T563" s="98" t="s">
        <v>65</v>
      </c>
      <c r="U563" s="98"/>
      <c r="V563" s="98" t="s">
        <v>66</v>
      </c>
      <c r="W563" s="98"/>
      <c r="X563" s="78" t="s">
        <v>67</v>
      </c>
      <c r="Y563" s="98" t="s">
        <v>68</v>
      </c>
      <c r="Z563" s="32" t="s">
        <v>536</v>
      </c>
      <c r="AA563" s="32" t="s">
        <v>90</v>
      </c>
      <c r="AB563" s="78" t="s">
        <v>71</v>
      </c>
      <c r="AC563" s="98" t="s">
        <v>62</v>
      </c>
      <c r="AD563" s="98" t="s">
        <v>72</v>
      </c>
      <c r="AE563" s="65" t="s">
        <v>137</v>
      </c>
      <c r="AF563" s="39" t="s">
        <v>86</v>
      </c>
      <c r="AG563" s="98" t="s">
        <v>75</v>
      </c>
      <c r="AH563" s="115">
        <v>650</v>
      </c>
      <c r="AI563" s="117" t="s">
        <v>76</v>
      </c>
      <c r="AJ563" s="115" t="s">
        <v>241</v>
      </c>
      <c r="AK563" s="73">
        <v>1474</v>
      </c>
      <c r="AL563" s="116">
        <f t="shared" si="68"/>
        <v>381766000</v>
      </c>
      <c r="AM563" s="116">
        <v>97</v>
      </c>
      <c r="AN563" s="116">
        <v>17571770</v>
      </c>
      <c r="AO563" s="116">
        <v>598</v>
      </c>
      <c r="AP563" s="116">
        <v>112121373</v>
      </c>
      <c r="AQ563" s="116">
        <f t="shared" si="69"/>
        <v>937.02</v>
      </c>
      <c r="AR563" s="116">
        <f t="shared" si="70"/>
        <v>223273125.60000002</v>
      </c>
      <c r="AS563" s="118">
        <v>0.63569877883310721</v>
      </c>
    </row>
    <row r="564" spans="2:45" x14ac:dyDescent="0.3">
      <c r="B564" s="126" t="s">
        <v>696</v>
      </c>
      <c r="C564" s="98" t="str">
        <f t="shared" si="71"/>
        <v>DJ510</v>
      </c>
      <c r="D564" s="98" t="s">
        <v>55</v>
      </c>
      <c r="E564" s="98" t="str">
        <f t="shared" si="66"/>
        <v>M</v>
      </c>
      <c r="F564" s="98" t="str">
        <f t="shared" si="67"/>
        <v>DJ</v>
      </c>
      <c r="G564" s="98" t="s">
        <v>56</v>
      </c>
      <c r="H564" s="115" t="s">
        <v>697</v>
      </c>
      <c r="I564" s="98" t="s">
        <v>570</v>
      </c>
      <c r="J564" s="115" t="str">
        <f t="shared" si="72"/>
        <v/>
      </c>
      <c r="K564" s="115">
        <v>1</v>
      </c>
      <c r="L564" s="121">
        <v>259000</v>
      </c>
      <c r="M564" s="78" t="s">
        <v>509</v>
      </c>
      <c r="N564" s="98" t="s">
        <v>691</v>
      </c>
      <c r="O564" s="98" t="s">
        <v>143</v>
      </c>
      <c r="P564" s="98">
        <v>100</v>
      </c>
      <c r="Q564" s="32" t="s">
        <v>62</v>
      </c>
      <c r="R564" s="98" t="s">
        <v>692</v>
      </c>
      <c r="S564" s="32" t="s">
        <v>693</v>
      </c>
      <c r="T564" s="98" t="s">
        <v>65</v>
      </c>
      <c r="U564" s="98"/>
      <c r="V564" s="98" t="s">
        <v>66</v>
      </c>
      <c r="W564" s="98"/>
      <c r="X564" s="78" t="s">
        <v>67</v>
      </c>
      <c r="Y564" s="98" t="s">
        <v>68</v>
      </c>
      <c r="Z564" s="32" t="s">
        <v>536</v>
      </c>
      <c r="AA564" s="32" t="s">
        <v>90</v>
      </c>
      <c r="AB564" s="78" t="s">
        <v>71</v>
      </c>
      <c r="AC564" s="98" t="s">
        <v>62</v>
      </c>
      <c r="AD564" s="98" t="s">
        <v>72</v>
      </c>
      <c r="AE564" s="65" t="s">
        <v>137</v>
      </c>
      <c r="AF564" s="39" t="s">
        <v>86</v>
      </c>
      <c r="AG564" s="98" t="s">
        <v>75</v>
      </c>
      <c r="AH564" s="115">
        <v>650</v>
      </c>
      <c r="AI564" s="117" t="s">
        <v>76</v>
      </c>
      <c r="AJ564" s="115" t="s">
        <v>241</v>
      </c>
      <c r="AK564" s="73">
        <v>782</v>
      </c>
      <c r="AL564" s="116">
        <f t="shared" si="68"/>
        <v>202538000</v>
      </c>
      <c r="AM564" s="116">
        <v>24</v>
      </c>
      <c r="AN564" s="116">
        <v>4349200</v>
      </c>
      <c r="AO564" s="116">
        <v>167</v>
      </c>
      <c r="AP564" s="116">
        <v>31749088</v>
      </c>
      <c r="AQ564" s="116">
        <f t="shared" si="69"/>
        <v>346.86</v>
      </c>
      <c r="AR564" s="116">
        <f t="shared" si="70"/>
        <v>82649800.800000012</v>
      </c>
      <c r="AS564" s="118">
        <v>0.44355498721227626</v>
      </c>
    </row>
    <row r="565" spans="2:45" x14ac:dyDescent="0.3">
      <c r="B565" s="126" t="s">
        <v>698</v>
      </c>
      <c r="C565" s="98" t="str">
        <f t="shared" si="71"/>
        <v>DJ5E0</v>
      </c>
      <c r="D565" s="98" t="s">
        <v>55</v>
      </c>
      <c r="E565" s="98" t="str">
        <f t="shared" si="66"/>
        <v>X</v>
      </c>
      <c r="F565" s="98" t="str">
        <f t="shared" si="67"/>
        <v>DJ</v>
      </c>
      <c r="G565" s="98" t="s">
        <v>56</v>
      </c>
      <c r="H565" s="115" t="s">
        <v>699</v>
      </c>
      <c r="I565" s="98" t="s">
        <v>215</v>
      </c>
      <c r="J565" s="115">
        <f t="shared" si="72"/>
        <v>1</v>
      </c>
      <c r="K565" s="115">
        <v>1</v>
      </c>
      <c r="L565" s="121">
        <v>179000</v>
      </c>
      <c r="M565" s="78" t="s">
        <v>509</v>
      </c>
      <c r="N565" s="98" t="s">
        <v>691</v>
      </c>
      <c r="O565" s="98" t="s">
        <v>143</v>
      </c>
      <c r="P565" s="98">
        <v>100</v>
      </c>
      <c r="Q565" s="32" t="s">
        <v>700</v>
      </c>
      <c r="R565" s="98" t="s">
        <v>692</v>
      </c>
      <c r="S565" s="32" t="s">
        <v>693</v>
      </c>
      <c r="T565" s="98" t="s">
        <v>65</v>
      </c>
      <c r="U565" s="98"/>
      <c r="V565" s="98" t="s">
        <v>701</v>
      </c>
      <c r="W565" s="98"/>
      <c r="X565" s="78" t="s">
        <v>67</v>
      </c>
      <c r="Y565" s="98" t="s">
        <v>68</v>
      </c>
      <c r="Z565" s="32" t="s">
        <v>536</v>
      </c>
      <c r="AA565" s="32" t="s">
        <v>90</v>
      </c>
      <c r="AB565" s="78" t="s">
        <v>71</v>
      </c>
      <c r="AC565" s="122" t="s">
        <v>62</v>
      </c>
      <c r="AD565" s="122" t="s">
        <v>72</v>
      </c>
      <c r="AE565" s="65" t="s">
        <v>137</v>
      </c>
      <c r="AF565" s="39" t="s">
        <v>566</v>
      </c>
      <c r="AG565" s="98" t="s">
        <v>240</v>
      </c>
      <c r="AH565" s="115">
        <v>650</v>
      </c>
      <c r="AI565" s="117" t="s">
        <v>76</v>
      </c>
      <c r="AJ565" s="115" t="s">
        <v>241</v>
      </c>
      <c r="AK565" s="73">
        <v>1822</v>
      </c>
      <c r="AL565" s="116">
        <f t="shared" si="68"/>
        <v>326138000</v>
      </c>
      <c r="AM565" s="116">
        <v>23</v>
      </c>
      <c r="AN565" s="116">
        <v>3820228</v>
      </c>
      <c r="AO565" s="116">
        <v>436</v>
      </c>
      <c r="AP565" s="116">
        <v>72736982</v>
      </c>
      <c r="AQ565" s="116">
        <f t="shared" si="69"/>
        <v>855.06</v>
      </c>
      <c r="AR565" s="116">
        <f t="shared" si="70"/>
        <v>140811280.80000001</v>
      </c>
      <c r="AS565" s="118">
        <v>0.46929747530186605</v>
      </c>
    </row>
    <row r="566" spans="2:45" x14ac:dyDescent="0.3">
      <c r="B566" s="126" t="s">
        <v>698</v>
      </c>
      <c r="C566" s="98" t="str">
        <f t="shared" si="71"/>
        <v>DJ5E0</v>
      </c>
      <c r="D566" s="98" t="s">
        <v>55</v>
      </c>
      <c r="E566" s="98" t="str">
        <f t="shared" si="66"/>
        <v>X</v>
      </c>
      <c r="F566" s="98" t="str">
        <f t="shared" si="67"/>
        <v>DJ</v>
      </c>
      <c r="G566" s="98" t="s">
        <v>56</v>
      </c>
      <c r="H566" s="115" t="s">
        <v>699</v>
      </c>
      <c r="I566" s="98" t="s">
        <v>179</v>
      </c>
      <c r="J566" s="115" t="str">
        <f t="shared" si="72"/>
        <v/>
      </c>
      <c r="K566" s="115">
        <v>1</v>
      </c>
      <c r="L566" s="121">
        <v>179000</v>
      </c>
      <c r="M566" s="78" t="s">
        <v>509</v>
      </c>
      <c r="N566" s="98" t="s">
        <v>691</v>
      </c>
      <c r="O566" s="98" t="s">
        <v>143</v>
      </c>
      <c r="P566" s="98">
        <v>100</v>
      </c>
      <c r="Q566" s="32" t="s">
        <v>62</v>
      </c>
      <c r="R566" s="98" t="s">
        <v>692</v>
      </c>
      <c r="S566" s="32" t="s">
        <v>693</v>
      </c>
      <c r="T566" s="98" t="s">
        <v>182</v>
      </c>
      <c r="U566" s="98"/>
      <c r="V566" s="98" t="s">
        <v>66</v>
      </c>
      <c r="W566" s="98"/>
      <c r="X566" s="78" t="s">
        <v>67</v>
      </c>
      <c r="Y566" s="98" t="s">
        <v>68</v>
      </c>
      <c r="Z566" s="32" t="s">
        <v>536</v>
      </c>
      <c r="AA566" s="32" t="s">
        <v>90</v>
      </c>
      <c r="AB566" s="78" t="s">
        <v>71</v>
      </c>
      <c r="AC566" s="122" t="s">
        <v>62</v>
      </c>
      <c r="AD566" s="122" t="s">
        <v>72</v>
      </c>
      <c r="AE566" s="65" t="s">
        <v>137</v>
      </c>
      <c r="AF566" s="39" t="s">
        <v>566</v>
      </c>
      <c r="AG566" s="98" t="s">
        <v>240</v>
      </c>
      <c r="AH566" s="115">
        <v>650</v>
      </c>
      <c r="AI566" s="117" t="s">
        <v>76</v>
      </c>
      <c r="AJ566" s="115" t="s">
        <v>241</v>
      </c>
      <c r="AK566" s="73">
        <v>1205</v>
      </c>
      <c r="AL566" s="116">
        <f t="shared" si="68"/>
        <v>215695000</v>
      </c>
      <c r="AM566" s="116">
        <v>4</v>
      </c>
      <c r="AN566" s="116">
        <v>745092</v>
      </c>
      <c r="AO566" s="116">
        <v>369</v>
      </c>
      <c r="AP566" s="116">
        <v>61141107</v>
      </c>
      <c r="AQ566" s="116">
        <f t="shared" si="69"/>
        <v>646.15</v>
      </c>
      <c r="AR566" s="116">
        <f t="shared" si="70"/>
        <v>106407982</v>
      </c>
      <c r="AS566" s="118">
        <v>0.5362240663900415</v>
      </c>
    </row>
    <row r="567" spans="2:45" x14ac:dyDescent="0.3">
      <c r="B567" s="126" t="s">
        <v>698</v>
      </c>
      <c r="C567" s="98" t="str">
        <f t="shared" si="71"/>
        <v>DJ5E0</v>
      </c>
      <c r="D567" s="98" t="s">
        <v>55</v>
      </c>
      <c r="E567" s="98" t="str">
        <f t="shared" si="66"/>
        <v>X</v>
      </c>
      <c r="F567" s="98" t="str">
        <f t="shared" si="67"/>
        <v>DJ</v>
      </c>
      <c r="G567" s="98" t="s">
        <v>56</v>
      </c>
      <c r="H567" s="115" t="s">
        <v>699</v>
      </c>
      <c r="I567" s="98" t="s">
        <v>78</v>
      </c>
      <c r="J567" s="115" t="str">
        <f t="shared" si="72"/>
        <v/>
      </c>
      <c r="K567" s="115">
        <v>1</v>
      </c>
      <c r="L567" s="121">
        <v>179000</v>
      </c>
      <c r="M567" s="78" t="s">
        <v>509</v>
      </c>
      <c r="N567" s="98" t="s">
        <v>691</v>
      </c>
      <c r="O567" s="98" t="s">
        <v>143</v>
      </c>
      <c r="P567" s="98">
        <v>100</v>
      </c>
      <c r="Q567" s="32" t="s">
        <v>62</v>
      </c>
      <c r="R567" s="98" t="s">
        <v>692</v>
      </c>
      <c r="S567" s="32" t="s">
        <v>693</v>
      </c>
      <c r="T567" s="98" t="s">
        <v>182</v>
      </c>
      <c r="U567" s="98"/>
      <c r="V567" s="98" t="s">
        <v>66</v>
      </c>
      <c r="W567" s="98"/>
      <c r="X567" s="78" t="s">
        <v>67</v>
      </c>
      <c r="Y567" s="98" t="s">
        <v>68</v>
      </c>
      <c r="Z567" s="32" t="s">
        <v>536</v>
      </c>
      <c r="AA567" s="32" t="s">
        <v>90</v>
      </c>
      <c r="AB567" s="78" t="s">
        <v>71</v>
      </c>
      <c r="AC567" s="122" t="s">
        <v>62</v>
      </c>
      <c r="AD567" s="122" t="s">
        <v>72</v>
      </c>
      <c r="AE567" s="65" t="s">
        <v>137</v>
      </c>
      <c r="AF567" s="39" t="s">
        <v>566</v>
      </c>
      <c r="AG567" s="98" t="s">
        <v>240</v>
      </c>
      <c r="AH567" s="115">
        <v>650</v>
      </c>
      <c r="AI567" s="117" t="s">
        <v>76</v>
      </c>
      <c r="AJ567" s="115" t="s">
        <v>241</v>
      </c>
      <c r="AK567" s="73">
        <v>4557</v>
      </c>
      <c r="AL567" s="116">
        <f t="shared" si="68"/>
        <v>815703000</v>
      </c>
      <c r="AM567" s="116">
        <v>52</v>
      </c>
      <c r="AN567" s="116">
        <v>8906569</v>
      </c>
      <c r="AO567" s="116">
        <v>981</v>
      </c>
      <c r="AP567" s="116">
        <v>163114116</v>
      </c>
      <c r="AQ567" s="116">
        <f t="shared" si="69"/>
        <v>2029.1100000000001</v>
      </c>
      <c r="AR567" s="116">
        <f t="shared" si="70"/>
        <v>334153834.80000007</v>
      </c>
      <c r="AS567" s="118">
        <v>0.44527320605661624</v>
      </c>
    </row>
    <row r="568" spans="2:45" x14ac:dyDescent="0.3">
      <c r="B568" s="126" t="s">
        <v>702</v>
      </c>
      <c r="C568" s="98" t="str">
        <f t="shared" si="71"/>
        <v>DJ550</v>
      </c>
      <c r="D568" s="98" t="s">
        <v>55</v>
      </c>
      <c r="E568" s="98" t="str">
        <f t="shared" ref="E568:E603" si="73">MID($B568,2,1)</f>
        <v>M</v>
      </c>
      <c r="F568" s="98" t="str">
        <f t="shared" ref="F568:F603" si="74">MID($B568,3,2)</f>
        <v>DJ</v>
      </c>
      <c r="G568" s="98" t="s">
        <v>56</v>
      </c>
      <c r="H568" s="115" t="s">
        <v>703</v>
      </c>
      <c r="I568" s="98" t="s">
        <v>209</v>
      </c>
      <c r="J568" s="115">
        <f t="shared" si="72"/>
        <v>1</v>
      </c>
      <c r="K568" s="115">
        <v>1</v>
      </c>
      <c r="L568" s="121">
        <v>299000</v>
      </c>
      <c r="M568" s="78" t="s">
        <v>408</v>
      </c>
      <c r="N568" s="98" t="s">
        <v>409</v>
      </c>
      <c r="O568" s="98" t="s">
        <v>143</v>
      </c>
      <c r="P568" s="98">
        <v>100</v>
      </c>
      <c r="Q568" s="32" t="s">
        <v>62</v>
      </c>
      <c r="R568" s="98" t="s">
        <v>410</v>
      </c>
      <c r="S568" s="32" t="s">
        <v>411</v>
      </c>
      <c r="T568" s="98" t="s">
        <v>65</v>
      </c>
      <c r="U568" s="98"/>
      <c r="V568" s="98" t="s">
        <v>520</v>
      </c>
      <c r="W568" s="98" t="s">
        <v>408</v>
      </c>
      <c r="X568" s="78" t="s">
        <v>67</v>
      </c>
      <c r="Y568" s="98" t="s">
        <v>340</v>
      </c>
      <c r="Z568" s="32" t="s">
        <v>125</v>
      </c>
      <c r="AA568" s="32" t="s">
        <v>70</v>
      </c>
      <c r="AB568" s="78" t="s">
        <v>71</v>
      </c>
      <c r="AC568" s="98" t="s">
        <v>62</v>
      </c>
      <c r="AD568" s="98" t="s">
        <v>72</v>
      </c>
      <c r="AE568" s="65" t="s">
        <v>137</v>
      </c>
      <c r="AF568" s="39" t="s">
        <v>704</v>
      </c>
      <c r="AG568" s="98" t="s">
        <v>127</v>
      </c>
      <c r="AH568" s="115">
        <v>650</v>
      </c>
      <c r="AI568" s="117" t="s">
        <v>264</v>
      </c>
      <c r="AJ568" s="112" t="s">
        <v>384</v>
      </c>
      <c r="AK568" s="73">
        <v>766</v>
      </c>
      <c r="AL568" s="116">
        <f t="shared" si="68"/>
        <v>229034000</v>
      </c>
      <c r="AM568" s="116">
        <v>6</v>
      </c>
      <c r="AN568" s="116">
        <v>1684680</v>
      </c>
      <c r="AO568" s="116">
        <v>25</v>
      </c>
      <c r="AP568" s="116">
        <v>7043525</v>
      </c>
      <c r="AQ568" s="116">
        <f t="shared" si="69"/>
        <v>293.09999999999997</v>
      </c>
      <c r="AR568" s="116">
        <f t="shared" si="70"/>
        <v>80625948</v>
      </c>
      <c r="AS568" s="118">
        <v>0.38263707571801564</v>
      </c>
    </row>
    <row r="569" spans="2:45" x14ac:dyDescent="0.3">
      <c r="B569" s="126" t="s">
        <v>702</v>
      </c>
      <c r="C569" s="98" t="str">
        <f t="shared" si="71"/>
        <v>DJ550</v>
      </c>
      <c r="D569" s="98" t="s">
        <v>55</v>
      </c>
      <c r="E569" s="98" t="str">
        <f t="shared" si="73"/>
        <v>M</v>
      </c>
      <c r="F569" s="98" t="str">
        <f t="shared" si="74"/>
        <v>DJ</v>
      </c>
      <c r="G569" s="98" t="s">
        <v>56</v>
      </c>
      <c r="H569" s="115" t="s">
        <v>703</v>
      </c>
      <c r="I569" s="98" t="s">
        <v>78</v>
      </c>
      <c r="J569" s="115" t="str">
        <f t="shared" si="72"/>
        <v/>
      </c>
      <c r="K569" s="115">
        <v>1</v>
      </c>
      <c r="L569" s="121">
        <v>299000</v>
      </c>
      <c r="M569" s="78" t="s">
        <v>408</v>
      </c>
      <c r="N569" s="98" t="s">
        <v>409</v>
      </c>
      <c r="O569" s="98" t="s">
        <v>143</v>
      </c>
      <c r="P569" s="98">
        <v>100</v>
      </c>
      <c r="Q569" s="32" t="s">
        <v>62</v>
      </c>
      <c r="R569" s="98" t="s">
        <v>410</v>
      </c>
      <c r="S569" s="32" t="s">
        <v>411</v>
      </c>
      <c r="T569" s="98" t="s">
        <v>65</v>
      </c>
      <c r="U569" s="98"/>
      <c r="V569" s="98" t="s">
        <v>520</v>
      </c>
      <c r="W569" s="98" t="s">
        <v>408</v>
      </c>
      <c r="X569" s="78" t="s">
        <v>67</v>
      </c>
      <c r="Y569" s="98" t="s">
        <v>340</v>
      </c>
      <c r="Z569" s="32" t="s">
        <v>125</v>
      </c>
      <c r="AA569" s="32" t="s">
        <v>70</v>
      </c>
      <c r="AB569" s="78" t="s">
        <v>71</v>
      </c>
      <c r="AC569" s="98" t="s">
        <v>62</v>
      </c>
      <c r="AD569" s="98" t="s">
        <v>72</v>
      </c>
      <c r="AE569" s="65" t="s">
        <v>137</v>
      </c>
      <c r="AF569" s="39" t="s">
        <v>704</v>
      </c>
      <c r="AG569" s="98" t="s">
        <v>127</v>
      </c>
      <c r="AH569" s="115">
        <v>650</v>
      </c>
      <c r="AI569" s="117" t="s">
        <v>264</v>
      </c>
      <c r="AJ569" s="112" t="s">
        <v>384</v>
      </c>
      <c r="AK569" s="73">
        <v>1985</v>
      </c>
      <c r="AL569" s="116">
        <f t="shared" si="68"/>
        <v>593515000</v>
      </c>
      <c r="AM569" s="116">
        <v>53</v>
      </c>
      <c r="AN569" s="116">
        <v>15188416</v>
      </c>
      <c r="AO569" s="116">
        <v>175</v>
      </c>
      <c r="AP569" s="116">
        <v>50567581</v>
      </c>
      <c r="AQ569" s="116">
        <f t="shared" si="69"/>
        <v>869.74999999999989</v>
      </c>
      <c r="AR569" s="116">
        <f t="shared" si="70"/>
        <v>239250829.99999997</v>
      </c>
      <c r="AS569" s="118">
        <v>0.43816120906801004</v>
      </c>
    </row>
    <row r="570" spans="2:45" x14ac:dyDescent="0.3">
      <c r="B570" s="126" t="s">
        <v>705</v>
      </c>
      <c r="C570" s="98" t="str">
        <f t="shared" si="71"/>
        <v>DJ560</v>
      </c>
      <c r="D570" s="98" t="s">
        <v>55</v>
      </c>
      <c r="E570" s="98" t="str">
        <f t="shared" si="73"/>
        <v>W</v>
      </c>
      <c r="F570" s="98" t="str">
        <f t="shared" si="74"/>
        <v>DJ</v>
      </c>
      <c r="G570" s="98" t="s">
        <v>56</v>
      </c>
      <c r="H570" s="115" t="s">
        <v>706</v>
      </c>
      <c r="I570" s="98" t="s">
        <v>78</v>
      </c>
      <c r="J570" s="115">
        <f t="shared" si="72"/>
        <v>1</v>
      </c>
      <c r="K570" s="115">
        <v>1</v>
      </c>
      <c r="L570" s="121">
        <v>299000</v>
      </c>
      <c r="M570" s="78" t="s">
        <v>408</v>
      </c>
      <c r="N570" s="98" t="s">
        <v>409</v>
      </c>
      <c r="O570" s="98" t="s">
        <v>143</v>
      </c>
      <c r="P570" s="98">
        <v>100</v>
      </c>
      <c r="Q570" s="32" t="s">
        <v>62</v>
      </c>
      <c r="R570" s="98" t="s">
        <v>410</v>
      </c>
      <c r="S570" s="32" t="s">
        <v>411</v>
      </c>
      <c r="T570" s="98" t="s">
        <v>65</v>
      </c>
      <c r="U570" s="98"/>
      <c r="V570" s="98" t="s">
        <v>520</v>
      </c>
      <c r="W570" s="98" t="s">
        <v>408</v>
      </c>
      <c r="X570" s="78" t="s">
        <v>67</v>
      </c>
      <c r="Y570" s="98" t="s">
        <v>340</v>
      </c>
      <c r="Z570" s="32" t="s">
        <v>125</v>
      </c>
      <c r="AA570" s="32" t="s">
        <v>70</v>
      </c>
      <c r="AB570" s="78" t="s">
        <v>71</v>
      </c>
      <c r="AC570" s="98" t="s">
        <v>62</v>
      </c>
      <c r="AD570" s="98" t="s">
        <v>72</v>
      </c>
      <c r="AE570" s="65" t="s">
        <v>137</v>
      </c>
      <c r="AF570" s="39" t="s">
        <v>417</v>
      </c>
      <c r="AG570" s="98" t="s">
        <v>127</v>
      </c>
      <c r="AH570" s="115">
        <v>650</v>
      </c>
      <c r="AI570" s="117" t="s">
        <v>128</v>
      </c>
      <c r="AJ570" s="115" t="s">
        <v>77</v>
      </c>
      <c r="AK570" s="73">
        <v>1961</v>
      </c>
      <c r="AL570" s="116">
        <f t="shared" si="68"/>
        <v>586339000</v>
      </c>
      <c r="AM570" s="116">
        <v>30</v>
      </c>
      <c r="AN570" s="116">
        <v>8431191</v>
      </c>
      <c r="AO570" s="116">
        <v>179</v>
      </c>
      <c r="AP570" s="116">
        <v>51388415</v>
      </c>
      <c r="AQ570" s="116">
        <f t="shared" si="69"/>
        <v>767.3</v>
      </c>
      <c r="AR570" s="116">
        <f t="shared" si="70"/>
        <v>211068884</v>
      </c>
      <c r="AS570" s="118">
        <v>0.39127995920448749</v>
      </c>
    </row>
    <row r="571" spans="2:45" x14ac:dyDescent="0.3">
      <c r="B571" s="126" t="s">
        <v>705</v>
      </c>
      <c r="C571" s="98" t="str">
        <f t="shared" si="71"/>
        <v>DJ560</v>
      </c>
      <c r="D571" s="98" t="s">
        <v>55</v>
      </c>
      <c r="E571" s="98" t="str">
        <f t="shared" si="73"/>
        <v>W</v>
      </c>
      <c r="F571" s="98" t="str">
        <f t="shared" si="74"/>
        <v>DJ</v>
      </c>
      <c r="G571" s="98" t="s">
        <v>56</v>
      </c>
      <c r="H571" s="115" t="s">
        <v>706</v>
      </c>
      <c r="I571" s="98" t="s">
        <v>646</v>
      </c>
      <c r="J571" s="115" t="str">
        <f t="shared" si="72"/>
        <v/>
      </c>
      <c r="K571" s="115">
        <v>1</v>
      </c>
      <c r="L571" s="121">
        <v>299000</v>
      </c>
      <c r="M571" s="78" t="s">
        <v>408</v>
      </c>
      <c r="N571" s="98" t="s">
        <v>409</v>
      </c>
      <c r="O571" s="98" t="s">
        <v>143</v>
      </c>
      <c r="P571" s="98">
        <v>100</v>
      </c>
      <c r="Q571" s="32" t="s">
        <v>62</v>
      </c>
      <c r="R571" s="98" t="s">
        <v>410</v>
      </c>
      <c r="S571" s="32" t="s">
        <v>411</v>
      </c>
      <c r="T571" s="98" t="s">
        <v>65</v>
      </c>
      <c r="U571" s="98"/>
      <c r="V571" s="98" t="s">
        <v>520</v>
      </c>
      <c r="W571" s="98" t="s">
        <v>408</v>
      </c>
      <c r="X571" s="78" t="s">
        <v>67</v>
      </c>
      <c r="Y571" s="98" t="s">
        <v>340</v>
      </c>
      <c r="Z571" s="32" t="s">
        <v>125</v>
      </c>
      <c r="AA571" s="32" t="s">
        <v>70</v>
      </c>
      <c r="AB571" s="78" t="s">
        <v>71</v>
      </c>
      <c r="AC571" s="98" t="s">
        <v>62</v>
      </c>
      <c r="AD571" s="98" t="s">
        <v>72</v>
      </c>
      <c r="AE571" s="65" t="s">
        <v>137</v>
      </c>
      <c r="AF571" s="39" t="s">
        <v>417</v>
      </c>
      <c r="AG571" s="98" t="s">
        <v>127</v>
      </c>
      <c r="AH571" s="115">
        <v>650</v>
      </c>
      <c r="AI571" s="117" t="s">
        <v>128</v>
      </c>
      <c r="AJ571" s="115" t="s">
        <v>77</v>
      </c>
      <c r="AK571" s="73">
        <v>588</v>
      </c>
      <c r="AL571" s="116">
        <f t="shared" si="68"/>
        <v>175812000</v>
      </c>
      <c r="AM571" s="116">
        <v>17</v>
      </c>
      <c r="AN571" s="116">
        <v>4722622</v>
      </c>
      <c r="AO571" s="116">
        <v>104</v>
      </c>
      <c r="AP571" s="116">
        <v>29767192</v>
      </c>
      <c r="AQ571" s="116">
        <f t="shared" si="69"/>
        <v>280.40000000000003</v>
      </c>
      <c r="AR571" s="116">
        <f t="shared" si="70"/>
        <v>77132432</v>
      </c>
      <c r="AS571" s="118">
        <v>0.47687074829931975</v>
      </c>
    </row>
    <row r="572" spans="2:45" x14ac:dyDescent="0.3">
      <c r="B572" s="126" t="s">
        <v>705</v>
      </c>
      <c r="C572" s="98" t="str">
        <f t="shared" si="71"/>
        <v>DJ560</v>
      </c>
      <c r="D572" s="98" t="s">
        <v>55</v>
      </c>
      <c r="E572" s="98" t="str">
        <f t="shared" si="73"/>
        <v>W</v>
      </c>
      <c r="F572" s="98" t="str">
        <f t="shared" si="74"/>
        <v>DJ</v>
      </c>
      <c r="G572" s="98" t="s">
        <v>56</v>
      </c>
      <c r="H572" s="115" t="s">
        <v>706</v>
      </c>
      <c r="I572" s="98" t="s">
        <v>79</v>
      </c>
      <c r="J572" s="115" t="str">
        <f t="shared" si="72"/>
        <v/>
      </c>
      <c r="K572" s="115">
        <v>1</v>
      </c>
      <c r="L572" s="121">
        <v>299000</v>
      </c>
      <c r="M572" s="78" t="s">
        <v>408</v>
      </c>
      <c r="N572" s="98" t="s">
        <v>409</v>
      </c>
      <c r="O572" s="98" t="s">
        <v>143</v>
      </c>
      <c r="P572" s="98">
        <v>100</v>
      </c>
      <c r="Q572" s="32" t="s">
        <v>62</v>
      </c>
      <c r="R572" s="98" t="s">
        <v>410</v>
      </c>
      <c r="S572" s="32" t="s">
        <v>411</v>
      </c>
      <c r="T572" s="98" t="s">
        <v>65</v>
      </c>
      <c r="U572" s="98"/>
      <c r="V572" s="98" t="s">
        <v>520</v>
      </c>
      <c r="W572" s="98" t="s">
        <v>408</v>
      </c>
      <c r="X572" s="78" t="s">
        <v>67</v>
      </c>
      <c r="Y572" s="98" t="s">
        <v>340</v>
      </c>
      <c r="Z572" s="32" t="s">
        <v>125</v>
      </c>
      <c r="AA572" s="32" t="s">
        <v>70</v>
      </c>
      <c r="AB572" s="78" t="s">
        <v>71</v>
      </c>
      <c r="AC572" s="98" t="s">
        <v>62</v>
      </c>
      <c r="AD572" s="98" t="s">
        <v>72</v>
      </c>
      <c r="AE572" s="65" t="s">
        <v>137</v>
      </c>
      <c r="AF572" s="39" t="s">
        <v>417</v>
      </c>
      <c r="AG572" s="98" t="s">
        <v>127</v>
      </c>
      <c r="AH572" s="115">
        <v>650</v>
      </c>
      <c r="AI572" s="117" t="s">
        <v>128</v>
      </c>
      <c r="AJ572" s="115" t="s">
        <v>77</v>
      </c>
      <c r="AK572" s="73">
        <v>876</v>
      </c>
      <c r="AL572" s="116">
        <f t="shared" si="68"/>
        <v>261924000</v>
      </c>
      <c r="AM572" s="116">
        <v>18</v>
      </c>
      <c r="AN572" s="116">
        <v>5006311</v>
      </c>
      <c r="AO572" s="116">
        <v>97</v>
      </c>
      <c r="AP572" s="116">
        <v>27701225</v>
      </c>
      <c r="AQ572" s="116">
        <f t="shared" si="69"/>
        <v>359.79999999999995</v>
      </c>
      <c r="AR572" s="116">
        <f t="shared" si="70"/>
        <v>98973783.999999985</v>
      </c>
      <c r="AS572" s="118">
        <v>0.4107305936073059</v>
      </c>
    </row>
    <row r="573" spans="2:45" x14ac:dyDescent="0.3">
      <c r="B573" s="126" t="s">
        <v>707</v>
      </c>
      <c r="C573" s="98" t="str">
        <f t="shared" si="71"/>
        <v>DJ5K0</v>
      </c>
      <c r="D573" s="98" t="s">
        <v>55</v>
      </c>
      <c r="E573" s="98" t="str">
        <f t="shared" si="73"/>
        <v>M</v>
      </c>
      <c r="F573" s="98" t="str">
        <f t="shared" si="74"/>
        <v>DJ</v>
      </c>
      <c r="G573" s="98" t="s">
        <v>56</v>
      </c>
      <c r="H573" s="115" t="s">
        <v>708</v>
      </c>
      <c r="I573" s="98" t="s">
        <v>522</v>
      </c>
      <c r="J573" s="115">
        <f t="shared" si="72"/>
        <v>1</v>
      </c>
      <c r="K573" s="115">
        <v>1</v>
      </c>
      <c r="L573" s="121">
        <v>319000</v>
      </c>
      <c r="M573" s="78" t="s">
        <v>408</v>
      </c>
      <c r="N573" s="98" t="s">
        <v>409</v>
      </c>
      <c r="O573" s="98" t="s">
        <v>143</v>
      </c>
      <c r="P573" s="98">
        <v>100</v>
      </c>
      <c r="Q573" s="32" t="s">
        <v>62</v>
      </c>
      <c r="R573" s="98" t="s">
        <v>410</v>
      </c>
      <c r="S573" s="32" t="s">
        <v>411</v>
      </c>
      <c r="T573" s="98" t="s">
        <v>65</v>
      </c>
      <c r="U573" s="98"/>
      <c r="V573" s="98" t="s">
        <v>520</v>
      </c>
      <c r="W573" s="98" t="s">
        <v>408</v>
      </c>
      <c r="X573" s="78" t="s">
        <v>67</v>
      </c>
      <c r="Y573" s="98" t="s">
        <v>340</v>
      </c>
      <c r="Z573" s="32" t="s">
        <v>125</v>
      </c>
      <c r="AA573" s="32" t="s">
        <v>70</v>
      </c>
      <c r="AB573" s="78" t="s">
        <v>71</v>
      </c>
      <c r="AC573" s="98" t="s">
        <v>62</v>
      </c>
      <c r="AD573" s="98" t="s">
        <v>72</v>
      </c>
      <c r="AE573" s="65" t="s">
        <v>137</v>
      </c>
      <c r="AF573" s="39" t="s">
        <v>405</v>
      </c>
      <c r="AG573" s="98" t="s">
        <v>127</v>
      </c>
      <c r="AH573" s="115">
        <v>650</v>
      </c>
      <c r="AI573" s="117" t="s">
        <v>264</v>
      </c>
      <c r="AJ573" s="112" t="s">
        <v>384</v>
      </c>
      <c r="AK573" s="73">
        <v>1190</v>
      </c>
      <c r="AL573" s="116">
        <f t="shared" si="68"/>
        <v>379610000</v>
      </c>
      <c r="AM573" s="116">
        <v>4</v>
      </c>
      <c r="AN573" s="116">
        <v>1185030</v>
      </c>
      <c r="AO573" s="116">
        <v>27</v>
      </c>
      <c r="AP573" s="116">
        <v>8315770</v>
      </c>
      <c r="AQ573" s="116">
        <f t="shared" si="69"/>
        <v>443.49999999999994</v>
      </c>
      <c r="AR573" s="116">
        <f t="shared" si="70"/>
        <v>130158379.99999999</v>
      </c>
      <c r="AS573" s="118">
        <v>0.37268907563025205</v>
      </c>
    </row>
    <row r="574" spans="2:45" x14ac:dyDescent="0.3">
      <c r="B574" s="126" t="s">
        <v>707</v>
      </c>
      <c r="C574" s="98" t="str">
        <f t="shared" si="71"/>
        <v>DJ5K0</v>
      </c>
      <c r="D574" s="98" t="s">
        <v>55</v>
      </c>
      <c r="E574" s="98" t="str">
        <f t="shared" si="73"/>
        <v>M</v>
      </c>
      <c r="F574" s="98" t="str">
        <f t="shared" si="74"/>
        <v>DJ</v>
      </c>
      <c r="G574" s="98" t="s">
        <v>56</v>
      </c>
      <c r="H574" s="115" t="s">
        <v>708</v>
      </c>
      <c r="I574" s="98" t="s">
        <v>633</v>
      </c>
      <c r="J574" s="115" t="str">
        <f t="shared" si="72"/>
        <v/>
      </c>
      <c r="K574" s="115">
        <v>1</v>
      </c>
      <c r="L574" s="121">
        <v>319000</v>
      </c>
      <c r="M574" s="78" t="s">
        <v>509</v>
      </c>
      <c r="N574" s="98" t="s">
        <v>691</v>
      </c>
      <c r="O574" s="98" t="s">
        <v>143</v>
      </c>
      <c r="P574" s="98">
        <v>100</v>
      </c>
      <c r="Q574" s="32" t="s">
        <v>62</v>
      </c>
      <c r="R574" s="98" t="s">
        <v>692</v>
      </c>
      <c r="S574" s="32" t="s">
        <v>693</v>
      </c>
      <c r="T574" s="98" t="s">
        <v>65</v>
      </c>
      <c r="U574" s="98"/>
      <c r="V574" s="98" t="s">
        <v>66</v>
      </c>
      <c r="W574" s="98"/>
      <c r="X574" s="78" t="s">
        <v>67</v>
      </c>
      <c r="Y574" s="98" t="s">
        <v>68</v>
      </c>
      <c r="Z574" s="32" t="s">
        <v>536</v>
      </c>
      <c r="AA574" s="32" t="s">
        <v>90</v>
      </c>
      <c r="AB574" s="78" t="s">
        <v>71</v>
      </c>
      <c r="AC574" s="98" t="s">
        <v>62</v>
      </c>
      <c r="AD574" s="98" t="s">
        <v>72</v>
      </c>
      <c r="AE574" s="65" t="s">
        <v>137</v>
      </c>
      <c r="AF574" s="39" t="s">
        <v>405</v>
      </c>
      <c r="AG574" s="98" t="s">
        <v>127</v>
      </c>
      <c r="AH574" s="115">
        <v>650</v>
      </c>
      <c r="AI574" s="117" t="s">
        <v>264</v>
      </c>
      <c r="AJ574" s="112" t="s">
        <v>384</v>
      </c>
      <c r="AK574" s="73">
        <v>1715</v>
      </c>
      <c r="AL574" s="116">
        <f t="shared" si="68"/>
        <v>547085000</v>
      </c>
      <c r="AM574" s="116">
        <v>118</v>
      </c>
      <c r="AN574" s="116">
        <v>34870937</v>
      </c>
      <c r="AO574" s="116">
        <v>514</v>
      </c>
      <c r="AP574" s="116">
        <v>144276689</v>
      </c>
      <c r="AQ574" s="116">
        <f t="shared" si="69"/>
        <v>1114.25</v>
      </c>
      <c r="AR574" s="116">
        <f t="shared" si="70"/>
        <v>327010090</v>
      </c>
      <c r="AS574" s="118">
        <v>0.64970845481049566</v>
      </c>
    </row>
    <row r="575" spans="2:45" x14ac:dyDescent="0.3">
      <c r="B575" s="126" t="s">
        <v>707</v>
      </c>
      <c r="C575" s="98" t="str">
        <f t="shared" si="71"/>
        <v>DJ5K0</v>
      </c>
      <c r="D575" s="98" t="s">
        <v>55</v>
      </c>
      <c r="E575" s="98" t="str">
        <f t="shared" si="73"/>
        <v>M</v>
      </c>
      <c r="F575" s="98" t="str">
        <f t="shared" si="74"/>
        <v>DJ</v>
      </c>
      <c r="G575" s="98" t="s">
        <v>56</v>
      </c>
      <c r="H575" s="115" t="s">
        <v>708</v>
      </c>
      <c r="I575" s="98" t="s">
        <v>78</v>
      </c>
      <c r="J575" s="115" t="str">
        <f t="shared" si="72"/>
        <v/>
      </c>
      <c r="K575" s="115">
        <v>1</v>
      </c>
      <c r="L575" s="121">
        <v>319000</v>
      </c>
      <c r="M575" s="78" t="s">
        <v>408</v>
      </c>
      <c r="N575" s="98" t="s">
        <v>409</v>
      </c>
      <c r="O575" s="98" t="s">
        <v>143</v>
      </c>
      <c r="P575" s="98">
        <v>100</v>
      </c>
      <c r="Q575" s="32" t="s">
        <v>62</v>
      </c>
      <c r="R575" s="98" t="s">
        <v>410</v>
      </c>
      <c r="S575" s="32" t="s">
        <v>411</v>
      </c>
      <c r="T575" s="98" t="s">
        <v>65</v>
      </c>
      <c r="U575" s="98"/>
      <c r="V575" s="98" t="s">
        <v>520</v>
      </c>
      <c r="W575" s="98" t="s">
        <v>408</v>
      </c>
      <c r="X575" s="78" t="s">
        <v>67</v>
      </c>
      <c r="Y575" s="98" t="s">
        <v>340</v>
      </c>
      <c r="Z575" s="32" t="s">
        <v>125</v>
      </c>
      <c r="AA575" s="32" t="s">
        <v>70</v>
      </c>
      <c r="AB575" s="78" t="s">
        <v>71</v>
      </c>
      <c r="AC575" s="98" t="s">
        <v>62</v>
      </c>
      <c r="AD575" s="98" t="s">
        <v>72</v>
      </c>
      <c r="AE575" s="65" t="s">
        <v>137</v>
      </c>
      <c r="AF575" s="39" t="s">
        <v>405</v>
      </c>
      <c r="AG575" s="98" t="s">
        <v>127</v>
      </c>
      <c r="AH575" s="115">
        <v>650</v>
      </c>
      <c r="AI575" s="117" t="s">
        <v>264</v>
      </c>
      <c r="AJ575" s="112" t="s">
        <v>384</v>
      </c>
      <c r="AK575" s="73">
        <v>1492</v>
      </c>
      <c r="AL575" s="116">
        <f t="shared" si="68"/>
        <v>475948000</v>
      </c>
      <c r="AM575" s="116">
        <v>113</v>
      </c>
      <c r="AN575" s="116">
        <v>33300677</v>
      </c>
      <c r="AO575" s="116">
        <v>362</v>
      </c>
      <c r="AP575" s="116">
        <v>107613549</v>
      </c>
      <c r="AQ575" s="116">
        <f t="shared" si="69"/>
        <v>884.19999999999993</v>
      </c>
      <c r="AR575" s="116">
        <f t="shared" si="70"/>
        <v>259495015.99999997</v>
      </c>
      <c r="AS575" s="118">
        <v>0.59262734584450394</v>
      </c>
    </row>
    <row r="576" spans="2:45" x14ac:dyDescent="0.3">
      <c r="B576" s="126" t="s">
        <v>707</v>
      </c>
      <c r="C576" s="98" t="str">
        <f t="shared" si="71"/>
        <v>DJ5K0</v>
      </c>
      <c r="D576" s="98" t="s">
        <v>55</v>
      </c>
      <c r="E576" s="98" t="str">
        <f t="shared" si="73"/>
        <v>M</v>
      </c>
      <c r="F576" s="98" t="str">
        <f t="shared" si="74"/>
        <v>DJ</v>
      </c>
      <c r="G576" s="98" t="s">
        <v>56</v>
      </c>
      <c r="H576" s="115" t="s">
        <v>708</v>
      </c>
      <c r="I576" s="98" t="s">
        <v>209</v>
      </c>
      <c r="J576" s="115" t="str">
        <f t="shared" si="72"/>
        <v/>
      </c>
      <c r="K576" s="115">
        <v>1</v>
      </c>
      <c r="L576" s="121">
        <v>319000</v>
      </c>
      <c r="M576" s="78" t="s">
        <v>408</v>
      </c>
      <c r="N576" s="98" t="s">
        <v>409</v>
      </c>
      <c r="O576" s="98" t="s">
        <v>143</v>
      </c>
      <c r="P576" s="98">
        <v>100</v>
      </c>
      <c r="Q576" s="32" t="s">
        <v>62</v>
      </c>
      <c r="R576" s="98" t="s">
        <v>410</v>
      </c>
      <c r="S576" s="32" t="s">
        <v>411</v>
      </c>
      <c r="T576" s="98" t="s">
        <v>65</v>
      </c>
      <c r="U576" s="98"/>
      <c r="V576" s="98" t="s">
        <v>520</v>
      </c>
      <c r="W576" s="98" t="s">
        <v>408</v>
      </c>
      <c r="X576" s="78" t="s">
        <v>67</v>
      </c>
      <c r="Y576" s="98" t="s">
        <v>340</v>
      </c>
      <c r="Z576" s="32" t="s">
        <v>125</v>
      </c>
      <c r="AA576" s="32" t="s">
        <v>70</v>
      </c>
      <c r="AB576" s="78" t="s">
        <v>71</v>
      </c>
      <c r="AC576" s="98" t="s">
        <v>62</v>
      </c>
      <c r="AD576" s="98" t="s">
        <v>72</v>
      </c>
      <c r="AE576" s="65" t="s">
        <v>137</v>
      </c>
      <c r="AF576" s="39" t="s">
        <v>405</v>
      </c>
      <c r="AG576" s="98" t="s">
        <v>127</v>
      </c>
      <c r="AH576" s="115">
        <v>650</v>
      </c>
      <c r="AI576" s="117" t="s">
        <v>264</v>
      </c>
      <c r="AJ576" s="112" t="s">
        <v>384</v>
      </c>
      <c r="AK576" s="73">
        <v>612</v>
      </c>
      <c r="AL576" s="116">
        <f t="shared" si="68"/>
        <v>195228000</v>
      </c>
      <c r="AM576" s="116">
        <v>19</v>
      </c>
      <c r="AN576" s="116">
        <v>5597224</v>
      </c>
      <c r="AO576" s="116">
        <v>64</v>
      </c>
      <c r="AP576" s="116">
        <v>19372343</v>
      </c>
      <c r="AQ576" s="116">
        <f t="shared" si="69"/>
        <v>278.2</v>
      </c>
      <c r="AR576" s="116">
        <f t="shared" si="70"/>
        <v>81646136</v>
      </c>
      <c r="AS576" s="118">
        <v>0.45457516339869281</v>
      </c>
    </row>
    <row r="577" spans="2:45" x14ac:dyDescent="0.3">
      <c r="B577" s="126" t="s">
        <v>709</v>
      </c>
      <c r="C577" s="98" t="str">
        <f t="shared" si="71"/>
        <v>DJ5L0</v>
      </c>
      <c r="D577" s="98" t="s">
        <v>55</v>
      </c>
      <c r="E577" s="98" t="str">
        <f t="shared" si="73"/>
        <v>W</v>
      </c>
      <c r="F577" s="98" t="str">
        <f t="shared" si="74"/>
        <v>DJ</v>
      </c>
      <c r="G577" s="98" t="s">
        <v>56</v>
      </c>
      <c r="H577" s="115" t="s">
        <v>710</v>
      </c>
      <c r="I577" s="98" t="s">
        <v>646</v>
      </c>
      <c r="J577" s="115">
        <f t="shared" si="72"/>
        <v>1</v>
      </c>
      <c r="K577" s="115">
        <v>1</v>
      </c>
      <c r="L577" s="121">
        <v>319000</v>
      </c>
      <c r="M577" s="78" t="s">
        <v>408</v>
      </c>
      <c r="N577" s="98" t="s">
        <v>409</v>
      </c>
      <c r="O577" s="98" t="s">
        <v>143</v>
      </c>
      <c r="P577" s="98">
        <v>100</v>
      </c>
      <c r="Q577" s="32" t="s">
        <v>62</v>
      </c>
      <c r="R577" s="98" t="s">
        <v>410</v>
      </c>
      <c r="S577" s="32" t="s">
        <v>411</v>
      </c>
      <c r="T577" s="98" t="s">
        <v>65</v>
      </c>
      <c r="U577" s="98"/>
      <c r="V577" s="98" t="s">
        <v>520</v>
      </c>
      <c r="W577" s="98" t="s">
        <v>408</v>
      </c>
      <c r="X577" s="78" t="s">
        <v>67</v>
      </c>
      <c r="Y577" s="98" t="s">
        <v>340</v>
      </c>
      <c r="Z577" s="32" t="s">
        <v>125</v>
      </c>
      <c r="AA577" s="32" t="s">
        <v>70</v>
      </c>
      <c r="AB577" s="78" t="s">
        <v>71</v>
      </c>
      <c r="AC577" s="98" t="s">
        <v>62</v>
      </c>
      <c r="AD577" s="98" t="s">
        <v>72</v>
      </c>
      <c r="AE577" s="65" t="s">
        <v>137</v>
      </c>
      <c r="AF577" s="39" t="s">
        <v>230</v>
      </c>
      <c r="AG577" s="98" t="s">
        <v>127</v>
      </c>
      <c r="AH577" s="115">
        <v>650</v>
      </c>
      <c r="AI577" s="117" t="s">
        <v>128</v>
      </c>
      <c r="AJ577" s="115" t="s">
        <v>77</v>
      </c>
      <c r="AK577" s="73">
        <v>534</v>
      </c>
      <c r="AL577" s="116">
        <f t="shared" si="68"/>
        <v>170346000</v>
      </c>
      <c r="AM577" s="116">
        <v>21</v>
      </c>
      <c r="AN577" s="116">
        <v>6049563</v>
      </c>
      <c r="AO577" s="116">
        <v>119</v>
      </c>
      <c r="AP577" s="116">
        <v>35176982</v>
      </c>
      <c r="AQ577" s="116">
        <f t="shared" si="69"/>
        <v>279.20000000000005</v>
      </c>
      <c r="AR577" s="116">
        <f t="shared" si="70"/>
        <v>81939616</v>
      </c>
      <c r="AS577" s="118">
        <v>0.52284644194756558</v>
      </c>
    </row>
    <row r="578" spans="2:45" x14ac:dyDescent="0.3">
      <c r="B578" s="126" t="s">
        <v>709</v>
      </c>
      <c r="C578" s="98" t="str">
        <f t="shared" si="71"/>
        <v>DJ5L0</v>
      </c>
      <c r="D578" s="98" t="s">
        <v>55</v>
      </c>
      <c r="E578" s="98" t="str">
        <f t="shared" si="73"/>
        <v>W</v>
      </c>
      <c r="F578" s="98" t="str">
        <f t="shared" si="74"/>
        <v>DJ</v>
      </c>
      <c r="G578" s="98" t="s">
        <v>56</v>
      </c>
      <c r="H578" s="115" t="s">
        <v>710</v>
      </c>
      <c r="I578" s="98" t="s">
        <v>78</v>
      </c>
      <c r="J578" s="115" t="str">
        <f t="shared" si="72"/>
        <v/>
      </c>
      <c r="K578" s="115">
        <v>1</v>
      </c>
      <c r="L578" s="121">
        <v>319000</v>
      </c>
      <c r="M578" s="78" t="s">
        <v>408</v>
      </c>
      <c r="N578" s="98" t="s">
        <v>409</v>
      </c>
      <c r="O578" s="98" t="s">
        <v>143</v>
      </c>
      <c r="P578" s="98">
        <v>100</v>
      </c>
      <c r="Q578" s="32" t="s">
        <v>62</v>
      </c>
      <c r="R578" s="98" t="s">
        <v>410</v>
      </c>
      <c r="S578" s="32" t="s">
        <v>411</v>
      </c>
      <c r="T578" s="98" t="s">
        <v>65</v>
      </c>
      <c r="U578" s="98"/>
      <c r="V578" s="98" t="s">
        <v>520</v>
      </c>
      <c r="W578" s="98" t="s">
        <v>408</v>
      </c>
      <c r="X578" s="78" t="s">
        <v>67</v>
      </c>
      <c r="Y578" s="98" t="s">
        <v>340</v>
      </c>
      <c r="Z578" s="32" t="s">
        <v>125</v>
      </c>
      <c r="AA578" s="32" t="s">
        <v>70</v>
      </c>
      <c r="AB578" s="78" t="s">
        <v>71</v>
      </c>
      <c r="AC578" s="98" t="s">
        <v>62</v>
      </c>
      <c r="AD578" s="98" t="s">
        <v>72</v>
      </c>
      <c r="AE578" s="65" t="s">
        <v>137</v>
      </c>
      <c r="AF578" s="39" t="s">
        <v>230</v>
      </c>
      <c r="AG578" s="98" t="s">
        <v>127</v>
      </c>
      <c r="AH578" s="115">
        <v>650</v>
      </c>
      <c r="AI578" s="117" t="s">
        <v>128</v>
      </c>
      <c r="AJ578" s="115" t="s">
        <v>77</v>
      </c>
      <c r="AK578" s="73">
        <v>1699</v>
      </c>
      <c r="AL578" s="116">
        <f t="shared" si="68"/>
        <v>541981000</v>
      </c>
      <c r="AM578" s="116">
        <v>39</v>
      </c>
      <c r="AN578" s="116">
        <v>11387151</v>
      </c>
      <c r="AO578" s="116">
        <v>148</v>
      </c>
      <c r="AP578" s="116">
        <v>44420926</v>
      </c>
      <c r="AQ578" s="116">
        <f t="shared" si="69"/>
        <v>657.69999999999993</v>
      </c>
      <c r="AR578" s="116">
        <f t="shared" si="70"/>
        <v>193021796</v>
      </c>
      <c r="AS578" s="118">
        <v>0.38711006474396703</v>
      </c>
    </row>
    <row r="579" spans="2:45" x14ac:dyDescent="0.3">
      <c r="B579" s="126" t="s">
        <v>709</v>
      </c>
      <c r="C579" s="98" t="str">
        <f t="shared" si="71"/>
        <v>DJ5L0</v>
      </c>
      <c r="D579" s="98" t="s">
        <v>55</v>
      </c>
      <c r="E579" s="98" t="str">
        <f t="shared" si="73"/>
        <v>W</v>
      </c>
      <c r="F579" s="98" t="str">
        <f t="shared" si="74"/>
        <v>DJ</v>
      </c>
      <c r="G579" s="98" t="s">
        <v>56</v>
      </c>
      <c r="H579" s="115" t="s">
        <v>710</v>
      </c>
      <c r="I579" s="98" t="s">
        <v>163</v>
      </c>
      <c r="J579" s="115" t="str">
        <f t="shared" si="72"/>
        <v/>
      </c>
      <c r="K579" s="115">
        <v>1</v>
      </c>
      <c r="L579" s="121">
        <v>319000</v>
      </c>
      <c r="M579" s="78" t="s">
        <v>408</v>
      </c>
      <c r="N579" s="98" t="s">
        <v>409</v>
      </c>
      <c r="O579" s="98" t="s">
        <v>143</v>
      </c>
      <c r="P579" s="98">
        <v>100</v>
      </c>
      <c r="Q579" s="32" t="s">
        <v>62</v>
      </c>
      <c r="R579" s="98" t="s">
        <v>410</v>
      </c>
      <c r="S579" s="32" t="s">
        <v>411</v>
      </c>
      <c r="T579" s="98" t="s">
        <v>65</v>
      </c>
      <c r="U579" s="98"/>
      <c r="V579" s="98" t="s">
        <v>520</v>
      </c>
      <c r="W579" s="98" t="s">
        <v>408</v>
      </c>
      <c r="X579" s="78" t="s">
        <v>67</v>
      </c>
      <c r="Y579" s="98" t="s">
        <v>340</v>
      </c>
      <c r="Z579" s="32" t="s">
        <v>125</v>
      </c>
      <c r="AA579" s="32" t="s">
        <v>70</v>
      </c>
      <c r="AB579" s="78" t="s">
        <v>71</v>
      </c>
      <c r="AC579" s="98" t="s">
        <v>62</v>
      </c>
      <c r="AD579" s="98" t="s">
        <v>72</v>
      </c>
      <c r="AE579" s="65" t="s">
        <v>137</v>
      </c>
      <c r="AF579" s="39" t="s">
        <v>230</v>
      </c>
      <c r="AG579" s="98" t="s">
        <v>127</v>
      </c>
      <c r="AH579" s="115">
        <v>650</v>
      </c>
      <c r="AI579" s="117" t="s">
        <v>128</v>
      </c>
      <c r="AJ579" s="115" t="s">
        <v>77</v>
      </c>
      <c r="AK579" s="73">
        <v>583</v>
      </c>
      <c r="AL579" s="116">
        <f t="shared" si="68"/>
        <v>185977000</v>
      </c>
      <c r="AM579" s="116">
        <v>7</v>
      </c>
      <c r="AN579" s="116">
        <v>1972995</v>
      </c>
      <c r="AO579" s="116">
        <v>44</v>
      </c>
      <c r="AP579" s="116">
        <v>13445359</v>
      </c>
      <c r="AQ579" s="116">
        <f t="shared" si="69"/>
        <v>218.89999999999998</v>
      </c>
      <c r="AR579" s="116">
        <f t="shared" si="70"/>
        <v>64242772</v>
      </c>
      <c r="AS579" s="118">
        <v>0.37547169811320752</v>
      </c>
    </row>
    <row r="580" spans="2:45" x14ac:dyDescent="0.3">
      <c r="B580" s="126" t="s">
        <v>709</v>
      </c>
      <c r="C580" s="98" t="str">
        <f t="shared" si="71"/>
        <v>DJ5L0</v>
      </c>
      <c r="D580" s="98" t="s">
        <v>55</v>
      </c>
      <c r="E580" s="98" t="str">
        <f t="shared" si="73"/>
        <v>W</v>
      </c>
      <c r="F580" s="98" t="str">
        <f t="shared" si="74"/>
        <v>DJ</v>
      </c>
      <c r="G580" s="98" t="s">
        <v>56</v>
      </c>
      <c r="H580" s="115" t="s">
        <v>710</v>
      </c>
      <c r="I580" s="98" t="s">
        <v>633</v>
      </c>
      <c r="J580" s="115" t="str">
        <f t="shared" si="72"/>
        <v/>
      </c>
      <c r="K580" s="115">
        <v>1</v>
      </c>
      <c r="L580" s="121">
        <v>319000</v>
      </c>
      <c r="M580" s="78" t="s">
        <v>509</v>
      </c>
      <c r="N580" s="98" t="s">
        <v>691</v>
      </c>
      <c r="O580" s="98" t="s">
        <v>143</v>
      </c>
      <c r="P580" s="98">
        <v>100</v>
      </c>
      <c r="Q580" s="32" t="s">
        <v>62</v>
      </c>
      <c r="R580" s="98" t="s">
        <v>692</v>
      </c>
      <c r="S580" s="32" t="s">
        <v>693</v>
      </c>
      <c r="T580" s="98" t="s">
        <v>65</v>
      </c>
      <c r="U580" s="98"/>
      <c r="V580" s="98" t="s">
        <v>66</v>
      </c>
      <c r="W580" s="98"/>
      <c r="X580" s="78" t="s">
        <v>67</v>
      </c>
      <c r="Y580" s="98" t="s">
        <v>68</v>
      </c>
      <c r="Z580" s="32" t="s">
        <v>536</v>
      </c>
      <c r="AA580" s="32" t="s">
        <v>90</v>
      </c>
      <c r="AB580" s="78" t="s">
        <v>71</v>
      </c>
      <c r="AC580" s="98" t="s">
        <v>62</v>
      </c>
      <c r="AD580" s="98" t="s">
        <v>72</v>
      </c>
      <c r="AE580" s="65" t="s">
        <v>137</v>
      </c>
      <c r="AF580" s="39" t="s">
        <v>230</v>
      </c>
      <c r="AG580" s="98" t="s">
        <v>127</v>
      </c>
      <c r="AH580" s="115">
        <v>650</v>
      </c>
      <c r="AI580" s="117" t="s">
        <v>128</v>
      </c>
      <c r="AJ580" s="115" t="s">
        <v>77</v>
      </c>
      <c r="AK580" s="73">
        <v>794</v>
      </c>
      <c r="AL580" s="116">
        <f t="shared" si="68"/>
        <v>253286000</v>
      </c>
      <c r="AM580" s="116">
        <v>27</v>
      </c>
      <c r="AN580" s="116">
        <v>8043757</v>
      </c>
      <c r="AO580" s="116">
        <v>111</v>
      </c>
      <c r="AP580" s="116">
        <v>33596462</v>
      </c>
      <c r="AQ580" s="116">
        <f t="shared" si="69"/>
        <v>349.2</v>
      </c>
      <c r="AR580" s="116">
        <f t="shared" si="70"/>
        <v>102483216</v>
      </c>
      <c r="AS580" s="118">
        <v>0.43979848866498739</v>
      </c>
    </row>
    <row r="581" spans="2:45" x14ac:dyDescent="0.3">
      <c r="B581" s="126" t="s">
        <v>711</v>
      </c>
      <c r="C581" s="98" t="str">
        <f t="shared" si="71"/>
        <v>DJ590</v>
      </c>
      <c r="D581" s="98" t="s">
        <v>55</v>
      </c>
      <c r="E581" s="98" t="str">
        <f t="shared" si="73"/>
        <v>M</v>
      </c>
      <c r="F581" s="98" t="str">
        <f t="shared" si="74"/>
        <v>DJ</v>
      </c>
      <c r="G581" s="98" t="s">
        <v>56</v>
      </c>
      <c r="H581" s="115" t="s">
        <v>712</v>
      </c>
      <c r="I581" s="98" t="s">
        <v>159</v>
      </c>
      <c r="J581" s="115">
        <f t="shared" si="72"/>
        <v>1</v>
      </c>
      <c r="K581" s="115">
        <v>1</v>
      </c>
      <c r="L581" s="121">
        <v>349000</v>
      </c>
      <c r="M581" s="78" t="s">
        <v>225</v>
      </c>
      <c r="N581" s="98" t="s">
        <v>517</v>
      </c>
      <c r="O581" s="98" t="s">
        <v>143</v>
      </c>
      <c r="P581" s="98">
        <v>100</v>
      </c>
      <c r="Q581" s="32" t="s">
        <v>144</v>
      </c>
      <c r="R581" s="98" t="s">
        <v>518</v>
      </c>
      <c r="S581" s="32" t="s">
        <v>519</v>
      </c>
      <c r="T581" s="98" t="s">
        <v>122</v>
      </c>
      <c r="U581" s="98" t="s">
        <v>332</v>
      </c>
      <c r="V581" s="98" t="s">
        <v>66</v>
      </c>
      <c r="W581" s="98"/>
      <c r="X581" s="78" t="s">
        <v>67</v>
      </c>
      <c r="Y581" s="98" t="s">
        <v>68</v>
      </c>
      <c r="Z581" s="32" t="s">
        <v>441</v>
      </c>
      <c r="AA581" s="32" t="s">
        <v>353</v>
      </c>
      <c r="AB581" s="78" t="s">
        <v>71</v>
      </c>
      <c r="AC581" s="98" t="s">
        <v>62</v>
      </c>
      <c r="AD581" s="98" t="s">
        <v>72</v>
      </c>
      <c r="AE581" s="65" t="s">
        <v>137</v>
      </c>
      <c r="AF581" s="39" t="s">
        <v>405</v>
      </c>
      <c r="AG581" s="98" t="s">
        <v>127</v>
      </c>
      <c r="AH581" s="115">
        <v>650</v>
      </c>
      <c r="AI581" s="117" t="s">
        <v>99</v>
      </c>
      <c r="AJ581" s="115" t="s">
        <v>100</v>
      </c>
      <c r="AK581" s="73">
        <v>783</v>
      </c>
      <c r="AL581" s="116">
        <f t="shared" si="68"/>
        <v>273267000</v>
      </c>
      <c r="AM581" s="116">
        <v>21</v>
      </c>
      <c r="AN581" s="116">
        <v>6757975</v>
      </c>
      <c r="AO581" s="116">
        <v>71</v>
      </c>
      <c r="AP581" s="116">
        <v>23356843</v>
      </c>
      <c r="AQ581" s="116">
        <f t="shared" si="69"/>
        <v>345.05</v>
      </c>
      <c r="AR581" s="116">
        <f t="shared" si="70"/>
        <v>110788654</v>
      </c>
      <c r="AS581" s="118">
        <v>0.44067688378033204</v>
      </c>
    </row>
    <row r="582" spans="2:45" x14ac:dyDescent="0.3">
      <c r="B582" s="126" t="s">
        <v>711</v>
      </c>
      <c r="C582" s="98" t="str">
        <f t="shared" si="71"/>
        <v>DJ590</v>
      </c>
      <c r="D582" s="98" t="s">
        <v>55</v>
      </c>
      <c r="E582" s="98" t="str">
        <f t="shared" si="73"/>
        <v>M</v>
      </c>
      <c r="F582" s="98" t="str">
        <f t="shared" si="74"/>
        <v>DJ</v>
      </c>
      <c r="G582" s="98" t="s">
        <v>56</v>
      </c>
      <c r="H582" s="115" t="s">
        <v>712</v>
      </c>
      <c r="I582" s="98" t="s">
        <v>78</v>
      </c>
      <c r="J582" s="115" t="str">
        <f t="shared" si="72"/>
        <v/>
      </c>
      <c r="K582" s="115">
        <v>1</v>
      </c>
      <c r="L582" s="121">
        <v>349000</v>
      </c>
      <c r="M582" s="78" t="s">
        <v>225</v>
      </c>
      <c r="N582" s="98" t="s">
        <v>517</v>
      </c>
      <c r="O582" s="98" t="s">
        <v>143</v>
      </c>
      <c r="P582" s="98">
        <v>100</v>
      </c>
      <c r="Q582" s="32" t="s">
        <v>144</v>
      </c>
      <c r="R582" s="98" t="s">
        <v>518</v>
      </c>
      <c r="S582" s="32" t="s">
        <v>519</v>
      </c>
      <c r="T582" s="98" t="s">
        <v>122</v>
      </c>
      <c r="U582" s="98" t="s">
        <v>332</v>
      </c>
      <c r="V582" s="98" t="s">
        <v>66</v>
      </c>
      <c r="W582" s="98"/>
      <c r="X582" s="78" t="s">
        <v>67</v>
      </c>
      <c r="Y582" s="98" t="s">
        <v>68</v>
      </c>
      <c r="Z582" s="32" t="s">
        <v>441</v>
      </c>
      <c r="AA582" s="32" t="s">
        <v>353</v>
      </c>
      <c r="AB582" s="78" t="s">
        <v>71</v>
      </c>
      <c r="AC582" s="98" t="s">
        <v>62</v>
      </c>
      <c r="AD582" s="98" t="s">
        <v>72</v>
      </c>
      <c r="AE582" s="65" t="s">
        <v>137</v>
      </c>
      <c r="AF582" s="39" t="s">
        <v>405</v>
      </c>
      <c r="AG582" s="98" t="s">
        <v>127</v>
      </c>
      <c r="AH582" s="115">
        <v>650</v>
      </c>
      <c r="AI582" s="117" t="s">
        <v>99</v>
      </c>
      <c r="AJ582" s="115" t="s">
        <v>100</v>
      </c>
      <c r="AK582" s="73">
        <v>1489</v>
      </c>
      <c r="AL582" s="116">
        <f t="shared" si="68"/>
        <v>519661000</v>
      </c>
      <c r="AM582" s="116">
        <v>29</v>
      </c>
      <c r="AN582" s="116">
        <v>9564596</v>
      </c>
      <c r="AO582" s="116">
        <v>107</v>
      </c>
      <c r="AP582" s="116">
        <v>35760400</v>
      </c>
      <c r="AQ582" s="116">
        <f t="shared" si="69"/>
        <v>628.15</v>
      </c>
      <c r="AR582" s="116">
        <f t="shared" si="70"/>
        <v>201686401.99999997</v>
      </c>
      <c r="AS582" s="118">
        <v>0.42186030893216919</v>
      </c>
    </row>
    <row r="583" spans="2:45" x14ac:dyDescent="0.3">
      <c r="B583" s="126" t="s">
        <v>713</v>
      </c>
      <c r="C583" s="98" t="str">
        <f t="shared" si="71"/>
        <v>DJ5C0</v>
      </c>
      <c r="D583" s="98" t="s">
        <v>55</v>
      </c>
      <c r="E583" s="98" t="str">
        <f t="shared" si="73"/>
        <v>M</v>
      </c>
      <c r="F583" s="98" t="str">
        <f t="shared" si="74"/>
        <v>DJ</v>
      </c>
      <c r="G583" s="98" t="s">
        <v>56</v>
      </c>
      <c r="H583" s="115" t="s">
        <v>714</v>
      </c>
      <c r="I583" s="98" t="s">
        <v>78</v>
      </c>
      <c r="J583" s="115">
        <f t="shared" si="72"/>
        <v>1</v>
      </c>
      <c r="K583" s="115">
        <v>1</v>
      </c>
      <c r="L583" s="121">
        <v>399000</v>
      </c>
      <c r="M583" s="78" t="s">
        <v>225</v>
      </c>
      <c r="N583" s="98" t="s">
        <v>517</v>
      </c>
      <c r="O583" s="98" t="s">
        <v>143</v>
      </c>
      <c r="P583" s="98">
        <v>100</v>
      </c>
      <c r="Q583" s="32" t="s">
        <v>144</v>
      </c>
      <c r="R583" s="98" t="s">
        <v>518</v>
      </c>
      <c r="S583" s="32" t="s">
        <v>519</v>
      </c>
      <c r="T583" s="98" t="s">
        <v>122</v>
      </c>
      <c r="U583" s="98" t="s">
        <v>332</v>
      </c>
      <c r="V583" s="98" t="s">
        <v>66</v>
      </c>
      <c r="W583" s="98"/>
      <c r="X583" s="78" t="s">
        <v>67</v>
      </c>
      <c r="Y583" s="98" t="s">
        <v>68</v>
      </c>
      <c r="Z583" s="32" t="s">
        <v>441</v>
      </c>
      <c r="AA583" s="32" t="s">
        <v>353</v>
      </c>
      <c r="AB583" s="78" t="s">
        <v>71</v>
      </c>
      <c r="AC583" s="98" t="s">
        <v>62</v>
      </c>
      <c r="AD583" s="98" t="s">
        <v>72</v>
      </c>
      <c r="AE583" s="65" t="s">
        <v>137</v>
      </c>
      <c r="AF583" s="39" t="s">
        <v>373</v>
      </c>
      <c r="AG583" s="98" t="s">
        <v>127</v>
      </c>
      <c r="AH583" s="115">
        <v>650</v>
      </c>
      <c r="AI583" s="117" t="s">
        <v>107</v>
      </c>
      <c r="AJ583" s="115" t="s">
        <v>108</v>
      </c>
      <c r="AK583" s="73">
        <v>1489</v>
      </c>
      <c r="AL583" s="116">
        <f t="shared" si="68"/>
        <v>594111000</v>
      </c>
      <c r="AM583" s="116">
        <v>48</v>
      </c>
      <c r="AN583" s="116">
        <v>18015400</v>
      </c>
      <c r="AO583" s="116">
        <v>134</v>
      </c>
      <c r="AP583" s="116">
        <v>51257010</v>
      </c>
      <c r="AQ583" s="116">
        <f t="shared" si="69"/>
        <v>580.70000000000005</v>
      </c>
      <c r="AR583" s="116">
        <f t="shared" si="70"/>
        <v>213163356</v>
      </c>
      <c r="AS583" s="118">
        <v>0.38999328408327738</v>
      </c>
    </row>
    <row r="584" spans="2:45" x14ac:dyDescent="0.3">
      <c r="B584" s="126" t="s">
        <v>713</v>
      </c>
      <c r="C584" s="98" t="str">
        <f t="shared" si="71"/>
        <v>DJ5C0</v>
      </c>
      <c r="D584" s="98" t="s">
        <v>55</v>
      </c>
      <c r="E584" s="98" t="str">
        <f t="shared" si="73"/>
        <v>M</v>
      </c>
      <c r="F584" s="98" t="str">
        <f t="shared" si="74"/>
        <v>DJ</v>
      </c>
      <c r="G584" s="98" t="s">
        <v>56</v>
      </c>
      <c r="H584" s="115" t="s">
        <v>714</v>
      </c>
      <c r="I584" s="98" t="s">
        <v>435</v>
      </c>
      <c r="J584" s="115" t="str">
        <f t="shared" si="72"/>
        <v/>
      </c>
      <c r="K584" s="115">
        <v>1</v>
      </c>
      <c r="L584" s="121">
        <v>399000</v>
      </c>
      <c r="M584" s="78" t="s">
        <v>225</v>
      </c>
      <c r="N584" s="98" t="s">
        <v>517</v>
      </c>
      <c r="O584" s="98" t="s">
        <v>143</v>
      </c>
      <c r="P584" s="98">
        <v>100</v>
      </c>
      <c r="Q584" s="32" t="s">
        <v>144</v>
      </c>
      <c r="R584" s="98" t="s">
        <v>518</v>
      </c>
      <c r="S584" s="32" t="s">
        <v>519</v>
      </c>
      <c r="T584" s="98" t="s">
        <v>122</v>
      </c>
      <c r="U584" s="98" t="s">
        <v>332</v>
      </c>
      <c r="V584" s="98" t="s">
        <v>66</v>
      </c>
      <c r="W584" s="98"/>
      <c r="X584" s="78" t="s">
        <v>67</v>
      </c>
      <c r="Y584" s="98" t="s">
        <v>68</v>
      </c>
      <c r="Z584" s="32" t="s">
        <v>441</v>
      </c>
      <c r="AA584" s="32" t="s">
        <v>353</v>
      </c>
      <c r="AB584" s="78" t="s">
        <v>71</v>
      </c>
      <c r="AC584" s="98" t="s">
        <v>62</v>
      </c>
      <c r="AD584" s="98" t="s">
        <v>72</v>
      </c>
      <c r="AE584" s="65" t="s">
        <v>137</v>
      </c>
      <c r="AF584" s="39" t="s">
        <v>373</v>
      </c>
      <c r="AG584" s="98" t="s">
        <v>127</v>
      </c>
      <c r="AH584" s="115">
        <v>650</v>
      </c>
      <c r="AI584" s="117" t="s">
        <v>107</v>
      </c>
      <c r="AJ584" s="115" t="s">
        <v>108</v>
      </c>
      <c r="AK584" s="73">
        <v>790</v>
      </c>
      <c r="AL584" s="116">
        <f t="shared" si="68"/>
        <v>315210000</v>
      </c>
      <c r="AM584" s="116">
        <v>21</v>
      </c>
      <c r="AN584" s="116">
        <v>7777540</v>
      </c>
      <c r="AO584" s="116">
        <v>48</v>
      </c>
      <c r="AP584" s="116">
        <v>17857165</v>
      </c>
      <c r="AQ584" s="116">
        <f t="shared" si="69"/>
        <v>285</v>
      </c>
      <c r="AR584" s="116">
        <f t="shared" si="70"/>
        <v>104617800</v>
      </c>
      <c r="AS584" s="118">
        <v>0.36075949367088606</v>
      </c>
    </row>
    <row r="585" spans="2:45" x14ac:dyDescent="0.3">
      <c r="B585" s="126" t="s">
        <v>715</v>
      </c>
      <c r="C585" s="98" t="str">
        <f t="shared" si="71"/>
        <v>DJ5O0</v>
      </c>
      <c r="D585" s="98" t="s">
        <v>55</v>
      </c>
      <c r="E585" s="98" t="str">
        <f t="shared" si="73"/>
        <v>M</v>
      </c>
      <c r="F585" s="98" t="str">
        <f t="shared" si="74"/>
        <v>DJ</v>
      </c>
      <c r="G585" s="98" t="s">
        <v>56</v>
      </c>
      <c r="H585" s="115" t="s">
        <v>716</v>
      </c>
      <c r="I585" s="98" t="s">
        <v>432</v>
      </c>
      <c r="J585" s="115">
        <f t="shared" si="72"/>
        <v>1</v>
      </c>
      <c r="K585" s="115">
        <v>1</v>
      </c>
      <c r="L585" s="121">
        <v>399000</v>
      </c>
      <c r="M585" s="78" t="s">
        <v>509</v>
      </c>
      <c r="N585" s="98" t="s">
        <v>691</v>
      </c>
      <c r="O585" s="98" t="s">
        <v>143</v>
      </c>
      <c r="P585" s="98">
        <v>100</v>
      </c>
      <c r="Q585" s="32" t="s">
        <v>62</v>
      </c>
      <c r="R585" s="98" t="s">
        <v>692</v>
      </c>
      <c r="S585" s="32" t="s">
        <v>693</v>
      </c>
      <c r="T585" s="98" t="s">
        <v>65</v>
      </c>
      <c r="U585" s="98"/>
      <c r="V585" s="98" t="s">
        <v>66</v>
      </c>
      <c r="W585" s="98"/>
      <c r="X585" s="78" t="s">
        <v>67</v>
      </c>
      <c r="Y585" s="98" t="s">
        <v>68</v>
      </c>
      <c r="Z585" s="32" t="s">
        <v>536</v>
      </c>
      <c r="AA585" s="32" t="s">
        <v>90</v>
      </c>
      <c r="AB585" s="78" t="s">
        <v>71</v>
      </c>
      <c r="AC585" s="98" t="s">
        <v>62</v>
      </c>
      <c r="AD585" s="98" t="s">
        <v>72</v>
      </c>
      <c r="AE585" s="65" t="s">
        <v>137</v>
      </c>
      <c r="AF585" s="39" t="s">
        <v>717</v>
      </c>
      <c r="AG585" s="98" t="s">
        <v>127</v>
      </c>
      <c r="AH585" s="115">
        <v>650</v>
      </c>
      <c r="AI585" s="117" t="s">
        <v>107</v>
      </c>
      <c r="AJ585" s="115" t="s">
        <v>108</v>
      </c>
      <c r="AK585" s="73">
        <v>800</v>
      </c>
      <c r="AL585" s="116">
        <f t="shared" si="68"/>
        <v>319200000</v>
      </c>
      <c r="AM585" s="116">
        <v>3</v>
      </c>
      <c r="AN585" s="116">
        <v>1137000</v>
      </c>
      <c r="AO585" s="116">
        <v>11</v>
      </c>
      <c r="AP585" s="116">
        <v>4289000</v>
      </c>
      <c r="AQ585" s="116">
        <f t="shared" si="69"/>
        <v>250.99999999999997</v>
      </c>
      <c r="AR585" s="116">
        <f t="shared" si="70"/>
        <v>92137079.999999985</v>
      </c>
      <c r="AS585" s="118">
        <v>0.31374999999999997</v>
      </c>
    </row>
    <row r="586" spans="2:45" x14ac:dyDescent="0.3">
      <c r="B586" s="126" t="s">
        <v>715</v>
      </c>
      <c r="C586" s="98" t="str">
        <f t="shared" si="71"/>
        <v>DJ5O0</v>
      </c>
      <c r="D586" s="98" t="s">
        <v>55</v>
      </c>
      <c r="E586" s="98" t="str">
        <f t="shared" si="73"/>
        <v>M</v>
      </c>
      <c r="F586" s="98" t="str">
        <f t="shared" si="74"/>
        <v>DJ</v>
      </c>
      <c r="G586" s="98" t="s">
        <v>56</v>
      </c>
      <c r="H586" s="115" t="s">
        <v>716</v>
      </c>
      <c r="I586" s="98" t="s">
        <v>78</v>
      </c>
      <c r="J586" s="115" t="str">
        <f t="shared" si="72"/>
        <v/>
      </c>
      <c r="K586" s="115">
        <v>1</v>
      </c>
      <c r="L586" s="121">
        <v>399000</v>
      </c>
      <c r="M586" s="78" t="s">
        <v>509</v>
      </c>
      <c r="N586" s="98" t="s">
        <v>691</v>
      </c>
      <c r="O586" s="98" t="s">
        <v>143</v>
      </c>
      <c r="P586" s="98">
        <v>100</v>
      </c>
      <c r="Q586" s="32" t="s">
        <v>62</v>
      </c>
      <c r="R586" s="98" t="s">
        <v>692</v>
      </c>
      <c r="S586" s="32" t="s">
        <v>693</v>
      </c>
      <c r="T586" s="98" t="s">
        <v>65</v>
      </c>
      <c r="U586" s="98"/>
      <c r="V586" s="98" t="s">
        <v>66</v>
      </c>
      <c r="W586" s="98"/>
      <c r="X586" s="78" t="s">
        <v>67</v>
      </c>
      <c r="Y586" s="98" t="s">
        <v>68</v>
      </c>
      <c r="Z586" s="32" t="s">
        <v>536</v>
      </c>
      <c r="AA586" s="32" t="s">
        <v>90</v>
      </c>
      <c r="AB586" s="78" t="s">
        <v>71</v>
      </c>
      <c r="AC586" s="98" t="s">
        <v>62</v>
      </c>
      <c r="AD586" s="98" t="s">
        <v>72</v>
      </c>
      <c r="AE586" s="65" t="s">
        <v>137</v>
      </c>
      <c r="AF586" s="39" t="s">
        <v>717</v>
      </c>
      <c r="AG586" s="98" t="s">
        <v>127</v>
      </c>
      <c r="AH586" s="115">
        <v>650</v>
      </c>
      <c r="AI586" s="117" t="s">
        <v>107</v>
      </c>
      <c r="AJ586" s="115" t="s">
        <v>108</v>
      </c>
      <c r="AK586" s="73">
        <v>1498</v>
      </c>
      <c r="AL586" s="116">
        <f t="shared" si="68"/>
        <v>597702000</v>
      </c>
      <c r="AM586" s="116">
        <v>20</v>
      </c>
      <c r="AN586" s="116">
        <v>7508365</v>
      </c>
      <c r="AO586" s="116">
        <v>46</v>
      </c>
      <c r="AP586" s="116">
        <v>17532704</v>
      </c>
      <c r="AQ586" s="116">
        <f t="shared" si="69"/>
        <v>495.4</v>
      </c>
      <c r="AR586" s="116">
        <f t="shared" si="70"/>
        <v>181851431.99999997</v>
      </c>
      <c r="AS586" s="118">
        <v>0.33070761014686245</v>
      </c>
    </row>
    <row r="587" spans="2:45" x14ac:dyDescent="0.3">
      <c r="B587" s="126" t="s">
        <v>718</v>
      </c>
      <c r="C587" s="98" t="str">
        <f t="shared" si="71"/>
        <v>DV710</v>
      </c>
      <c r="D587" s="98" t="s">
        <v>55</v>
      </c>
      <c r="E587" s="98" t="str">
        <f t="shared" si="73"/>
        <v>M</v>
      </c>
      <c r="F587" s="98" t="str">
        <f t="shared" si="74"/>
        <v>DV</v>
      </c>
      <c r="G587" s="98" t="s">
        <v>56</v>
      </c>
      <c r="H587" s="115" t="s">
        <v>719</v>
      </c>
      <c r="I587" s="98" t="s">
        <v>385</v>
      </c>
      <c r="J587" s="115">
        <f t="shared" si="72"/>
        <v>1</v>
      </c>
      <c r="K587" s="115">
        <v>1</v>
      </c>
      <c r="L587" s="121">
        <v>129000</v>
      </c>
      <c r="M587" s="78" t="s">
        <v>83</v>
      </c>
      <c r="N587" s="98" t="s">
        <v>617</v>
      </c>
      <c r="O587" s="98" t="s">
        <v>485</v>
      </c>
      <c r="P587" s="98">
        <v>100</v>
      </c>
      <c r="Q587" s="32" t="s">
        <v>85</v>
      </c>
      <c r="R587" s="98" t="s">
        <v>86</v>
      </c>
      <c r="S587" s="32" t="s">
        <v>87</v>
      </c>
      <c r="T587" s="98" t="s">
        <v>65</v>
      </c>
      <c r="U587" s="98"/>
      <c r="V587" s="98" t="s">
        <v>66</v>
      </c>
      <c r="W587" s="98"/>
      <c r="X587" s="78" t="s">
        <v>67</v>
      </c>
      <c r="Y587" s="98" t="s">
        <v>88</v>
      </c>
      <c r="Z587" s="32" t="s">
        <v>125</v>
      </c>
      <c r="AA587" s="32" t="s">
        <v>90</v>
      </c>
      <c r="AB587" s="78" t="s">
        <v>91</v>
      </c>
      <c r="AC587" s="69" t="s">
        <v>92</v>
      </c>
      <c r="AD587" s="69" t="s">
        <v>506</v>
      </c>
      <c r="AE587" s="65" t="s">
        <v>137</v>
      </c>
      <c r="AF587" s="39" t="s">
        <v>720</v>
      </c>
      <c r="AG587" s="98" t="s">
        <v>240</v>
      </c>
      <c r="AH587" s="115">
        <v>650</v>
      </c>
      <c r="AI587" s="117" t="s">
        <v>450</v>
      </c>
      <c r="AJ587" s="115" t="s">
        <v>241</v>
      </c>
      <c r="AK587" s="73">
        <v>1305</v>
      </c>
      <c r="AL587" s="116">
        <f t="shared" si="68"/>
        <v>168345000</v>
      </c>
      <c r="AM587" s="116">
        <v>21</v>
      </c>
      <c r="AN587" s="116">
        <v>2504638</v>
      </c>
      <c r="AO587" s="116">
        <v>243</v>
      </c>
      <c r="AP587" s="116">
        <v>28968183</v>
      </c>
      <c r="AQ587" s="116">
        <f t="shared" si="69"/>
        <v>686.7</v>
      </c>
      <c r="AR587" s="116">
        <f t="shared" si="70"/>
        <v>81497556</v>
      </c>
      <c r="AS587" s="118">
        <v>0.52620689655172415</v>
      </c>
    </row>
    <row r="588" spans="2:45" x14ac:dyDescent="0.3">
      <c r="B588" s="126" t="s">
        <v>718</v>
      </c>
      <c r="C588" s="98" t="str">
        <f t="shared" si="71"/>
        <v>DV710</v>
      </c>
      <c r="D588" s="98" t="s">
        <v>55</v>
      </c>
      <c r="E588" s="98" t="str">
        <f t="shared" si="73"/>
        <v>M</v>
      </c>
      <c r="F588" s="98" t="str">
        <f t="shared" si="74"/>
        <v>DV</v>
      </c>
      <c r="G588" s="98" t="s">
        <v>56</v>
      </c>
      <c r="H588" s="115" t="s">
        <v>719</v>
      </c>
      <c r="I588" s="98" t="s">
        <v>78</v>
      </c>
      <c r="J588" s="115" t="str">
        <f t="shared" si="72"/>
        <v/>
      </c>
      <c r="K588" s="115">
        <v>1</v>
      </c>
      <c r="L588" s="121">
        <v>129000</v>
      </c>
      <c r="M588" s="78" t="s">
        <v>83</v>
      </c>
      <c r="N588" s="98" t="s">
        <v>617</v>
      </c>
      <c r="O588" s="98" t="s">
        <v>485</v>
      </c>
      <c r="P588" s="98">
        <v>100</v>
      </c>
      <c r="Q588" s="32" t="s">
        <v>85</v>
      </c>
      <c r="R588" s="98" t="s">
        <v>86</v>
      </c>
      <c r="S588" s="32" t="s">
        <v>87</v>
      </c>
      <c r="T588" s="98" t="s">
        <v>65</v>
      </c>
      <c r="U588" s="98"/>
      <c r="V588" s="98" t="s">
        <v>66</v>
      </c>
      <c r="W588" s="98"/>
      <c r="X588" s="78" t="s">
        <v>67</v>
      </c>
      <c r="Y588" s="98" t="s">
        <v>88</v>
      </c>
      <c r="Z588" s="32" t="s">
        <v>125</v>
      </c>
      <c r="AA588" s="32" t="s">
        <v>90</v>
      </c>
      <c r="AB588" s="78" t="s">
        <v>91</v>
      </c>
      <c r="AC588" s="69" t="s">
        <v>92</v>
      </c>
      <c r="AD588" s="69" t="s">
        <v>506</v>
      </c>
      <c r="AE588" s="65" t="s">
        <v>137</v>
      </c>
      <c r="AF588" s="39" t="s">
        <v>720</v>
      </c>
      <c r="AG588" s="98" t="s">
        <v>240</v>
      </c>
      <c r="AH588" s="115">
        <v>650</v>
      </c>
      <c r="AI588" s="117" t="s">
        <v>450</v>
      </c>
      <c r="AJ588" s="115" t="s">
        <v>241</v>
      </c>
      <c r="AK588" s="73">
        <v>5990</v>
      </c>
      <c r="AL588" s="116">
        <f t="shared" si="68"/>
        <v>772710000</v>
      </c>
      <c r="AM588" s="116">
        <v>217</v>
      </c>
      <c r="AN588" s="116">
        <v>24649773</v>
      </c>
      <c r="AO588" s="116">
        <v>1534</v>
      </c>
      <c r="AP588" s="116">
        <v>176975385</v>
      </c>
      <c r="AQ588" s="116">
        <f t="shared" si="69"/>
        <v>3570.6</v>
      </c>
      <c r="AR588" s="116">
        <f t="shared" si="70"/>
        <v>423758808</v>
      </c>
      <c r="AS588" s="118">
        <v>0.59609348914858096</v>
      </c>
    </row>
    <row r="589" spans="2:45" x14ac:dyDescent="0.3">
      <c r="B589" s="126" t="s">
        <v>721</v>
      </c>
      <c r="C589" s="98" t="str">
        <f t="shared" si="71"/>
        <v>DV720</v>
      </c>
      <c r="D589" s="98" t="s">
        <v>55</v>
      </c>
      <c r="E589" s="98" t="str">
        <f t="shared" si="73"/>
        <v>W</v>
      </c>
      <c r="F589" s="98" t="str">
        <f t="shared" si="74"/>
        <v>DV</v>
      </c>
      <c r="G589" s="98" t="s">
        <v>56</v>
      </c>
      <c r="H589" s="115" t="s">
        <v>722</v>
      </c>
      <c r="I589" s="98" t="s">
        <v>385</v>
      </c>
      <c r="J589" s="115">
        <f t="shared" si="72"/>
        <v>1</v>
      </c>
      <c r="K589" s="115">
        <v>1</v>
      </c>
      <c r="L589" s="121">
        <v>129000</v>
      </c>
      <c r="M589" s="78" t="s">
        <v>83</v>
      </c>
      <c r="N589" s="98" t="s">
        <v>617</v>
      </c>
      <c r="O589" s="98" t="s">
        <v>485</v>
      </c>
      <c r="P589" s="98">
        <v>100</v>
      </c>
      <c r="Q589" s="32" t="s">
        <v>85</v>
      </c>
      <c r="R589" s="98" t="s">
        <v>86</v>
      </c>
      <c r="S589" s="32" t="s">
        <v>87</v>
      </c>
      <c r="T589" s="98" t="s">
        <v>65</v>
      </c>
      <c r="U589" s="98"/>
      <c r="V589" s="98" t="s">
        <v>66</v>
      </c>
      <c r="W589" s="98"/>
      <c r="X589" s="78" t="s">
        <v>67</v>
      </c>
      <c r="Y589" s="98" t="s">
        <v>88</v>
      </c>
      <c r="Z589" s="32" t="s">
        <v>125</v>
      </c>
      <c r="AA589" s="32" t="s">
        <v>90</v>
      </c>
      <c r="AB589" s="78" t="s">
        <v>91</v>
      </c>
      <c r="AC589" s="69" t="s">
        <v>92</v>
      </c>
      <c r="AD589" s="69" t="s">
        <v>506</v>
      </c>
      <c r="AE589" s="65" t="s">
        <v>137</v>
      </c>
      <c r="AF589" s="39" t="s">
        <v>723</v>
      </c>
      <c r="AG589" s="98" t="s">
        <v>240</v>
      </c>
      <c r="AH589" s="115">
        <v>650</v>
      </c>
      <c r="AI589" s="117" t="s">
        <v>450</v>
      </c>
      <c r="AJ589" s="115" t="s">
        <v>241</v>
      </c>
      <c r="AK589" s="73">
        <v>1502</v>
      </c>
      <c r="AL589" s="116">
        <f t="shared" si="68"/>
        <v>193758000</v>
      </c>
      <c r="AM589" s="116">
        <v>40</v>
      </c>
      <c r="AN589" s="116">
        <v>4744806</v>
      </c>
      <c r="AO589" s="116">
        <v>515</v>
      </c>
      <c r="AP589" s="116">
        <v>61396461</v>
      </c>
      <c r="AQ589" s="116">
        <f t="shared" si="69"/>
        <v>1025.68</v>
      </c>
      <c r="AR589" s="116">
        <f t="shared" si="70"/>
        <v>121727702.40000002</v>
      </c>
      <c r="AS589" s="118">
        <v>0.6828761651131825</v>
      </c>
    </row>
    <row r="590" spans="2:45" x14ac:dyDescent="0.3">
      <c r="B590" s="126" t="s">
        <v>721</v>
      </c>
      <c r="C590" s="98" t="str">
        <f t="shared" si="71"/>
        <v>DV720</v>
      </c>
      <c r="D590" s="98" t="s">
        <v>55</v>
      </c>
      <c r="E590" s="98" t="str">
        <f t="shared" si="73"/>
        <v>W</v>
      </c>
      <c r="F590" s="98" t="str">
        <f t="shared" si="74"/>
        <v>DV</v>
      </c>
      <c r="G590" s="98" t="s">
        <v>56</v>
      </c>
      <c r="H590" s="115" t="s">
        <v>722</v>
      </c>
      <c r="I590" s="98" t="s">
        <v>78</v>
      </c>
      <c r="J590" s="115" t="str">
        <f t="shared" si="72"/>
        <v/>
      </c>
      <c r="K590" s="115">
        <v>1</v>
      </c>
      <c r="L590" s="121">
        <v>129000</v>
      </c>
      <c r="M590" s="78" t="s">
        <v>83</v>
      </c>
      <c r="N590" s="98" t="s">
        <v>617</v>
      </c>
      <c r="O590" s="98" t="s">
        <v>485</v>
      </c>
      <c r="P590" s="98">
        <v>100</v>
      </c>
      <c r="Q590" s="32" t="s">
        <v>85</v>
      </c>
      <c r="R590" s="98" t="s">
        <v>86</v>
      </c>
      <c r="S590" s="32" t="s">
        <v>87</v>
      </c>
      <c r="T590" s="98" t="s">
        <v>65</v>
      </c>
      <c r="U590" s="98"/>
      <c r="V590" s="98" t="s">
        <v>66</v>
      </c>
      <c r="W590" s="98"/>
      <c r="X590" s="78" t="s">
        <v>67</v>
      </c>
      <c r="Y590" s="98" t="s">
        <v>88</v>
      </c>
      <c r="Z590" s="32" t="s">
        <v>125</v>
      </c>
      <c r="AA590" s="32" t="s">
        <v>90</v>
      </c>
      <c r="AB590" s="78" t="s">
        <v>91</v>
      </c>
      <c r="AC590" s="69" t="s">
        <v>92</v>
      </c>
      <c r="AD590" s="69" t="s">
        <v>506</v>
      </c>
      <c r="AE590" s="65" t="s">
        <v>137</v>
      </c>
      <c r="AF590" s="39" t="s">
        <v>723</v>
      </c>
      <c r="AG590" s="98" t="s">
        <v>240</v>
      </c>
      <c r="AH590" s="115">
        <v>650</v>
      </c>
      <c r="AI590" s="117" t="s">
        <v>450</v>
      </c>
      <c r="AJ590" s="115" t="s">
        <v>241</v>
      </c>
      <c r="AK590" s="73">
        <v>2701</v>
      </c>
      <c r="AL590" s="116">
        <f t="shared" si="68"/>
        <v>348429000</v>
      </c>
      <c r="AM590" s="116">
        <v>120</v>
      </c>
      <c r="AN590" s="116">
        <v>14219841</v>
      </c>
      <c r="AO590" s="116">
        <v>855</v>
      </c>
      <c r="AP590" s="116">
        <v>100755861</v>
      </c>
      <c r="AQ590" s="116">
        <f t="shared" si="69"/>
        <v>1773.34</v>
      </c>
      <c r="AR590" s="116">
        <f t="shared" si="70"/>
        <v>210459991.20000002</v>
      </c>
      <c r="AS590" s="118">
        <v>0.65654942613846723</v>
      </c>
    </row>
    <row r="591" spans="2:45" x14ac:dyDescent="0.3">
      <c r="B591" s="126" t="s">
        <v>724</v>
      </c>
      <c r="C591" s="98" t="str">
        <f t="shared" si="71"/>
        <v>DV730</v>
      </c>
      <c r="D591" s="98" t="s">
        <v>55</v>
      </c>
      <c r="E591" s="98" t="str">
        <f t="shared" si="73"/>
        <v>M</v>
      </c>
      <c r="F591" s="98" t="str">
        <f t="shared" si="74"/>
        <v>DV</v>
      </c>
      <c r="G591" s="98" t="s">
        <v>56</v>
      </c>
      <c r="H591" s="115" t="s">
        <v>725</v>
      </c>
      <c r="I591" s="98" t="s">
        <v>78</v>
      </c>
      <c r="J591" s="115">
        <f t="shared" si="72"/>
        <v>1</v>
      </c>
      <c r="K591" s="115">
        <v>1</v>
      </c>
      <c r="L591" s="121">
        <v>149000</v>
      </c>
      <c r="M591" s="78" t="s">
        <v>83</v>
      </c>
      <c r="N591" s="98" t="s">
        <v>623</v>
      </c>
      <c r="O591" s="98" t="s">
        <v>485</v>
      </c>
      <c r="P591" s="98">
        <v>100</v>
      </c>
      <c r="Q591" s="32" t="s">
        <v>85</v>
      </c>
      <c r="R591" s="98" t="s">
        <v>86</v>
      </c>
      <c r="S591" s="32" t="s">
        <v>87</v>
      </c>
      <c r="T591" s="98" t="s">
        <v>65</v>
      </c>
      <c r="U591" s="98"/>
      <c r="V591" s="98" t="s">
        <v>66</v>
      </c>
      <c r="W591" s="98"/>
      <c r="X591" s="78" t="s">
        <v>67</v>
      </c>
      <c r="Y591" s="98" t="s">
        <v>88</v>
      </c>
      <c r="Z591" s="32" t="s">
        <v>125</v>
      </c>
      <c r="AA591" s="32" t="s">
        <v>90</v>
      </c>
      <c r="AB591" s="78" t="s">
        <v>91</v>
      </c>
      <c r="AC591" s="69" t="s">
        <v>92</v>
      </c>
      <c r="AD591" s="69" t="s">
        <v>506</v>
      </c>
      <c r="AE591" s="65" t="s">
        <v>137</v>
      </c>
      <c r="AF591" s="39" t="s">
        <v>535</v>
      </c>
      <c r="AG591" s="98" t="s">
        <v>75</v>
      </c>
      <c r="AH591" s="115">
        <v>650</v>
      </c>
      <c r="AI591" s="117" t="s">
        <v>450</v>
      </c>
      <c r="AJ591" s="115" t="s">
        <v>241</v>
      </c>
      <c r="AK591" s="73">
        <v>5470</v>
      </c>
      <c r="AL591" s="116">
        <f t="shared" si="68"/>
        <v>815030000</v>
      </c>
      <c r="AM591" s="116">
        <v>154</v>
      </c>
      <c r="AN591" s="116">
        <v>21232918</v>
      </c>
      <c r="AO591" s="116">
        <v>1593</v>
      </c>
      <c r="AP591" s="116">
        <v>212135134</v>
      </c>
      <c r="AQ591" s="116">
        <f t="shared" si="69"/>
        <v>3452.8</v>
      </c>
      <c r="AR591" s="116">
        <f t="shared" si="70"/>
        <v>473309824.00000006</v>
      </c>
      <c r="AS591" s="118">
        <v>0.63122486288848267</v>
      </c>
    </row>
    <row r="592" spans="2:45" x14ac:dyDescent="0.3">
      <c r="B592" s="126" t="s">
        <v>724</v>
      </c>
      <c r="C592" s="98" t="str">
        <f t="shared" si="71"/>
        <v>DV730</v>
      </c>
      <c r="D592" s="98" t="s">
        <v>55</v>
      </c>
      <c r="E592" s="98" t="str">
        <f t="shared" si="73"/>
        <v>M</v>
      </c>
      <c r="F592" s="98" t="str">
        <f t="shared" si="74"/>
        <v>DV</v>
      </c>
      <c r="G592" s="98" t="s">
        <v>56</v>
      </c>
      <c r="H592" s="115" t="s">
        <v>725</v>
      </c>
      <c r="I592" s="98" t="s">
        <v>215</v>
      </c>
      <c r="J592" s="115" t="str">
        <f t="shared" si="72"/>
        <v/>
      </c>
      <c r="K592" s="115">
        <v>1</v>
      </c>
      <c r="L592" s="121">
        <v>149000</v>
      </c>
      <c r="M592" s="78" t="s">
        <v>83</v>
      </c>
      <c r="N592" s="98" t="s">
        <v>623</v>
      </c>
      <c r="O592" s="98" t="s">
        <v>485</v>
      </c>
      <c r="P592" s="98">
        <v>100</v>
      </c>
      <c r="Q592" s="32" t="s">
        <v>85</v>
      </c>
      <c r="R592" s="98" t="s">
        <v>86</v>
      </c>
      <c r="S592" s="32" t="s">
        <v>87</v>
      </c>
      <c r="T592" s="98" t="s">
        <v>65</v>
      </c>
      <c r="U592" s="98"/>
      <c r="V592" s="98" t="s">
        <v>66</v>
      </c>
      <c r="W592" s="98"/>
      <c r="X592" s="78" t="s">
        <v>67</v>
      </c>
      <c r="Y592" s="98" t="s">
        <v>88</v>
      </c>
      <c r="Z592" s="32" t="s">
        <v>125</v>
      </c>
      <c r="AA592" s="32" t="s">
        <v>90</v>
      </c>
      <c r="AB592" s="78" t="s">
        <v>91</v>
      </c>
      <c r="AC592" s="69" t="s">
        <v>92</v>
      </c>
      <c r="AD592" s="69" t="s">
        <v>506</v>
      </c>
      <c r="AE592" s="65" t="s">
        <v>137</v>
      </c>
      <c r="AF592" s="39" t="s">
        <v>535</v>
      </c>
      <c r="AG592" s="98" t="s">
        <v>75</v>
      </c>
      <c r="AH592" s="115">
        <v>650</v>
      </c>
      <c r="AI592" s="117" t="s">
        <v>450</v>
      </c>
      <c r="AJ592" s="115" t="s">
        <v>241</v>
      </c>
      <c r="AK592" s="73">
        <v>1985</v>
      </c>
      <c r="AL592" s="116">
        <f t="shared" si="68"/>
        <v>295765000</v>
      </c>
      <c r="AM592" s="116">
        <v>39</v>
      </c>
      <c r="AN592" s="116">
        <v>5418456</v>
      </c>
      <c r="AO592" s="116">
        <v>421</v>
      </c>
      <c r="AP592" s="116">
        <v>59048846</v>
      </c>
      <c r="AQ592" s="116">
        <f t="shared" si="69"/>
        <v>1095.9000000000001</v>
      </c>
      <c r="AR592" s="116">
        <f t="shared" si="70"/>
        <v>150225972</v>
      </c>
      <c r="AS592" s="118">
        <v>0.55209068010075568</v>
      </c>
    </row>
    <row r="593" spans="2:45" x14ac:dyDescent="0.3">
      <c r="B593" s="126" t="s">
        <v>726</v>
      </c>
      <c r="C593" s="98" t="str">
        <f t="shared" si="71"/>
        <v>DV740</v>
      </c>
      <c r="D593" s="98" t="s">
        <v>55</v>
      </c>
      <c r="E593" s="98" t="str">
        <f t="shared" si="73"/>
        <v>W</v>
      </c>
      <c r="F593" s="98" t="str">
        <f t="shared" si="74"/>
        <v>DV</v>
      </c>
      <c r="G593" s="98" t="s">
        <v>56</v>
      </c>
      <c r="H593" s="115" t="s">
        <v>727</v>
      </c>
      <c r="I593" s="98" t="s">
        <v>78</v>
      </c>
      <c r="J593" s="115">
        <f t="shared" si="72"/>
        <v>1</v>
      </c>
      <c r="K593" s="115">
        <v>1</v>
      </c>
      <c r="L593" s="121">
        <v>149000</v>
      </c>
      <c r="M593" s="78" t="s">
        <v>83</v>
      </c>
      <c r="N593" s="98" t="s">
        <v>626</v>
      </c>
      <c r="O593" s="98" t="s">
        <v>485</v>
      </c>
      <c r="P593" s="98">
        <v>100</v>
      </c>
      <c r="Q593" s="32" t="s">
        <v>85</v>
      </c>
      <c r="R593" s="98" t="s">
        <v>86</v>
      </c>
      <c r="S593" s="32" t="s">
        <v>87</v>
      </c>
      <c r="T593" s="98" t="s">
        <v>65</v>
      </c>
      <c r="U593" s="98"/>
      <c r="V593" s="98" t="s">
        <v>66</v>
      </c>
      <c r="W593" s="98"/>
      <c r="X593" s="78" t="s">
        <v>67</v>
      </c>
      <c r="Y593" s="98" t="s">
        <v>88</v>
      </c>
      <c r="Z593" s="32" t="s">
        <v>125</v>
      </c>
      <c r="AA593" s="32" t="s">
        <v>90</v>
      </c>
      <c r="AB593" s="78" t="s">
        <v>91</v>
      </c>
      <c r="AC593" s="69" t="s">
        <v>92</v>
      </c>
      <c r="AD593" s="69" t="s">
        <v>506</v>
      </c>
      <c r="AE593" s="65" t="s">
        <v>137</v>
      </c>
      <c r="AF593" s="39" t="s">
        <v>458</v>
      </c>
      <c r="AG593" s="98" t="s">
        <v>75</v>
      </c>
      <c r="AH593" s="115">
        <v>650</v>
      </c>
      <c r="AI593" s="117" t="s">
        <v>450</v>
      </c>
      <c r="AJ593" s="115" t="s">
        <v>241</v>
      </c>
      <c r="AK593" s="73">
        <v>3496</v>
      </c>
      <c r="AL593" s="116">
        <f t="shared" si="68"/>
        <v>520904000</v>
      </c>
      <c r="AM593" s="116">
        <v>124</v>
      </c>
      <c r="AN593" s="116">
        <v>17168077</v>
      </c>
      <c r="AO593" s="116">
        <v>1339</v>
      </c>
      <c r="AP593" s="116">
        <v>182126628</v>
      </c>
      <c r="AQ593" s="116">
        <f t="shared" si="69"/>
        <v>2527.64</v>
      </c>
      <c r="AR593" s="116">
        <f t="shared" si="70"/>
        <v>346488891.19999999</v>
      </c>
      <c r="AS593" s="118">
        <v>0.7230091533180778</v>
      </c>
    </row>
    <row r="594" spans="2:45" x14ac:dyDescent="0.3">
      <c r="B594" s="126" t="s">
        <v>726</v>
      </c>
      <c r="C594" s="98" t="str">
        <f t="shared" si="71"/>
        <v>DV740</v>
      </c>
      <c r="D594" s="98" t="s">
        <v>55</v>
      </c>
      <c r="E594" s="98" t="str">
        <f t="shared" si="73"/>
        <v>W</v>
      </c>
      <c r="F594" s="98" t="str">
        <f t="shared" si="74"/>
        <v>DV</v>
      </c>
      <c r="G594" s="98" t="s">
        <v>56</v>
      </c>
      <c r="H594" s="115" t="s">
        <v>727</v>
      </c>
      <c r="I594" s="98" t="s">
        <v>260</v>
      </c>
      <c r="J594" s="115" t="str">
        <f t="shared" si="72"/>
        <v/>
      </c>
      <c r="K594" s="115">
        <v>1</v>
      </c>
      <c r="L594" s="121">
        <v>149000</v>
      </c>
      <c r="M594" s="78" t="s">
        <v>83</v>
      </c>
      <c r="N594" s="98" t="s">
        <v>626</v>
      </c>
      <c r="O594" s="98" t="s">
        <v>485</v>
      </c>
      <c r="P594" s="98">
        <v>100</v>
      </c>
      <c r="Q594" s="32" t="s">
        <v>85</v>
      </c>
      <c r="R594" s="98" t="s">
        <v>86</v>
      </c>
      <c r="S594" s="32" t="s">
        <v>87</v>
      </c>
      <c r="T594" s="98" t="s">
        <v>65</v>
      </c>
      <c r="U594" s="98"/>
      <c r="V594" s="98" t="s">
        <v>66</v>
      </c>
      <c r="W594" s="98"/>
      <c r="X594" s="78" t="s">
        <v>67</v>
      </c>
      <c r="Y594" s="98" t="s">
        <v>88</v>
      </c>
      <c r="Z594" s="32" t="s">
        <v>125</v>
      </c>
      <c r="AA594" s="32" t="s">
        <v>90</v>
      </c>
      <c r="AB594" s="78" t="s">
        <v>91</v>
      </c>
      <c r="AC594" s="69" t="s">
        <v>92</v>
      </c>
      <c r="AD594" s="69" t="s">
        <v>506</v>
      </c>
      <c r="AE594" s="65" t="s">
        <v>137</v>
      </c>
      <c r="AF594" s="39" t="s">
        <v>458</v>
      </c>
      <c r="AG594" s="98" t="s">
        <v>75</v>
      </c>
      <c r="AH594" s="115">
        <v>650</v>
      </c>
      <c r="AI594" s="117" t="s">
        <v>450</v>
      </c>
      <c r="AJ594" s="115" t="s">
        <v>241</v>
      </c>
      <c r="AK594" s="73">
        <v>2095</v>
      </c>
      <c r="AL594" s="116">
        <f t="shared" si="68"/>
        <v>312155000</v>
      </c>
      <c r="AM594" s="116">
        <v>44</v>
      </c>
      <c r="AN594" s="116">
        <v>6141871</v>
      </c>
      <c r="AO594" s="116">
        <v>448</v>
      </c>
      <c r="AP594" s="116">
        <v>62518166</v>
      </c>
      <c r="AQ594" s="116">
        <f t="shared" si="69"/>
        <v>1160.3</v>
      </c>
      <c r="AR594" s="116">
        <f t="shared" si="70"/>
        <v>159053924</v>
      </c>
      <c r="AS594" s="118">
        <v>0.55384248210023868</v>
      </c>
    </row>
    <row r="595" spans="2:45" x14ac:dyDescent="0.3">
      <c r="B595" s="126" t="s">
        <v>728</v>
      </c>
      <c r="C595" s="98" t="str">
        <f t="shared" si="71"/>
        <v>DV750</v>
      </c>
      <c r="D595" s="98" t="s">
        <v>55</v>
      </c>
      <c r="E595" s="98" t="str">
        <f t="shared" si="73"/>
        <v>X</v>
      </c>
      <c r="F595" s="98" t="str">
        <f t="shared" si="74"/>
        <v>DV</v>
      </c>
      <c r="G595" s="98" t="s">
        <v>56</v>
      </c>
      <c r="H595" s="115" t="s">
        <v>729</v>
      </c>
      <c r="I595" s="98" t="s">
        <v>140</v>
      </c>
      <c r="J595" s="115">
        <f t="shared" si="72"/>
        <v>1</v>
      </c>
      <c r="K595" s="115">
        <v>1</v>
      </c>
      <c r="L595" s="121">
        <v>199000</v>
      </c>
      <c r="M595" s="78" t="s">
        <v>217</v>
      </c>
      <c r="N595" s="98" t="s">
        <v>218</v>
      </c>
      <c r="O595" s="98" t="s">
        <v>485</v>
      </c>
      <c r="P595" s="98">
        <v>100</v>
      </c>
      <c r="Q595" s="32" t="s">
        <v>219</v>
      </c>
      <c r="R595" s="98" t="s">
        <v>220</v>
      </c>
      <c r="S595" s="32" t="s">
        <v>221</v>
      </c>
      <c r="T595" s="98" t="s">
        <v>65</v>
      </c>
      <c r="U595" s="98"/>
      <c r="V595" s="98" t="s">
        <v>520</v>
      </c>
      <c r="W595" s="98"/>
      <c r="X595" s="78" t="s">
        <v>67</v>
      </c>
      <c r="Y595" s="98" t="s">
        <v>68</v>
      </c>
      <c r="Z595" s="32" t="s">
        <v>69</v>
      </c>
      <c r="AA595" s="32" t="s">
        <v>70</v>
      </c>
      <c r="AB595" s="78" t="s">
        <v>71</v>
      </c>
      <c r="AC595" s="98" t="s">
        <v>85</v>
      </c>
      <c r="AD595" s="98" t="s">
        <v>208</v>
      </c>
      <c r="AE595" s="65" t="s">
        <v>137</v>
      </c>
      <c r="AF595" s="39" t="s">
        <v>191</v>
      </c>
      <c r="AG595" s="98" t="s">
        <v>127</v>
      </c>
      <c r="AH595" s="115">
        <v>650</v>
      </c>
      <c r="AI595" s="117" t="s">
        <v>450</v>
      </c>
      <c r="AJ595" s="115" t="s">
        <v>241</v>
      </c>
      <c r="AK595" s="73">
        <v>1971</v>
      </c>
      <c r="AL595" s="116">
        <f t="shared" si="68"/>
        <v>392229000</v>
      </c>
      <c r="AM595" s="116">
        <v>74</v>
      </c>
      <c r="AN595" s="116">
        <v>13868825</v>
      </c>
      <c r="AO595" s="116">
        <v>610</v>
      </c>
      <c r="AP595" s="116">
        <v>113186656</v>
      </c>
      <c r="AQ595" s="116">
        <f t="shared" si="69"/>
        <v>1280.1399999999999</v>
      </c>
      <c r="AR595" s="116">
        <f t="shared" si="70"/>
        <v>234368031.19999999</v>
      </c>
      <c r="AS595" s="118">
        <v>0.64948756976154232</v>
      </c>
    </row>
    <row r="596" spans="2:45" x14ac:dyDescent="0.3">
      <c r="B596" s="126" t="s">
        <v>728</v>
      </c>
      <c r="C596" s="98" t="str">
        <f t="shared" si="71"/>
        <v>DV750</v>
      </c>
      <c r="D596" s="98" t="s">
        <v>55</v>
      </c>
      <c r="E596" s="98" t="str">
        <f t="shared" si="73"/>
        <v>X</v>
      </c>
      <c r="F596" s="98" t="str">
        <f t="shared" si="74"/>
        <v>DV</v>
      </c>
      <c r="G596" s="98" t="s">
        <v>56</v>
      </c>
      <c r="H596" s="115" t="s">
        <v>729</v>
      </c>
      <c r="I596" s="98" t="s">
        <v>542</v>
      </c>
      <c r="J596" s="115" t="str">
        <f t="shared" si="72"/>
        <v/>
      </c>
      <c r="K596" s="115">
        <v>1</v>
      </c>
      <c r="L596" s="121">
        <v>199000</v>
      </c>
      <c r="M596" s="78" t="s">
        <v>217</v>
      </c>
      <c r="N596" s="98" t="s">
        <v>218</v>
      </c>
      <c r="O596" s="98" t="s">
        <v>485</v>
      </c>
      <c r="P596" s="98">
        <v>100</v>
      </c>
      <c r="Q596" s="32" t="s">
        <v>219</v>
      </c>
      <c r="R596" s="98" t="s">
        <v>220</v>
      </c>
      <c r="S596" s="32" t="s">
        <v>221</v>
      </c>
      <c r="T596" s="98" t="s">
        <v>65</v>
      </c>
      <c r="U596" s="98"/>
      <c r="V596" s="98" t="s">
        <v>520</v>
      </c>
      <c r="W596" s="98"/>
      <c r="X596" s="78" t="s">
        <v>67</v>
      </c>
      <c r="Y596" s="98" t="s">
        <v>68</v>
      </c>
      <c r="Z596" s="32" t="s">
        <v>69</v>
      </c>
      <c r="AA596" s="32" t="s">
        <v>70</v>
      </c>
      <c r="AB596" s="78" t="s">
        <v>71</v>
      </c>
      <c r="AC596" s="98" t="s">
        <v>85</v>
      </c>
      <c r="AD596" s="98" t="s">
        <v>208</v>
      </c>
      <c r="AE596" s="65" t="s">
        <v>137</v>
      </c>
      <c r="AF596" s="39" t="s">
        <v>191</v>
      </c>
      <c r="AG596" s="98" t="s">
        <v>127</v>
      </c>
      <c r="AH596" s="115">
        <v>650</v>
      </c>
      <c r="AI596" s="117" t="s">
        <v>450</v>
      </c>
      <c r="AJ596" s="115" t="s">
        <v>241</v>
      </c>
      <c r="AK596" s="73">
        <v>949</v>
      </c>
      <c r="AL596" s="116">
        <f t="shared" si="68"/>
        <v>188851000</v>
      </c>
      <c r="AM596" s="116">
        <v>11</v>
      </c>
      <c r="AN596" s="116">
        <v>2073209</v>
      </c>
      <c r="AO596" s="116">
        <v>114</v>
      </c>
      <c r="AP596" s="116">
        <v>21171701</v>
      </c>
      <c r="AQ596" s="116">
        <f t="shared" si="69"/>
        <v>436.66</v>
      </c>
      <c r="AR596" s="116">
        <f t="shared" si="70"/>
        <v>79943712.800000012</v>
      </c>
      <c r="AS596" s="118">
        <v>0.46012644889357224</v>
      </c>
    </row>
    <row r="597" spans="2:45" x14ac:dyDescent="0.3">
      <c r="B597" s="126" t="s">
        <v>728</v>
      </c>
      <c r="C597" s="98" t="str">
        <f t="shared" si="71"/>
        <v>DV750</v>
      </c>
      <c r="D597" s="98" t="s">
        <v>55</v>
      </c>
      <c r="E597" s="98" t="str">
        <f t="shared" si="73"/>
        <v>X</v>
      </c>
      <c r="F597" s="98" t="str">
        <f t="shared" si="74"/>
        <v>DV</v>
      </c>
      <c r="G597" s="98" t="s">
        <v>56</v>
      </c>
      <c r="H597" s="115" t="s">
        <v>729</v>
      </c>
      <c r="I597" s="98" t="s">
        <v>78</v>
      </c>
      <c r="J597" s="115" t="str">
        <f t="shared" si="72"/>
        <v/>
      </c>
      <c r="K597" s="115">
        <v>1</v>
      </c>
      <c r="L597" s="121">
        <v>199000</v>
      </c>
      <c r="M597" s="78" t="s">
        <v>509</v>
      </c>
      <c r="N597" s="98" t="s">
        <v>678</v>
      </c>
      <c r="O597" s="98" t="s">
        <v>485</v>
      </c>
      <c r="P597" s="98">
        <v>100</v>
      </c>
      <c r="Q597" s="32" t="s">
        <v>119</v>
      </c>
      <c r="R597" s="98" t="s">
        <v>246</v>
      </c>
      <c r="S597" s="32" t="s">
        <v>331</v>
      </c>
      <c r="T597" s="98" t="s">
        <v>122</v>
      </c>
      <c r="U597" s="98" t="s">
        <v>207</v>
      </c>
      <c r="V597" s="98" t="s">
        <v>66</v>
      </c>
      <c r="W597" s="98"/>
      <c r="X597" s="78" t="s">
        <v>67</v>
      </c>
      <c r="Y597" s="98" t="s">
        <v>68</v>
      </c>
      <c r="Z597" s="32" t="s">
        <v>125</v>
      </c>
      <c r="AA597" s="32" t="s">
        <v>90</v>
      </c>
      <c r="AB597" s="78" t="s">
        <v>71</v>
      </c>
      <c r="AC597" s="98" t="s">
        <v>85</v>
      </c>
      <c r="AD597" s="98" t="s">
        <v>208</v>
      </c>
      <c r="AE597" s="65" t="s">
        <v>137</v>
      </c>
      <c r="AF597" s="39" t="s">
        <v>191</v>
      </c>
      <c r="AG597" s="98" t="s">
        <v>127</v>
      </c>
      <c r="AH597" s="115">
        <v>650</v>
      </c>
      <c r="AI597" s="117" t="s">
        <v>450</v>
      </c>
      <c r="AJ597" s="115" t="s">
        <v>241</v>
      </c>
      <c r="AK597" s="73">
        <v>6381</v>
      </c>
      <c r="AL597" s="116">
        <f t="shared" si="68"/>
        <v>1269819000</v>
      </c>
      <c r="AM597" s="116">
        <v>248</v>
      </c>
      <c r="AN597" s="116">
        <v>45975341</v>
      </c>
      <c r="AO597" s="116">
        <v>2406</v>
      </c>
      <c r="AP597" s="116">
        <v>449889837</v>
      </c>
      <c r="AQ597" s="116">
        <f t="shared" si="69"/>
        <v>4575.54</v>
      </c>
      <c r="AR597" s="116">
        <f t="shared" si="70"/>
        <v>837689863.20000017</v>
      </c>
      <c r="AS597" s="118">
        <v>0.71705688763516695</v>
      </c>
    </row>
    <row r="598" spans="2:45" x14ac:dyDescent="0.3">
      <c r="B598" s="126" t="s">
        <v>730</v>
      </c>
      <c r="C598" s="98" t="str">
        <f t="shared" si="71"/>
        <v>DV790</v>
      </c>
      <c r="D598" s="98" t="s">
        <v>55</v>
      </c>
      <c r="E598" s="98" t="str">
        <f t="shared" si="73"/>
        <v>X</v>
      </c>
      <c r="F598" s="98" t="str">
        <f t="shared" si="74"/>
        <v>DV</v>
      </c>
      <c r="G598" s="98" t="s">
        <v>56</v>
      </c>
      <c r="H598" s="115" t="s">
        <v>731</v>
      </c>
      <c r="I598" s="98" t="s">
        <v>78</v>
      </c>
      <c r="J598" s="115">
        <f t="shared" si="72"/>
        <v>1</v>
      </c>
      <c r="K598" s="115">
        <v>1</v>
      </c>
      <c r="L598" s="121">
        <v>249000</v>
      </c>
      <c r="M598" s="78" t="s">
        <v>225</v>
      </c>
      <c r="N598" s="98" t="s">
        <v>517</v>
      </c>
      <c r="O598" s="98" t="s">
        <v>143</v>
      </c>
      <c r="P598" s="98">
        <v>100</v>
      </c>
      <c r="Q598" s="32" t="s">
        <v>144</v>
      </c>
      <c r="R598" s="98" t="s">
        <v>518</v>
      </c>
      <c r="S598" s="32" t="s">
        <v>519</v>
      </c>
      <c r="T598" s="98" t="s">
        <v>122</v>
      </c>
      <c r="U598" s="98" t="s">
        <v>332</v>
      </c>
      <c r="V598" s="98" t="s">
        <v>66</v>
      </c>
      <c r="W598" s="98"/>
      <c r="X598" s="78" t="s">
        <v>67</v>
      </c>
      <c r="Y598" s="98" t="s">
        <v>68</v>
      </c>
      <c r="Z598" s="32" t="s">
        <v>441</v>
      </c>
      <c r="AA598" s="32" t="s">
        <v>353</v>
      </c>
      <c r="AB598" s="78" t="s">
        <v>71</v>
      </c>
      <c r="AC598" s="98" t="s">
        <v>62</v>
      </c>
      <c r="AD598" s="98" t="s">
        <v>72</v>
      </c>
      <c r="AE598" s="65" t="s">
        <v>137</v>
      </c>
      <c r="AF598" s="39" t="s">
        <v>199</v>
      </c>
      <c r="AG598" s="98" t="s">
        <v>127</v>
      </c>
      <c r="AH598" s="115">
        <v>650</v>
      </c>
      <c r="AI598" s="117" t="s">
        <v>450</v>
      </c>
      <c r="AJ598" s="115" t="s">
        <v>241</v>
      </c>
      <c r="AK598" s="73">
        <v>3897</v>
      </c>
      <c r="AL598" s="116">
        <f t="shared" si="68"/>
        <v>970353000</v>
      </c>
      <c r="AM598" s="116">
        <v>155</v>
      </c>
      <c r="AN598" s="116">
        <v>34809826</v>
      </c>
      <c r="AO598" s="116">
        <v>1025</v>
      </c>
      <c r="AP598" s="116">
        <v>238495710</v>
      </c>
      <c r="AQ598" s="116">
        <f t="shared" si="69"/>
        <v>2349.9800000000005</v>
      </c>
      <c r="AR598" s="116">
        <f t="shared" si="70"/>
        <v>538333418.4000001</v>
      </c>
      <c r="AS598" s="118">
        <v>0.60302283808057489</v>
      </c>
    </row>
    <row r="599" spans="2:45" x14ac:dyDescent="0.3">
      <c r="B599" s="126" t="s">
        <v>732</v>
      </c>
      <c r="C599" s="98" t="str">
        <f t="shared" si="71"/>
        <v>DV910</v>
      </c>
      <c r="D599" s="98" t="s">
        <v>55</v>
      </c>
      <c r="E599" s="98" t="str">
        <f t="shared" si="73"/>
        <v>W</v>
      </c>
      <c r="F599" s="98" t="str">
        <f t="shared" si="74"/>
        <v>DV</v>
      </c>
      <c r="G599" s="98" t="s">
        <v>56</v>
      </c>
      <c r="H599" s="115" t="s">
        <v>449</v>
      </c>
      <c r="I599" s="98" t="s">
        <v>78</v>
      </c>
      <c r="J599" s="115">
        <f t="shared" si="72"/>
        <v>1</v>
      </c>
      <c r="K599" s="115">
        <v>1</v>
      </c>
      <c r="L599" s="121">
        <v>189000</v>
      </c>
      <c r="M599" s="78" t="s">
        <v>521</v>
      </c>
      <c r="N599" s="98" t="s">
        <v>133</v>
      </c>
      <c r="O599" s="98" t="s">
        <v>485</v>
      </c>
      <c r="P599" s="98">
        <v>100</v>
      </c>
      <c r="Q599" s="32" t="s">
        <v>85</v>
      </c>
      <c r="R599" s="98" t="s">
        <v>134</v>
      </c>
      <c r="S599" s="32" t="s">
        <v>135</v>
      </c>
      <c r="T599" s="98" t="s">
        <v>122</v>
      </c>
      <c r="U599" s="98" t="s">
        <v>136</v>
      </c>
      <c r="V599" s="98"/>
      <c r="W599" s="98"/>
      <c r="X599" s="78" t="s">
        <v>67</v>
      </c>
      <c r="Y599" s="98" t="s">
        <v>68</v>
      </c>
      <c r="Z599" s="32" t="s">
        <v>89</v>
      </c>
      <c r="AA599" s="32" t="s">
        <v>90</v>
      </c>
      <c r="AB599" s="78" t="s">
        <v>71</v>
      </c>
      <c r="AC599" s="98" t="s">
        <v>62</v>
      </c>
      <c r="AD599" s="98" t="s">
        <v>72</v>
      </c>
      <c r="AE599" s="65" t="s">
        <v>137</v>
      </c>
      <c r="AF599" s="39" t="s">
        <v>239</v>
      </c>
      <c r="AG599" s="98" t="s">
        <v>127</v>
      </c>
      <c r="AH599" s="115">
        <v>650</v>
      </c>
      <c r="AI599" s="117" t="s">
        <v>450</v>
      </c>
      <c r="AJ599" s="115" t="s">
        <v>77</v>
      </c>
      <c r="AK599" s="73">
        <v>1520</v>
      </c>
      <c r="AL599" s="116">
        <f t="shared" si="68"/>
        <v>287280000</v>
      </c>
      <c r="AM599" s="116">
        <v>62</v>
      </c>
      <c r="AN599" s="116">
        <v>10909652</v>
      </c>
      <c r="AO599" s="116">
        <v>809</v>
      </c>
      <c r="AP599" s="116">
        <v>144782898</v>
      </c>
      <c r="AQ599" s="116">
        <f t="shared" si="69"/>
        <v>1325.8</v>
      </c>
      <c r="AR599" s="116">
        <f t="shared" si="70"/>
        <v>230530103.99999997</v>
      </c>
      <c r="AS599" s="118">
        <v>0.87223684210526309</v>
      </c>
    </row>
    <row r="600" spans="2:45" x14ac:dyDescent="0.3">
      <c r="B600" s="126" t="s">
        <v>732</v>
      </c>
      <c r="C600" s="98" t="str">
        <f t="shared" si="71"/>
        <v>DV910</v>
      </c>
      <c r="D600" s="98" t="s">
        <v>55</v>
      </c>
      <c r="E600" s="98" t="str">
        <f t="shared" si="73"/>
        <v>W</v>
      </c>
      <c r="F600" s="98" t="str">
        <f t="shared" si="74"/>
        <v>DV</v>
      </c>
      <c r="G600" s="98" t="s">
        <v>56</v>
      </c>
      <c r="H600" s="115" t="s">
        <v>449</v>
      </c>
      <c r="I600" s="98" t="s">
        <v>79</v>
      </c>
      <c r="J600" s="115" t="str">
        <f t="shared" si="72"/>
        <v/>
      </c>
      <c r="K600" s="115">
        <v>1</v>
      </c>
      <c r="L600" s="121">
        <v>189000</v>
      </c>
      <c r="M600" s="78" t="s">
        <v>521</v>
      </c>
      <c r="N600" s="98" t="s">
        <v>133</v>
      </c>
      <c r="O600" s="98" t="s">
        <v>485</v>
      </c>
      <c r="P600" s="98">
        <v>100</v>
      </c>
      <c r="Q600" s="32" t="s">
        <v>85</v>
      </c>
      <c r="R600" s="98" t="s">
        <v>134</v>
      </c>
      <c r="S600" s="32" t="s">
        <v>135</v>
      </c>
      <c r="T600" s="98" t="s">
        <v>122</v>
      </c>
      <c r="U600" s="98" t="s">
        <v>136</v>
      </c>
      <c r="V600" s="98"/>
      <c r="W600" s="98"/>
      <c r="X600" s="78" t="s">
        <v>67</v>
      </c>
      <c r="Y600" s="98" t="s">
        <v>68</v>
      </c>
      <c r="Z600" s="32" t="s">
        <v>89</v>
      </c>
      <c r="AA600" s="32" t="s">
        <v>90</v>
      </c>
      <c r="AB600" s="78" t="s">
        <v>71</v>
      </c>
      <c r="AC600" s="98" t="s">
        <v>62</v>
      </c>
      <c r="AD600" s="98" t="s">
        <v>72</v>
      </c>
      <c r="AE600" s="65" t="s">
        <v>137</v>
      </c>
      <c r="AF600" s="39" t="s">
        <v>239</v>
      </c>
      <c r="AG600" s="98" t="s">
        <v>127</v>
      </c>
      <c r="AH600" s="115">
        <v>650</v>
      </c>
      <c r="AI600" s="117" t="s">
        <v>450</v>
      </c>
      <c r="AJ600" s="115" t="s">
        <v>77</v>
      </c>
      <c r="AK600" s="73">
        <v>1521</v>
      </c>
      <c r="AL600" s="116">
        <f t="shared" si="68"/>
        <v>287469000</v>
      </c>
      <c r="AM600" s="116">
        <v>44</v>
      </c>
      <c r="AN600" s="116">
        <v>7760928</v>
      </c>
      <c r="AO600" s="116">
        <v>600</v>
      </c>
      <c r="AP600" s="116">
        <v>107274526</v>
      </c>
      <c r="AQ600" s="116">
        <f t="shared" si="69"/>
        <v>1117.1400000000001</v>
      </c>
      <c r="AR600" s="116">
        <f t="shared" si="70"/>
        <v>194248303.20000005</v>
      </c>
      <c r="AS600" s="118">
        <v>0.73447731755424073</v>
      </c>
    </row>
    <row r="601" spans="2:45" x14ac:dyDescent="0.3">
      <c r="B601" s="126" t="s">
        <v>732</v>
      </c>
      <c r="C601" s="98" t="str">
        <f t="shared" si="71"/>
        <v>DV910</v>
      </c>
      <c r="D601" s="98" t="s">
        <v>55</v>
      </c>
      <c r="E601" s="98" t="str">
        <f t="shared" si="73"/>
        <v>W</v>
      </c>
      <c r="F601" s="98" t="str">
        <f t="shared" si="74"/>
        <v>DV</v>
      </c>
      <c r="G601" s="98" t="s">
        <v>56</v>
      </c>
      <c r="H601" s="115" t="s">
        <v>449</v>
      </c>
      <c r="I601" s="98" t="s">
        <v>179</v>
      </c>
      <c r="J601" s="115" t="str">
        <f t="shared" si="72"/>
        <v/>
      </c>
      <c r="K601" s="115">
        <v>1</v>
      </c>
      <c r="L601" s="121">
        <v>189000</v>
      </c>
      <c r="M601" s="78" t="s">
        <v>521</v>
      </c>
      <c r="N601" s="98" t="s">
        <v>133</v>
      </c>
      <c r="O601" s="98" t="s">
        <v>485</v>
      </c>
      <c r="P601" s="98">
        <v>100</v>
      </c>
      <c r="Q601" s="32" t="s">
        <v>85</v>
      </c>
      <c r="R601" s="98" t="s">
        <v>134</v>
      </c>
      <c r="S601" s="32" t="s">
        <v>135</v>
      </c>
      <c r="T601" s="98" t="s">
        <v>122</v>
      </c>
      <c r="U601" s="98" t="s">
        <v>136</v>
      </c>
      <c r="V601" s="98"/>
      <c r="W601" s="98"/>
      <c r="X601" s="78" t="s">
        <v>67</v>
      </c>
      <c r="Y601" s="98" t="s">
        <v>68</v>
      </c>
      <c r="Z601" s="32" t="s">
        <v>89</v>
      </c>
      <c r="AA601" s="32" t="s">
        <v>90</v>
      </c>
      <c r="AB601" s="78" t="s">
        <v>71</v>
      </c>
      <c r="AC601" s="98" t="s">
        <v>62</v>
      </c>
      <c r="AD601" s="98" t="s">
        <v>72</v>
      </c>
      <c r="AE601" s="65" t="s">
        <v>137</v>
      </c>
      <c r="AF601" s="39" t="s">
        <v>239</v>
      </c>
      <c r="AG601" s="98" t="s">
        <v>127</v>
      </c>
      <c r="AH601" s="115">
        <v>650</v>
      </c>
      <c r="AI601" s="117" t="s">
        <v>450</v>
      </c>
      <c r="AJ601" s="115" t="s">
        <v>77</v>
      </c>
      <c r="AK601" s="73">
        <v>974</v>
      </c>
      <c r="AL601" s="116">
        <f>AK601*L601</f>
        <v>184086000</v>
      </c>
      <c r="AM601" s="116">
        <v>33</v>
      </c>
      <c r="AN601" s="116">
        <v>5704700</v>
      </c>
      <c r="AO601" s="116">
        <v>313</v>
      </c>
      <c r="AP601" s="116">
        <v>55677236</v>
      </c>
      <c r="AQ601" s="116">
        <f>AK601*AS601</f>
        <v>644.16000000000008</v>
      </c>
      <c r="AR601" s="116">
        <f>(AL601*AS601)*0.92</f>
        <v>112006540.80000001</v>
      </c>
      <c r="AS601" s="118">
        <v>0.66135523613963043</v>
      </c>
    </row>
    <row r="602" spans="2:45" x14ac:dyDescent="0.3">
      <c r="B602" s="126" t="s">
        <v>733</v>
      </c>
      <c r="C602" s="98" t="str">
        <f>MID(B602,3,5)</f>
        <v>DV530</v>
      </c>
      <c r="D602" s="98" t="s">
        <v>55</v>
      </c>
      <c r="E602" s="98" t="str">
        <f t="shared" si="73"/>
        <v>X</v>
      </c>
      <c r="F602" s="98" t="str">
        <f t="shared" si="74"/>
        <v>DV</v>
      </c>
      <c r="G602" s="98" t="s">
        <v>56</v>
      </c>
      <c r="H602" s="115" t="s">
        <v>734</v>
      </c>
      <c r="I602" s="98" t="s">
        <v>78</v>
      </c>
      <c r="J602" s="115">
        <f t="shared" si="72"/>
        <v>1</v>
      </c>
      <c r="K602" s="115">
        <v>1</v>
      </c>
      <c r="L602" s="121">
        <v>239000</v>
      </c>
      <c r="M602" s="78" t="s">
        <v>509</v>
      </c>
      <c r="N602" s="98" t="s">
        <v>691</v>
      </c>
      <c r="O602" s="98" t="s">
        <v>143</v>
      </c>
      <c r="P602" s="98">
        <v>100</v>
      </c>
      <c r="Q602" s="32" t="s">
        <v>62</v>
      </c>
      <c r="R602" s="98" t="s">
        <v>692</v>
      </c>
      <c r="S602" s="32" t="s">
        <v>693</v>
      </c>
      <c r="T602" s="98" t="s">
        <v>65</v>
      </c>
      <c r="U602" s="98"/>
      <c r="V602" s="98" t="s">
        <v>66</v>
      </c>
      <c r="W602" s="98"/>
      <c r="X602" s="78" t="s">
        <v>67</v>
      </c>
      <c r="Y602" s="98" t="s">
        <v>68</v>
      </c>
      <c r="Z602" s="32" t="s">
        <v>536</v>
      </c>
      <c r="AA602" s="32" t="s">
        <v>90</v>
      </c>
      <c r="AB602" s="78" t="s">
        <v>71</v>
      </c>
      <c r="AC602" s="98" t="s">
        <v>62</v>
      </c>
      <c r="AD602" s="98" t="s">
        <v>72</v>
      </c>
      <c r="AE602" s="65" t="s">
        <v>137</v>
      </c>
      <c r="AF602" s="39" t="s">
        <v>343</v>
      </c>
      <c r="AG602" s="98" t="s">
        <v>75</v>
      </c>
      <c r="AH602" s="115">
        <v>650</v>
      </c>
      <c r="AI602" s="117" t="s">
        <v>450</v>
      </c>
      <c r="AJ602" s="115" t="s">
        <v>241</v>
      </c>
      <c r="AK602" s="73">
        <v>1994</v>
      </c>
      <c r="AL602" s="116">
        <f>AK602*L602</f>
        <v>476566000</v>
      </c>
      <c r="AM602" s="116">
        <v>23</v>
      </c>
      <c r="AN602" s="116">
        <v>5082767</v>
      </c>
      <c r="AO602" s="116">
        <v>233</v>
      </c>
      <c r="AP602" s="116">
        <v>51949500</v>
      </c>
      <c r="AQ602" s="116">
        <f>AK602*AS602</f>
        <v>910.96</v>
      </c>
      <c r="AR602" s="116">
        <f>(AL602*AS602)*0.92</f>
        <v>200301884.80000001</v>
      </c>
      <c r="AS602" s="118">
        <v>0.45685055165496491</v>
      </c>
    </row>
    <row r="603" spans="2:45" x14ac:dyDescent="0.3">
      <c r="B603" s="126" t="s">
        <v>733</v>
      </c>
      <c r="C603" s="98" t="str">
        <f>MID(B603,3,5)</f>
        <v>DV530</v>
      </c>
      <c r="D603" s="98" t="s">
        <v>55</v>
      </c>
      <c r="E603" s="98" t="str">
        <f t="shared" si="73"/>
        <v>X</v>
      </c>
      <c r="F603" s="98" t="str">
        <f t="shared" si="74"/>
        <v>DV</v>
      </c>
      <c r="G603" s="98" t="s">
        <v>56</v>
      </c>
      <c r="H603" s="115" t="s">
        <v>734</v>
      </c>
      <c r="I603" s="98" t="s">
        <v>435</v>
      </c>
      <c r="J603" s="115" t="str">
        <f t="shared" si="72"/>
        <v/>
      </c>
      <c r="K603" s="115">
        <v>1</v>
      </c>
      <c r="L603" s="121">
        <v>239000</v>
      </c>
      <c r="M603" s="78" t="s">
        <v>509</v>
      </c>
      <c r="N603" s="98" t="s">
        <v>691</v>
      </c>
      <c r="O603" s="98" t="s">
        <v>143</v>
      </c>
      <c r="P603" s="98">
        <v>100</v>
      </c>
      <c r="Q603" s="32" t="s">
        <v>62</v>
      </c>
      <c r="R603" s="98" t="s">
        <v>692</v>
      </c>
      <c r="S603" s="32" t="s">
        <v>693</v>
      </c>
      <c r="T603" s="98" t="s">
        <v>65</v>
      </c>
      <c r="U603" s="98"/>
      <c r="V603" s="98" t="s">
        <v>66</v>
      </c>
      <c r="W603" s="98"/>
      <c r="X603" s="78" t="s">
        <v>67</v>
      </c>
      <c r="Y603" s="98" t="s">
        <v>68</v>
      </c>
      <c r="Z603" s="32" t="s">
        <v>536</v>
      </c>
      <c r="AA603" s="32" t="s">
        <v>90</v>
      </c>
      <c r="AB603" s="78" t="s">
        <v>71</v>
      </c>
      <c r="AC603" s="98" t="s">
        <v>62</v>
      </c>
      <c r="AD603" s="98" t="s">
        <v>72</v>
      </c>
      <c r="AE603" s="65" t="s">
        <v>137</v>
      </c>
      <c r="AF603" s="39" t="s">
        <v>343</v>
      </c>
      <c r="AG603" s="98" t="s">
        <v>75</v>
      </c>
      <c r="AH603" s="115">
        <v>650</v>
      </c>
      <c r="AI603" s="117" t="s">
        <v>450</v>
      </c>
      <c r="AJ603" s="115" t="s">
        <v>241</v>
      </c>
      <c r="AK603" s="73">
        <v>798</v>
      </c>
      <c r="AL603" s="116">
        <f>AK603*L603</f>
        <v>190722000</v>
      </c>
      <c r="AM603" s="116">
        <v>6</v>
      </c>
      <c r="AN603" s="116">
        <v>1261253</v>
      </c>
      <c r="AO603" s="116">
        <v>87</v>
      </c>
      <c r="AP603" s="116">
        <v>19390249</v>
      </c>
      <c r="AQ603" s="116">
        <f>AK603*AS603</f>
        <v>358.32</v>
      </c>
      <c r="AR603" s="116">
        <f>(AL603*AS603)*0.92</f>
        <v>78787401.600000009</v>
      </c>
      <c r="AS603" s="118">
        <v>0.44902255639097743</v>
      </c>
    </row>
  </sheetData>
  <autoFilter ref="A4:AR4" xr:uid="{325028EC-4D82-42B7-AC1E-E114EE1434A2}"/>
  <phoneticPr fontId="3" type="noConversion"/>
  <conditionalFormatting sqref="M5:U603 X5:AG603">
    <cfRule type="cellIs" dxfId="10" priority="2" operator="equal">
      <formula>0</formula>
    </cfRule>
  </conditionalFormatting>
  <conditionalFormatting sqref="V132:V133">
    <cfRule type="cellIs" dxfId="9" priority="4" operator="equal">
      <formula>0</formula>
    </cfRule>
  </conditionalFormatting>
  <conditionalFormatting sqref="AI5:AJ603">
    <cfRule type="cellIs" dxfId="8" priority="1" operator="equal">
      <formula>0</formula>
    </cfRule>
  </conditionalFormatting>
  <conditionalFormatting sqref="AK1:AO1">
    <cfRule type="cellIs" dxfId="7" priority="18" operator="lessThan">
      <formula>0</formula>
    </cfRule>
    <cfRule type="cellIs" dxfId="6" priority="19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DD6A-6A37-4936-9BEF-442C860A981E}">
  <sheetPr>
    <tabColor theme="0" tint="-0.249977111117893"/>
  </sheetPr>
  <dimension ref="A1:AS263"/>
  <sheetViews>
    <sheetView zoomScale="85" zoomScaleNormal="85" workbookViewId="0">
      <pane xSplit="9" ySplit="5" topLeftCell="AS229" activePane="bottomRight" state="frozen"/>
      <selection pane="topRight" activeCell="G26" sqref="G26"/>
      <selection pane="bottomLeft" activeCell="G26" sqref="G26"/>
      <selection pane="bottomRight" activeCell="B5" sqref="B5:AS258"/>
    </sheetView>
  </sheetViews>
  <sheetFormatPr defaultRowHeight="16.5" outlineLevelCol="1" x14ac:dyDescent="0.3"/>
  <cols>
    <col min="1" max="1" width="5.5" style="31" hidden="1" customWidth="1"/>
    <col min="2" max="2" width="14" style="54" customWidth="1"/>
    <col min="3" max="3" width="9" style="4"/>
    <col min="4" max="4" width="9" style="4" customWidth="1"/>
    <col min="5" max="6" width="5.5" style="4" customWidth="1"/>
    <col min="7" max="7" width="9.25" style="4" customWidth="1"/>
    <col min="8" max="8" width="36" style="4" customWidth="1"/>
    <col min="9" max="9" width="9" style="10"/>
    <col min="10" max="10" width="4" style="4" customWidth="1"/>
    <col min="11" max="11" width="5.75" style="4" customWidth="1"/>
    <col min="12" max="12" width="9.375" style="30" bestFit="1" customWidth="1"/>
    <col min="13" max="13" width="6.75" style="11" customWidth="1"/>
    <col min="14" max="14" width="10.75" style="4" customWidth="1" outlineLevel="1"/>
    <col min="15" max="15" width="14.875" style="4" customWidth="1" outlineLevel="1"/>
    <col min="16" max="16" width="9" style="30" customWidth="1" outlineLevel="1"/>
    <col min="17" max="17" width="9" style="84" customWidth="1" outlineLevel="1"/>
    <col min="18" max="18" width="9" style="30" customWidth="1" outlineLevel="1"/>
    <col min="19" max="19" width="9" style="89" customWidth="1" outlineLevel="1"/>
    <col min="20" max="20" width="9" style="4" customWidth="1" outlineLevel="1"/>
    <col min="21" max="21" width="8.5" style="4" customWidth="1" outlineLevel="1"/>
    <col min="22" max="23" width="9" style="4" customWidth="1" outlineLevel="1"/>
    <col min="24" max="24" width="9" style="11" customWidth="1" outlineLevel="1"/>
    <col min="25" max="25" width="9" style="4" customWidth="1" outlineLevel="1"/>
    <col min="26" max="27" width="8.625" style="84" customWidth="1" outlineLevel="1"/>
    <col min="28" max="28" width="11" style="11" customWidth="1"/>
    <col min="29" max="30" width="7.75" style="4" customWidth="1" outlineLevel="1"/>
    <col min="31" max="31" width="13.125" style="66" customWidth="1" outlineLevel="1"/>
    <col min="32" max="32" width="11" style="54" customWidth="1" outlineLevel="1"/>
    <col min="33" max="33" width="8" style="4" hidden="1" customWidth="1" outlineLevel="1"/>
    <col min="34" max="34" width="7.375" style="4" customWidth="1" outlineLevel="1"/>
    <col min="35" max="35" width="13.375" style="11" customWidth="1"/>
    <col min="36" max="36" width="10.125" style="4" customWidth="1"/>
    <col min="37" max="37" width="9" style="36"/>
    <col min="38" max="42" width="12.25" style="30" customWidth="1"/>
    <col min="43" max="43" width="9" style="30"/>
    <col min="44" max="44" width="12.25" style="30" customWidth="1"/>
    <col min="45" max="45" width="9" style="35"/>
  </cols>
  <sheetData>
    <row r="1" spans="1:45" ht="31.5" x14ac:dyDescent="0.3">
      <c r="A1" s="1"/>
      <c r="B1" s="40" t="s">
        <v>0</v>
      </c>
      <c r="C1" s="2"/>
      <c r="D1" s="3"/>
      <c r="E1" s="3"/>
      <c r="F1" s="3"/>
      <c r="G1" s="3"/>
      <c r="I1" s="3"/>
      <c r="J1"/>
      <c r="K1"/>
      <c r="L1" s="5"/>
      <c r="M1" s="6"/>
      <c r="N1" s="7"/>
      <c r="O1" s="7"/>
      <c r="P1" s="7"/>
      <c r="Q1" s="81"/>
      <c r="R1" s="8"/>
      <c r="S1" s="85"/>
      <c r="T1" s="8"/>
      <c r="U1" s="63"/>
      <c r="V1" s="8"/>
      <c r="W1" s="8"/>
      <c r="X1" s="6"/>
      <c r="Y1" s="7"/>
      <c r="Z1" s="81"/>
      <c r="AA1" s="85"/>
      <c r="AB1" s="6"/>
      <c r="AC1" s="7"/>
      <c r="AD1" s="8"/>
      <c r="AE1" s="92"/>
      <c r="AF1" s="80"/>
      <c r="AG1" s="8"/>
      <c r="AH1" s="8"/>
      <c r="AI1" s="9"/>
      <c r="AJ1" s="8"/>
      <c r="AR1" s="7"/>
      <c r="AS1" s="33"/>
    </row>
    <row r="2" spans="1:45" x14ac:dyDescent="0.3">
      <c r="A2" s="1"/>
      <c r="B2" s="12" t="s">
        <v>1</v>
      </c>
      <c r="C2" s="13"/>
      <c r="D2" s="3"/>
      <c r="E2" s="3"/>
      <c r="F2" s="3"/>
      <c r="G2" s="3"/>
      <c r="I2" s="3"/>
      <c r="J2"/>
      <c r="K2" s="33"/>
      <c r="L2" s="5"/>
      <c r="M2" s="12" t="s">
        <v>2</v>
      </c>
      <c r="N2" s="7"/>
      <c r="O2" s="53"/>
      <c r="P2" s="7"/>
      <c r="Q2" s="81"/>
      <c r="R2" s="8"/>
      <c r="S2" s="85"/>
      <c r="T2" s="8"/>
      <c r="U2" s="63"/>
      <c r="V2" s="8"/>
      <c r="W2" s="8"/>
      <c r="X2" s="12" t="s">
        <v>3</v>
      </c>
      <c r="Y2" s="17"/>
      <c r="Z2" s="81"/>
      <c r="AA2" s="85"/>
      <c r="AB2" s="12" t="s">
        <v>4</v>
      </c>
      <c r="AC2" s="17"/>
      <c r="AD2" s="8"/>
      <c r="AE2" s="12" t="s">
        <v>5</v>
      </c>
      <c r="AF2" s="80"/>
      <c r="AG2" s="8"/>
      <c r="AH2" s="8"/>
      <c r="AI2" s="12" t="s">
        <v>6</v>
      </c>
      <c r="AJ2" s="76"/>
      <c r="AK2" s="37" t="s">
        <v>7</v>
      </c>
      <c r="AR2" s="7"/>
      <c r="AS2" s="33"/>
    </row>
    <row r="3" spans="1:45" x14ac:dyDescent="0.3">
      <c r="A3" s="14"/>
      <c r="B3" s="12"/>
      <c r="C3" s="13"/>
      <c r="D3" s="13"/>
      <c r="E3" s="13"/>
      <c r="F3" s="13"/>
      <c r="G3" s="13"/>
      <c r="H3" s="15"/>
      <c r="I3" s="13"/>
      <c r="J3" s="15">
        <f>SUBTOTAL(9,$J$5:$J$1000)</f>
        <v>74</v>
      </c>
      <c r="K3" s="15">
        <f>SUBTOTAL(9,$K$5:$K$1000)</f>
        <v>254</v>
      </c>
      <c r="L3" s="16"/>
      <c r="M3" s="12"/>
      <c r="N3" s="17"/>
      <c r="O3" s="17"/>
      <c r="P3" s="61"/>
      <c r="Q3" s="82"/>
      <c r="R3" s="64"/>
      <c r="S3" s="87"/>
      <c r="T3" s="13"/>
      <c r="U3" s="13"/>
      <c r="V3" s="13"/>
      <c r="W3" s="13"/>
      <c r="X3" s="12"/>
      <c r="Y3" s="17"/>
      <c r="Z3" s="81" t="s">
        <v>8</v>
      </c>
      <c r="AA3" s="85" t="s">
        <v>9</v>
      </c>
      <c r="AB3" s="6"/>
      <c r="AC3" s="7"/>
      <c r="AD3" s="8"/>
      <c r="AE3" s="92"/>
      <c r="AF3" s="80"/>
      <c r="AG3" s="8"/>
      <c r="AH3" s="13"/>
      <c r="AI3" s="12"/>
      <c r="AJ3" s="17"/>
      <c r="AK3" s="18">
        <f>SUBTOTAL(9,AK5:AK1000)</f>
        <v>663237</v>
      </c>
      <c r="AL3" s="19">
        <f t="shared" ref="AL3:AR3" si="0">SUBTOTAL(9,AL5:AL1000)</f>
        <v>213075763000</v>
      </c>
      <c r="AM3" s="19">
        <f t="shared" si="0"/>
        <v>34263</v>
      </c>
      <c r="AN3" s="19">
        <f t="shared" si="0"/>
        <v>9895514392</v>
      </c>
      <c r="AO3" s="19">
        <f t="shared" si="0"/>
        <v>206721</v>
      </c>
      <c r="AP3" s="19">
        <f t="shared" si="0"/>
        <v>54082034777</v>
      </c>
      <c r="AQ3" s="19">
        <f t="shared" si="0"/>
        <v>393855</v>
      </c>
      <c r="AR3" s="20">
        <f t="shared" si="0"/>
        <v>109427499748</v>
      </c>
      <c r="AS3" s="21">
        <f>AQ3/AK3</f>
        <v>0.59383749700333366</v>
      </c>
    </row>
    <row r="4" spans="1:45" s="29" customFormat="1" ht="30.75" customHeight="1" x14ac:dyDescent="0.3">
      <c r="A4" s="22"/>
      <c r="B4" s="23" t="s">
        <v>10</v>
      </c>
      <c r="C4" s="24" t="s">
        <v>11</v>
      </c>
      <c r="D4" s="24" t="s">
        <v>12</v>
      </c>
      <c r="E4" s="23" t="s">
        <v>13</v>
      </c>
      <c r="F4" s="77" t="s">
        <v>14</v>
      </c>
      <c r="G4" s="25" t="s">
        <v>15</v>
      </c>
      <c r="H4" s="23" t="s">
        <v>16</v>
      </c>
      <c r="I4" s="23" t="s">
        <v>17</v>
      </c>
      <c r="J4" s="23" t="s">
        <v>18</v>
      </c>
      <c r="K4" s="23" t="s">
        <v>19</v>
      </c>
      <c r="L4" s="26" t="s">
        <v>20</v>
      </c>
      <c r="M4" s="27" t="s">
        <v>21</v>
      </c>
      <c r="N4" s="23" t="s">
        <v>22</v>
      </c>
      <c r="O4" s="23" t="s">
        <v>23</v>
      </c>
      <c r="P4" s="62" t="s">
        <v>24</v>
      </c>
      <c r="Q4" s="83" t="s">
        <v>25</v>
      </c>
      <c r="R4" s="62" t="s">
        <v>26</v>
      </c>
      <c r="S4" s="88" t="s">
        <v>27</v>
      </c>
      <c r="T4" s="48" t="s">
        <v>28</v>
      </c>
      <c r="U4" s="23" t="s">
        <v>29</v>
      </c>
      <c r="V4" s="23" t="s">
        <v>30</v>
      </c>
      <c r="W4" s="23" t="s">
        <v>31</v>
      </c>
      <c r="X4" s="27" t="s">
        <v>32</v>
      </c>
      <c r="Y4" s="23" t="s">
        <v>33</v>
      </c>
      <c r="Z4" s="83" t="s">
        <v>34</v>
      </c>
      <c r="AA4" s="83" t="s">
        <v>35</v>
      </c>
      <c r="AB4" s="130" t="s">
        <v>36</v>
      </c>
      <c r="AC4" s="23" t="s">
        <v>37</v>
      </c>
      <c r="AD4" s="23" t="s">
        <v>38</v>
      </c>
      <c r="AE4" s="130" t="s">
        <v>39</v>
      </c>
      <c r="AF4" s="48" t="s">
        <v>40</v>
      </c>
      <c r="AG4" s="74" t="s">
        <v>41</v>
      </c>
      <c r="AH4" s="23" t="s">
        <v>42</v>
      </c>
      <c r="AI4" s="27" t="s">
        <v>43</v>
      </c>
      <c r="AJ4" s="23" t="s">
        <v>44</v>
      </c>
      <c r="AK4" s="38" t="s">
        <v>45</v>
      </c>
      <c r="AL4" s="28" t="s">
        <v>46</v>
      </c>
      <c r="AM4" s="28" t="s">
        <v>47</v>
      </c>
      <c r="AN4" s="28" t="s">
        <v>48</v>
      </c>
      <c r="AO4" s="28" t="s">
        <v>49</v>
      </c>
      <c r="AP4" s="28" t="s">
        <v>50</v>
      </c>
      <c r="AQ4" s="28" t="s">
        <v>51</v>
      </c>
      <c r="AR4" s="28" t="s">
        <v>52</v>
      </c>
      <c r="AS4" s="34" t="s">
        <v>53</v>
      </c>
    </row>
    <row r="5" spans="1:45" x14ac:dyDescent="0.3">
      <c r="A5" s="1" t="str">
        <f t="shared" ref="A5:A68" si="1">B5&amp;I5</f>
        <v>DWDJ91046VOS</v>
      </c>
      <c r="B5" s="32" t="s">
        <v>54</v>
      </c>
      <c r="C5" s="10" t="str">
        <f>MID(B5,3,5)</f>
        <v>DJ910</v>
      </c>
      <c r="D5" s="10" t="s">
        <v>55</v>
      </c>
      <c r="E5" s="10" t="str">
        <f t="shared" ref="E5:E68" si="2">MID($B5,2,1)</f>
        <v>W</v>
      </c>
      <c r="F5" s="10" t="str">
        <f t="shared" ref="F5:F68" si="3">MID($B5,3,2)</f>
        <v>DJ</v>
      </c>
      <c r="G5" s="10" t="s">
        <v>56</v>
      </c>
      <c r="H5" s="4" t="s">
        <v>57</v>
      </c>
      <c r="I5" s="10" t="s">
        <v>58</v>
      </c>
      <c r="J5" s="4">
        <v>1</v>
      </c>
      <c r="K5" s="4">
        <v>1</v>
      </c>
      <c r="L5" s="43">
        <v>199000</v>
      </c>
      <c r="M5" s="78" t="s">
        <v>59</v>
      </c>
      <c r="N5" s="98" t="s">
        <v>60</v>
      </c>
      <c r="O5" s="10" t="s">
        <v>61</v>
      </c>
      <c r="P5" s="63">
        <v>100</v>
      </c>
      <c r="Q5" s="94" t="s">
        <v>62</v>
      </c>
      <c r="R5" s="63" t="s">
        <v>63</v>
      </c>
      <c r="S5" s="96" t="s">
        <v>64</v>
      </c>
      <c r="T5" s="10" t="s">
        <v>65</v>
      </c>
      <c r="U5" s="10"/>
      <c r="V5" s="10" t="s">
        <v>66</v>
      </c>
      <c r="W5" s="10"/>
      <c r="X5" s="9" t="s">
        <v>67</v>
      </c>
      <c r="Y5" s="10" t="s">
        <v>68</v>
      </c>
      <c r="Z5" s="94" t="s">
        <v>69</v>
      </c>
      <c r="AA5" s="94" t="s">
        <v>70</v>
      </c>
      <c r="AB5" s="9" t="s">
        <v>71</v>
      </c>
      <c r="AC5" s="10" t="s">
        <v>62</v>
      </c>
      <c r="AD5" s="10" t="s">
        <v>72</v>
      </c>
      <c r="AE5" s="65" t="s">
        <v>73</v>
      </c>
      <c r="AF5" s="39" t="s">
        <v>74</v>
      </c>
      <c r="AG5" s="10" t="s">
        <v>75</v>
      </c>
      <c r="AH5" s="4">
        <v>650</v>
      </c>
      <c r="AI5" s="11" t="s">
        <v>76</v>
      </c>
      <c r="AJ5" s="4" t="s">
        <v>77</v>
      </c>
      <c r="AK5" s="50">
        <v>994</v>
      </c>
      <c r="AL5" s="43">
        <v>197806000</v>
      </c>
      <c r="AM5" s="43">
        <v>14</v>
      </c>
      <c r="AN5" s="43">
        <v>1950200</v>
      </c>
      <c r="AO5" s="43">
        <v>100</v>
      </c>
      <c r="AP5" s="43">
        <v>15691936</v>
      </c>
      <c r="AQ5" s="43">
        <v>177</v>
      </c>
      <c r="AR5" s="43">
        <v>26381316</v>
      </c>
      <c r="AS5" s="52">
        <f>AQ5/AK5</f>
        <v>0.17806841046277666</v>
      </c>
    </row>
    <row r="6" spans="1:45" x14ac:dyDescent="0.3">
      <c r="A6" s="1" t="str">
        <f t="shared" si="1"/>
        <v>DWDJ91046BKS</v>
      </c>
      <c r="B6" s="32" t="s">
        <v>54</v>
      </c>
      <c r="C6" s="10" t="str">
        <f t="shared" ref="C6:C69" si="4">MID(B6,3,5)</f>
        <v>DJ910</v>
      </c>
      <c r="D6" s="10" t="s">
        <v>55</v>
      </c>
      <c r="E6" s="10" t="str">
        <f t="shared" si="2"/>
        <v>W</v>
      </c>
      <c r="F6" s="10" t="str">
        <f t="shared" si="3"/>
        <v>DJ</v>
      </c>
      <c r="G6" s="10" t="s">
        <v>56</v>
      </c>
      <c r="H6" s="4" t="s">
        <v>57</v>
      </c>
      <c r="I6" s="10" t="s">
        <v>78</v>
      </c>
      <c r="J6" s="4" t="str">
        <f t="shared" ref="J6:J69" si="5">IF(B6=B5,"",1)</f>
        <v/>
      </c>
      <c r="K6" s="4">
        <v>1</v>
      </c>
      <c r="L6" s="43">
        <v>199000</v>
      </c>
      <c r="M6" s="78" t="s">
        <v>59</v>
      </c>
      <c r="N6" s="98" t="s">
        <v>60</v>
      </c>
      <c r="O6" s="10" t="s">
        <v>61</v>
      </c>
      <c r="P6" s="63">
        <v>100</v>
      </c>
      <c r="Q6" s="94" t="s">
        <v>62</v>
      </c>
      <c r="R6" s="63" t="s">
        <v>63</v>
      </c>
      <c r="S6" s="96" t="s">
        <v>64</v>
      </c>
      <c r="T6" s="10" t="s">
        <v>65</v>
      </c>
      <c r="U6" s="10"/>
      <c r="V6" s="10" t="s">
        <v>66</v>
      </c>
      <c r="W6" s="10"/>
      <c r="X6" s="9" t="s">
        <v>67</v>
      </c>
      <c r="Y6" s="10" t="s">
        <v>68</v>
      </c>
      <c r="Z6" s="94" t="s">
        <v>69</v>
      </c>
      <c r="AA6" s="94" t="s">
        <v>70</v>
      </c>
      <c r="AB6" s="9" t="s">
        <v>71</v>
      </c>
      <c r="AC6" s="10" t="s">
        <v>62</v>
      </c>
      <c r="AD6" s="10" t="s">
        <v>72</v>
      </c>
      <c r="AE6" s="65" t="s">
        <v>73</v>
      </c>
      <c r="AF6" s="39" t="s">
        <v>74</v>
      </c>
      <c r="AG6" s="10" t="s">
        <v>75</v>
      </c>
      <c r="AH6" s="4">
        <v>650</v>
      </c>
      <c r="AI6" s="11" t="s">
        <v>76</v>
      </c>
      <c r="AJ6" s="4" t="s">
        <v>77</v>
      </c>
      <c r="AK6" s="50">
        <v>1739</v>
      </c>
      <c r="AL6" s="43">
        <v>346061000</v>
      </c>
      <c r="AM6" s="43">
        <v>99</v>
      </c>
      <c r="AN6" s="43">
        <v>13734300</v>
      </c>
      <c r="AO6" s="43">
        <v>690</v>
      </c>
      <c r="AP6" s="43">
        <v>103072647</v>
      </c>
      <c r="AQ6" s="43">
        <v>1177</v>
      </c>
      <c r="AR6" s="43">
        <v>170517837</v>
      </c>
      <c r="AS6" s="52">
        <f t="shared" ref="AS6:AS69" si="6">AQ6/AK6</f>
        <v>0.67682576193214494</v>
      </c>
    </row>
    <row r="7" spans="1:45" x14ac:dyDescent="0.3">
      <c r="A7" s="1" t="str">
        <f t="shared" si="1"/>
        <v>DWDJ91046CRS</v>
      </c>
      <c r="B7" s="32" t="s">
        <v>54</v>
      </c>
      <c r="C7" s="10" t="str">
        <f t="shared" si="4"/>
        <v>DJ910</v>
      </c>
      <c r="D7" s="10" t="s">
        <v>55</v>
      </c>
      <c r="E7" s="10" t="str">
        <f t="shared" si="2"/>
        <v>W</v>
      </c>
      <c r="F7" s="10" t="str">
        <f t="shared" si="3"/>
        <v>DJ</v>
      </c>
      <c r="G7" s="10" t="s">
        <v>56</v>
      </c>
      <c r="H7" s="4" t="s">
        <v>57</v>
      </c>
      <c r="I7" s="10" t="s">
        <v>79</v>
      </c>
      <c r="J7" s="4" t="str">
        <f t="shared" si="5"/>
        <v/>
      </c>
      <c r="K7" s="4">
        <v>1</v>
      </c>
      <c r="L7" s="43">
        <v>199000</v>
      </c>
      <c r="M7" s="78" t="s">
        <v>59</v>
      </c>
      <c r="N7" s="98" t="s">
        <v>60</v>
      </c>
      <c r="O7" s="10" t="s">
        <v>61</v>
      </c>
      <c r="P7" s="63">
        <v>100</v>
      </c>
      <c r="Q7" s="94" t="s">
        <v>62</v>
      </c>
      <c r="R7" s="63" t="s">
        <v>63</v>
      </c>
      <c r="S7" s="96" t="s">
        <v>64</v>
      </c>
      <c r="T7" s="10" t="s">
        <v>65</v>
      </c>
      <c r="U7" s="10"/>
      <c r="V7" s="10" t="s">
        <v>66</v>
      </c>
      <c r="W7" s="10"/>
      <c r="X7" s="9" t="s">
        <v>67</v>
      </c>
      <c r="Y7" s="10" t="s">
        <v>68</v>
      </c>
      <c r="Z7" s="94" t="s">
        <v>69</v>
      </c>
      <c r="AA7" s="94" t="s">
        <v>70</v>
      </c>
      <c r="AB7" s="9" t="s">
        <v>71</v>
      </c>
      <c r="AC7" s="10" t="s">
        <v>62</v>
      </c>
      <c r="AD7" s="10" t="s">
        <v>72</v>
      </c>
      <c r="AE7" s="65" t="s">
        <v>73</v>
      </c>
      <c r="AF7" s="39" t="s">
        <v>74</v>
      </c>
      <c r="AG7" s="10" t="s">
        <v>75</v>
      </c>
      <c r="AH7" s="4">
        <v>650</v>
      </c>
      <c r="AI7" s="11" t="s">
        <v>76</v>
      </c>
      <c r="AJ7" s="4" t="s">
        <v>77</v>
      </c>
      <c r="AK7" s="50">
        <v>1090</v>
      </c>
      <c r="AL7" s="43">
        <v>216910000</v>
      </c>
      <c r="AM7" s="43">
        <v>47</v>
      </c>
      <c r="AN7" s="43">
        <v>6395540</v>
      </c>
      <c r="AO7" s="43">
        <v>455</v>
      </c>
      <c r="AP7" s="43">
        <v>70207429</v>
      </c>
      <c r="AQ7" s="43">
        <v>726</v>
      </c>
      <c r="AR7" s="43">
        <v>107673249</v>
      </c>
      <c r="AS7" s="52">
        <f t="shared" si="6"/>
        <v>0.66605504587155961</v>
      </c>
    </row>
    <row r="8" spans="1:45" x14ac:dyDescent="0.3">
      <c r="A8" s="1" t="str">
        <f t="shared" si="1"/>
        <v>DWDJ92046BGS</v>
      </c>
      <c r="B8" s="32" t="s">
        <v>80</v>
      </c>
      <c r="C8" s="10" t="str">
        <f t="shared" si="4"/>
        <v>DJ920</v>
      </c>
      <c r="D8" s="10" t="s">
        <v>55</v>
      </c>
      <c r="E8" s="10" t="str">
        <f t="shared" si="2"/>
        <v>W</v>
      </c>
      <c r="F8" s="10" t="str">
        <f t="shared" si="3"/>
        <v>DJ</v>
      </c>
      <c r="G8" s="10" t="s">
        <v>56</v>
      </c>
      <c r="H8" s="4" t="s">
        <v>81</v>
      </c>
      <c r="I8" s="10" t="s">
        <v>82</v>
      </c>
      <c r="J8" s="4">
        <f t="shared" si="5"/>
        <v>1</v>
      </c>
      <c r="K8" s="4">
        <v>1</v>
      </c>
      <c r="L8" s="43">
        <v>299000</v>
      </c>
      <c r="M8" s="78" t="s">
        <v>83</v>
      </c>
      <c r="N8" s="98" t="s">
        <v>84</v>
      </c>
      <c r="O8" s="10" t="s">
        <v>61</v>
      </c>
      <c r="P8" s="63">
        <v>100</v>
      </c>
      <c r="Q8" s="94" t="s">
        <v>85</v>
      </c>
      <c r="R8" s="63" t="s">
        <v>86</v>
      </c>
      <c r="S8" s="96" t="s">
        <v>87</v>
      </c>
      <c r="T8" s="10" t="s">
        <v>65</v>
      </c>
      <c r="U8" s="10"/>
      <c r="V8" s="10" t="s">
        <v>66</v>
      </c>
      <c r="W8" s="10"/>
      <c r="X8" s="9" t="s">
        <v>67</v>
      </c>
      <c r="Y8" s="10" t="s">
        <v>88</v>
      </c>
      <c r="Z8" s="94" t="s">
        <v>89</v>
      </c>
      <c r="AA8" s="94" t="s">
        <v>90</v>
      </c>
      <c r="AB8" s="9" t="s">
        <v>91</v>
      </c>
      <c r="AC8" s="68" t="s">
        <v>92</v>
      </c>
      <c r="AD8" s="69" t="str">
        <f>AC8</f>
        <v>(다운백 없음)</v>
      </c>
      <c r="AE8" s="65" t="s">
        <v>73</v>
      </c>
      <c r="AF8" s="39" t="s">
        <v>93</v>
      </c>
      <c r="AG8" s="10" t="s">
        <v>75</v>
      </c>
      <c r="AH8" s="4">
        <v>650</v>
      </c>
      <c r="AI8" s="11" t="s">
        <v>76</v>
      </c>
      <c r="AJ8" s="4" t="s">
        <v>94</v>
      </c>
      <c r="AK8" s="50">
        <v>1808</v>
      </c>
      <c r="AL8" s="43">
        <v>540592000</v>
      </c>
      <c r="AM8" s="43">
        <v>172</v>
      </c>
      <c r="AN8" s="43">
        <v>35747490</v>
      </c>
      <c r="AO8" s="43">
        <v>1543</v>
      </c>
      <c r="AP8" s="43">
        <v>349944579</v>
      </c>
      <c r="AQ8" s="43">
        <v>1771</v>
      </c>
      <c r="AR8" s="43">
        <v>397526539</v>
      </c>
      <c r="AS8" s="52">
        <f t="shared" si="6"/>
        <v>0.97953539823008851</v>
      </c>
    </row>
    <row r="9" spans="1:45" x14ac:dyDescent="0.3">
      <c r="A9" s="1" t="str">
        <f t="shared" si="1"/>
        <v>DWDJ92046CRS</v>
      </c>
      <c r="B9" s="32" t="s">
        <v>80</v>
      </c>
      <c r="C9" s="10" t="str">
        <f t="shared" si="4"/>
        <v>DJ920</v>
      </c>
      <c r="D9" s="10" t="s">
        <v>55</v>
      </c>
      <c r="E9" s="10" t="str">
        <f t="shared" si="2"/>
        <v>W</v>
      </c>
      <c r="F9" s="10" t="str">
        <f t="shared" si="3"/>
        <v>DJ</v>
      </c>
      <c r="G9" s="10" t="s">
        <v>56</v>
      </c>
      <c r="H9" s="4" t="s">
        <v>81</v>
      </c>
      <c r="I9" s="10" t="s">
        <v>79</v>
      </c>
      <c r="J9" s="4" t="str">
        <f t="shared" si="5"/>
        <v/>
      </c>
      <c r="K9" s="4">
        <v>1</v>
      </c>
      <c r="L9" s="43">
        <v>299000</v>
      </c>
      <c r="M9" s="78" t="s">
        <v>83</v>
      </c>
      <c r="N9" s="98" t="s">
        <v>95</v>
      </c>
      <c r="O9" s="10" t="s">
        <v>61</v>
      </c>
      <c r="P9" s="63">
        <v>100</v>
      </c>
      <c r="Q9" s="94" t="s">
        <v>85</v>
      </c>
      <c r="R9" s="63" t="s">
        <v>86</v>
      </c>
      <c r="S9" s="96" t="s">
        <v>87</v>
      </c>
      <c r="T9" s="10" t="s">
        <v>65</v>
      </c>
      <c r="U9" s="10"/>
      <c r="V9" s="10" t="s">
        <v>66</v>
      </c>
      <c r="W9" s="10"/>
      <c r="X9" s="9" t="s">
        <v>67</v>
      </c>
      <c r="Y9" s="10" t="s">
        <v>88</v>
      </c>
      <c r="Z9" s="94" t="s">
        <v>89</v>
      </c>
      <c r="AA9" s="94" t="s">
        <v>90</v>
      </c>
      <c r="AB9" s="9" t="s">
        <v>91</v>
      </c>
      <c r="AC9" s="68" t="s">
        <v>92</v>
      </c>
      <c r="AD9" s="69" t="str">
        <f t="shared" ref="AD9:AD15" si="7">AC9</f>
        <v>(다운백 없음)</v>
      </c>
      <c r="AE9" s="65" t="s">
        <v>73</v>
      </c>
      <c r="AF9" s="39" t="s">
        <v>93</v>
      </c>
      <c r="AG9" s="10" t="s">
        <v>75</v>
      </c>
      <c r="AH9" s="4">
        <v>650</v>
      </c>
      <c r="AI9" s="11" t="s">
        <v>76</v>
      </c>
      <c r="AJ9" s="4" t="s">
        <v>94</v>
      </c>
      <c r="AK9" s="50">
        <v>1714</v>
      </c>
      <c r="AL9" s="43">
        <v>512486000</v>
      </c>
      <c r="AM9" s="43">
        <v>105</v>
      </c>
      <c r="AN9" s="43">
        <v>21942190</v>
      </c>
      <c r="AO9" s="43">
        <v>879</v>
      </c>
      <c r="AP9" s="43">
        <v>198870714</v>
      </c>
      <c r="AQ9" s="43">
        <v>1334</v>
      </c>
      <c r="AR9" s="43">
        <v>294079034</v>
      </c>
      <c r="AS9" s="52">
        <f t="shared" si="6"/>
        <v>0.77829638273045509</v>
      </c>
    </row>
    <row r="10" spans="1:45" x14ac:dyDescent="0.3">
      <c r="A10" s="1" t="str">
        <f t="shared" si="1"/>
        <v>DWDJ92046BKS</v>
      </c>
      <c r="B10" s="32" t="s">
        <v>80</v>
      </c>
      <c r="C10" s="10" t="str">
        <f t="shared" si="4"/>
        <v>DJ920</v>
      </c>
      <c r="D10" s="10" t="s">
        <v>55</v>
      </c>
      <c r="E10" s="10" t="str">
        <f t="shared" si="2"/>
        <v>W</v>
      </c>
      <c r="F10" s="10" t="str">
        <f t="shared" si="3"/>
        <v>DJ</v>
      </c>
      <c r="G10" s="10" t="s">
        <v>56</v>
      </c>
      <c r="H10" s="4" t="s">
        <v>81</v>
      </c>
      <c r="I10" s="10" t="s">
        <v>78</v>
      </c>
      <c r="J10" s="4" t="str">
        <f t="shared" si="5"/>
        <v/>
      </c>
      <c r="K10" s="4">
        <v>1</v>
      </c>
      <c r="L10" s="43">
        <v>299000</v>
      </c>
      <c r="M10" s="78" t="s">
        <v>83</v>
      </c>
      <c r="N10" s="98" t="s">
        <v>84</v>
      </c>
      <c r="O10" s="10" t="s">
        <v>61</v>
      </c>
      <c r="P10" s="63">
        <v>100</v>
      </c>
      <c r="Q10" s="94" t="s">
        <v>85</v>
      </c>
      <c r="R10" s="63" t="s">
        <v>86</v>
      </c>
      <c r="S10" s="96" t="s">
        <v>87</v>
      </c>
      <c r="T10" s="10" t="s">
        <v>65</v>
      </c>
      <c r="U10" s="10"/>
      <c r="V10" s="10" t="s">
        <v>66</v>
      </c>
      <c r="W10" s="10"/>
      <c r="X10" s="9" t="s">
        <v>67</v>
      </c>
      <c r="Y10" s="10" t="s">
        <v>88</v>
      </c>
      <c r="Z10" s="94" t="s">
        <v>89</v>
      </c>
      <c r="AA10" s="94" t="s">
        <v>90</v>
      </c>
      <c r="AB10" s="9" t="s">
        <v>91</v>
      </c>
      <c r="AC10" s="68" t="s">
        <v>92</v>
      </c>
      <c r="AD10" s="69" t="str">
        <f t="shared" si="7"/>
        <v>(다운백 없음)</v>
      </c>
      <c r="AE10" s="65" t="s">
        <v>73</v>
      </c>
      <c r="AF10" s="39" t="s">
        <v>93</v>
      </c>
      <c r="AG10" s="10" t="s">
        <v>75</v>
      </c>
      <c r="AH10" s="4">
        <v>650</v>
      </c>
      <c r="AI10" s="11" t="s">
        <v>76</v>
      </c>
      <c r="AJ10" s="4" t="s">
        <v>94</v>
      </c>
      <c r="AK10" s="50">
        <v>3010</v>
      </c>
      <c r="AL10" s="43">
        <v>899990000</v>
      </c>
      <c r="AM10" s="43">
        <v>306</v>
      </c>
      <c r="AN10" s="43">
        <v>63860031</v>
      </c>
      <c r="AO10" s="43">
        <v>2269</v>
      </c>
      <c r="AP10" s="43">
        <v>498874200</v>
      </c>
      <c r="AQ10" s="43">
        <v>2948</v>
      </c>
      <c r="AR10" s="43">
        <v>640655320</v>
      </c>
      <c r="AS10" s="52">
        <f t="shared" si="6"/>
        <v>0.97940199335548173</v>
      </c>
    </row>
    <row r="11" spans="1:45" x14ac:dyDescent="0.3">
      <c r="A11" s="1" t="str">
        <f t="shared" si="1"/>
        <v>DWDJ9C046BKS</v>
      </c>
      <c r="B11" s="32" t="s">
        <v>96</v>
      </c>
      <c r="C11" s="10" t="str">
        <f t="shared" si="4"/>
        <v>DJ9C0</v>
      </c>
      <c r="D11" s="10" t="s">
        <v>55</v>
      </c>
      <c r="E11" s="10" t="str">
        <f t="shared" si="2"/>
        <v>W</v>
      </c>
      <c r="F11" s="10" t="str">
        <f t="shared" si="3"/>
        <v>DJ</v>
      </c>
      <c r="G11" s="10" t="s">
        <v>56</v>
      </c>
      <c r="H11" s="4" t="s">
        <v>97</v>
      </c>
      <c r="I11" s="10" t="s">
        <v>78</v>
      </c>
      <c r="J11" s="4">
        <f t="shared" si="5"/>
        <v>1</v>
      </c>
      <c r="K11" s="4">
        <v>1</v>
      </c>
      <c r="L11" s="43">
        <v>319000</v>
      </c>
      <c r="M11" s="78" t="s">
        <v>83</v>
      </c>
      <c r="N11" s="98" t="s">
        <v>84</v>
      </c>
      <c r="O11" s="10" t="s">
        <v>61</v>
      </c>
      <c r="P11" s="63">
        <v>100</v>
      </c>
      <c r="Q11" s="94" t="s">
        <v>85</v>
      </c>
      <c r="R11" s="63" t="s">
        <v>86</v>
      </c>
      <c r="S11" s="96" t="s">
        <v>87</v>
      </c>
      <c r="T11" s="10" t="s">
        <v>65</v>
      </c>
      <c r="U11" s="10"/>
      <c r="V11" s="10" t="s">
        <v>66</v>
      </c>
      <c r="W11" s="10"/>
      <c r="X11" s="9" t="s">
        <v>67</v>
      </c>
      <c r="Y11" s="10" t="s">
        <v>88</v>
      </c>
      <c r="Z11" s="94" t="s">
        <v>89</v>
      </c>
      <c r="AA11" s="94" t="s">
        <v>90</v>
      </c>
      <c r="AB11" s="9" t="s">
        <v>91</v>
      </c>
      <c r="AC11" s="68" t="s">
        <v>92</v>
      </c>
      <c r="AD11" s="69" t="str">
        <f t="shared" si="7"/>
        <v>(다운백 없음)</v>
      </c>
      <c r="AE11" s="65" t="s">
        <v>73</v>
      </c>
      <c r="AF11" s="39" t="s">
        <v>98</v>
      </c>
      <c r="AG11" s="10" t="s">
        <v>75</v>
      </c>
      <c r="AH11" s="4">
        <v>650</v>
      </c>
      <c r="AI11" s="11" t="s">
        <v>99</v>
      </c>
      <c r="AJ11" s="4" t="s">
        <v>100</v>
      </c>
      <c r="AK11" s="50">
        <v>1598</v>
      </c>
      <c r="AL11" s="43">
        <v>509762000</v>
      </c>
      <c r="AM11" s="43">
        <v>168</v>
      </c>
      <c r="AN11" s="43">
        <v>37472290</v>
      </c>
      <c r="AO11" s="43">
        <v>1302</v>
      </c>
      <c r="AP11" s="43">
        <v>306833394</v>
      </c>
      <c r="AQ11" s="43">
        <v>1559</v>
      </c>
      <c r="AR11" s="43">
        <v>363837824</v>
      </c>
      <c r="AS11" s="52">
        <f t="shared" si="6"/>
        <v>0.97559449311639546</v>
      </c>
    </row>
    <row r="12" spans="1:45" x14ac:dyDescent="0.3">
      <c r="A12" s="1" t="str">
        <f t="shared" si="1"/>
        <v>DWDJ9C046WHS</v>
      </c>
      <c r="B12" s="32" t="s">
        <v>96</v>
      </c>
      <c r="C12" s="10" t="str">
        <f t="shared" si="4"/>
        <v>DJ9C0</v>
      </c>
      <c r="D12" s="10" t="s">
        <v>55</v>
      </c>
      <c r="E12" s="10" t="str">
        <f t="shared" si="2"/>
        <v>W</v>
      </c>
      <c r="F12" s="10" t="str">
        <f t="shared" si="3"/>
        <v>DJ</v>
      </c>
      <c r="G12" s="10" t="s">
        <v>56</v>
      </c>
      <c r="H12" s="4" t="s">
        <v>97</v>
      </c>
      <c r="I12" s="10" t="s">
        <v>101</v>
      </c>
      <c r="J12" s="4" t="str">
        <f t="shared" si="5"/>
        <v/>
      </c>
      <c r="K12" s="4">
        <v>1</v>
      </c>
      <c r="L12" s="43">
        <v>319000</v>
      </c>
      <c r="M12" s="78" t="s">
        <v>83</v>
      </c>
      <c r="N12" s="98" t="s">
        <v>84</v>
      </c>
      <c r="O12" s="10" t="s">
        <v>61</v>
      </c>
      <c r="P12" s="63">
        <v>100</v>
      </c>
      <c r="Q12" s="94" t="s">
        <v>85</v>
      </c>
      <c r="R12" s="63" t="s">
        <v>86</v>
      </c>
      <c r="S12" s="96" t="s">
        <v>87</v>
      </c>
      <c r="T12" s="10" t="s">
        <v>65</v>
      </c>
      <c r="U12" s="10"/>
      <c r="V12" s="10" t="s">
        <v>66</v>
      </c>
      <c r="W12" s="10"/>
      <c r="X12" s="9" t="s">
        <v>67</v>
      </c>
      <c r="Y12" s="10" t="s">
        <v>88</v>
      </c>
      <c r="Z12" s="94" t="s">
        <v>89</v>
      </c>
      <c r="AA12" s="94" t="s">
        <v>90</v>
      </c>
      <c r="AB12" s="9" t="s">
        <v>91</v>
      </c>
      <c r="AC12" s="68" t="s">
        <v>92</v>
      </c>
      <c r="AD12" s="69" t="str">
        <f t="shared" si="7"/>
        <v>(다운백 없음)</v>
      </c>
      <c r="AE12" s="65" t="s">
        <v>73</v>
      </c>
      <c r="AF12" s="39" t="s">
        <v>98</v>
      </c>
      <c r="AG12" s="10" t="s">
        <v>75</v>
      </c>
      <c r="AH12" s="4">
        <v>650</v>
      </c>
      <c r="AI12" s="11" t="s">
        <v>99</v>
      </c>
      <c r="AJ12" s="4" t="s">
        <v>100</v>
      </c>
      <c r="AK12" s="50">
        <v>1208</v>
      </c>
      <c r="AL12" s="43">
        <v>385352000</v>
      </c>
      <c r="AM12" s="43">
        <v>60</v>
      </c>
      <c r="AN12" s="43">
        <v>13219440</v>
      </c>
      <c r="AO12" s="43">
        <v>387</v>
      </c>
      <c r="AP12" s="43">
        <v>90916310</v>
      </c>
      <c r="AQ12" s="43">
        <v>746</v>
      </c>
      <c r="AR12" s="43">
        <v>170788380</v>
      </c>
      <c r="AS12" s="52">
        <f t="shared" si="6"/>
        <v>0.61754966887417218</v>
      </c>
    </row>
    <row r="13" spans="1:45" x14ac:dyDescent="0.3">
      <c r="A13" s="1" t="str">
        <f t="shared" si="1"/>
        <v>DWDJ9C046KAS</v>
      </c>
      <c r="B13" s="32" t="s">
        <v>96</v>
      </c>
      <c r="C13" s="10" t="str">
        <f t="shared" si="4"/>
        <v>DJ9C0</v>
      </c>
      <c r="D13" s="10" t="s">
        <v>55</v>
      </c>
      <c r="E13" s="10" t="str">
        <f t="shared" si="2"/>
        <v>W</v>
      </c>
      <c r="F13" s="10" t="str">
        <f t="shared" si="3"/>
        <v>DJ</v>
      </c>
      <c r="G13" s="10" t="s">
        <v>56</v>
      </c>
      <c r="H13" s="4" t="s">
        <v>97</v>
      </c>
      <c r="I13" s="10" t="s">
        <v>102</v>
      </c>
      <c r="J13" s="4" t="str">
        <f t="shared" si="5"/>
        <v/>
      </c>
      <c r="K13" s="4">
        <v>1</v>
      </c>
      <c r="L13" s="43">
        <v>319000</v>
      </c>
      <c r="M13" s="78" t="s">
        <v>83</v>
      </c>
      <c r="N13" s="98" t="s">
        <v>84</v>
      </c>
      <c r="O13" s="10" t="s">
        <v>61</v>
      </c>
      <c r="P13" s="63">
        <v>100</v>
      </c>
      <c r="Q13" s="94" t="s">
        <v>85</v>
      </c>
      <c r="R13" s="63" t="s">
        <v>86</v>
      </c>
      <c r="S13" s="96" t="s">
        <v>87</v>
      </c>
      <c r="T13" s="10" t="s">
        <v>65</v>
      </c>
      <c r="U13" s="10"/>
      <c r="V13" s="10" t="s">
        <v>66</v>
      </c>
      <c r="W13" s="10"/>
      <c r="X13" s="9" t="s">
        <v>67</v>
      </c>
      <c r="Y13" s="10" t="s">
        <v>88</v>
      </c>
      <c r="Z13" s="94" t="s">
        <v>89</v>
      </c>
      <c r="AA13" s="94" t="s">
        <v>90</v>
      </c>
      <c r="AB13" s="9" t="s">
        <v>91</v>
      </c>
      <c r="AC13" s="68" t="s">
        <v>92</v>
      </c>
      <c r="AD13" s="69" t="str">
        <f t="shared" si="7"/>
        <v>(다운백 없음)</v>
      </c>
      <c r="AE13" s="65" t="s">
        <v>73</v>
      </c>
      <c r="AF13" s="39" t="s">
        <v>98</v>
      </c>
      <c r="AG13" s="10" t="s">
        <v>75</v>
      </c>
      <c r="AH13" s="4">
        <v>650</v>
      </c>
      <c r="AI13" s="11" t="s">
        <v>99</v>
      </c>
      <c r="AJ13" s="4" t="s">
        <v>100</v>
      </c>
      <c r="AK13" s="50">
        <v>1008</v>
      </c>
      <c r="AL13" s="43">
        <v>321552000</v>
      </c>
      <c r="AM13" s="43">
        <v>35</v>
      </c>
      <c r="AN13" s="43">
        <v>7805500</v>
      </c>
      <c r="AO13" s="43">
        <v>174</v>
      </c>
      <c r="AP13" s="43">
        <v>41391680</v>
      </c>
      <c r="AQ13" s="43">
        <v>396</v>
      </c>
      <c r="AR13" s="43">
        <v>90643180</v>
      </c>
      <c r="AS13" s="52">
        <f t="shared" si="6"/>
        <v>0.39285714285714285</v>
      </c>
    </row>
    <row r="14" spans="1:45" x14ac:dyDescent="0.3">
      <c r="A14" s="1" t="str">
        <f t="shared" si="1"/>
        <v>DWDJ9D046IVD</v>
      </c>
      <c r="B14" s="32" t="s">
        <v>103</v>
      </c>
      <c r="C14" s="10" t="str">
        <f t="shared" si="4"/>
        <v>DJ9D0</v>
      </c>
      <c r="D14" s="10" t="s">
        <v>55</v>
      </c>
      <c r="E14" s="10" t="str">
        <f t="shared" si="2"/>
        <v>W</v>
      </c>
      <c r="F14" s="10" t="str">
        <f t="shared" si="3"/>
        <v>DJ</v>
      </c>
      <c r="G14" s="10" t="s">
        <v>56</v>
      </c>
      <c r="H14" s="4" t="s">
        <v>104</v>
      </c>
      <c r="I14" s="10" t="s">
        <v>105</v>
      </c>
      <c r="J14" s="4">
        <f t="shared" si="5"/>
        <v>1</v>
      </c>
      <c r="K14" s="4">
        <v>1</v>
      </c>
      <c r="L14" s="43">
        <v>339000</v>
      </c>
      <c r="M14" s="78" t="s">
        <v>83</v>
      </c>
      <c r="N14" s="98" t="s">
        <v>84</v>
      </c>
      <c r="O14" s="10" t="s">
        <v>61</v>
      </c>
      <c r="P14" s="63">
        <v>100</v>
      </c>
      <c r="Q14" s="94" t="s">
        <v>85</v>
      </c>
      <c r="R14" s="63" t="s">
        <v>86</v>
      </c>
      <c r="S14" s="96" t="s">
        <v>87</v>
      </c>
      <c r="T14" s="10" t="s">
        <v>65</v>
      </c>
      <c r="U14" s="10"/>
      <c r="V14" s="10" t="s">
        <v>66</v>
      </c>
      <c r="W14" s="10"/>
      <c r="X14" s="9" t="s">
        <v>67</v>
      </c>
      <c r="Y14" s="10" t="s">
        <v>88</v>
      </c>
      <c r="Z14" s="94" t="s">
        <v>89</v>
      </c>
      <c r="AA14" s="94" t="s">
        <v>90</v>
      </c>
      <c r="AB14" s="9" t="s">
        <v>91</v>
      </c>
      <c r="AC14" s="68" t="s">
        <v>92</v>
      </c>
      <c r="AD14" s="69" t="str">
        <f t="shared" si="7"/>
        <v>(다운백 없음)</v>
      </c>
      <c r="AE14" s="65" t="s">
        <v>73</v>
      </c>
      <c r="AF14" s="39" t="s">
        <v>106</v>
      </c>
      <c r="AG14" s="10" t="s">
        <v>75</v>
      </c>
      <c r="AH14" s="4">
        <v>650</v>
      </c>
      <c r="AI14" s="11" t="s">
        <v>107</v>
      </c>
      <c r="AJ14" s="4" t="s">
        <v>108</v>
      </c>
      <c r="AK14" s="50">
        <v>1109</v>
      </c>
      <c r="AL14" s="43">
        <v>375951000</v>
      </c>
      <c r="AM14" s="43">
        <v>79</v>
      </c>
      <c r="AN14" s="43">
        <v>18732980</v>
      </c>
      <c r="AO14" s="43">
        <v>467</v>
      </c>
      <c r="AP14" s="43">
        <v>115511586</v>
      </c>
      <c r="AQ14" s="43">
        <v>865</v>
      </c>
      <c r="AR14" s="43">
        <v>208753316</v>
      </c>
      <c r="AS14" s="52">
        <f t="shared" si="6"/>
        <v>0.77998196573489631</v>
      </c>
    </row>
    <row r="15" spans="1:45" x14ac:dyDescent="0.3">
      <c r="A15" s="1" t="str">
        <f t="shared" si="1"/>
        <v>DWDJ9D046BKS</v>
      </c>
      <c r="B15" s="32" t="s">
        <v>103</v>
      </c>
      <c r="C15" s="10" t="str">
        <f t="shared" si="4"/>
        <v>DJ9D0</v>
      </c>
      <c r="D15" s="10" t="s">
        <v>55</v>
      </c>
      <c r="E15" s="10" t="str">
        <f t="shared" si="2"/>
        <v>W</v>
      </c>
      <c r="F15" s="10" t="str">
        <f t="shared" si="3"/>
        <v>DJ</v>
      </c>
      <c r="G15" s="10" t="s">
        <v>56</v>
      </c>
      <c r="H15" s="4" t="s">
        <v>104</v>
      </c>
      <c r="I15" s="10" t="s">
        <v>78</v>
      </c>
      <c r="J15" s="4" t="str">
        <f t="shared" si="5"/>
        <v/>
      </c>
      <c r="K15" s="4">
        <v>1</v>
      </c>
      <c r="L15" s="43">
        <v>339000</v>
      </c>
      <c r="M15" s="78" t="s">
        <v>83</v>
      </c>
      <c r="N15" s="98" t="s">
        <v>84</v>
      </c>
      <c r="O15" s="10" t="s">
        <v>61</v>
      </c>
      <c r="P15" s="63">
        <v>100</v>
      </c>
      <c r="Q15" s="94" t="s">
        <v>85</v>
      </c>
      <c r="R15" s="63" t="s">
        <v>86</v>
      </c>
      <c r="S15" s="96" t="s">
        <v>87</v>
      </c>
      <c r="T15" s="10" t="s">
        <v>65</v>
      </c>
      <c r="U15" s="10"/>
      <c r="V15" s="10" t="s">
        <v>66</v>
      </c>
      <c r="W15" s="10"/>
      <c r="X15" s="9" t="s">
        <v>67</v>
      </c>
      <c r="Y15" s="10" t="s">
        <v>88</v>
      </c>
      <c r="Z15" s="94" t="s">
        <v>89</v>
      </c>
      <c r="AA15" s="94" t="s">
        <v>90</v>
      </c>
      <c r="AB15" s="9" t="s">
        <v>91</v>
      </c>
      <c r="AC15" s="68" t="s">
        <v>92</v>
      </c>
      <c r="AD15" s="69" t="str">
        <f t="shared" si="7"/>
        <v>(다운백 없음)</v>
      </c>
      <c r="AE15" s="65" t="s">
        <v>73</v>
      </c>
      <c r="AF15" s="39" t="s">
        <v>106</v>
      </c>
      <c r="AG15" s="10" t="s">
        <v>75</v>
      </c>
      <c r="AH15" s="4">
        <v>650</v>
      </c>
      <c r="AI15" s="11" t="s">
        <v>107</v>
      </c>
      <c r="AJ15" s="4" t="s">
        <v>108</v>
      </c>
      <c r="AK15" s="50">
        <v>1604</v>
      </c>
      <c r="AL15" s="43">
        <v>543756000</v>
      </c>
      <c r="AM15" s="43">
        <v>160</v>
      </c>
      <c r="AN15" s="43">
        <v>37991000</v>
      </c>
      <c r="AO15" s="43">
        <v>1178</v>
      </c>
      <c r="AP15" s="43">
        <v>289450323</v>
      </c>
      <c r="AQ15" s="43">
        <v>1568</v>
      </c>
      <c r="AR15" s="43">
        <v>381404023</v>
      </c>
      <c r="AS15" s="52">
        <f t="shared" si="6"/>
        <v>0.97755610972568574</v>
      </c>
    </row>
    <row r="16" spans="1:45" x14ac:dyDescent="0.3">
      <c r="A16" s="1" t="str">
        <f t="shared" si="1"/>
        <v>DWDJ9F046IVS</v>
      </c>
      <c r="B16" s="32" t="s">
        <v>109</v>
      </c>
      <c r="C16" s="10" t="str">
        <f t="shared" si="4"/>
        <v>DJ9F0</v>
      </c>
      <c r="D16" s="10" t="s">
        <v>55</v>
      </c>
      <c r="E16" s="10" t="str">
        <f t="shared" si="2"/>
        <v>W</v>
      </c>
      <c r="F16" s="10" t="str">
        <f t="shared" si="3"/>
        <v>DJ</v>
      </c>
      <c r="G16" s="10" t="s">
        <v>56</v>
      </c>
      <c r="H16" s="4" t="s">
        <v>110</v>
      </c>
      <c r="I16" s="10" t="s">
        <v>111</v>
      </c>
      <c r="J16" s="4">
        <f t="shared" si="5"/>
        <v>1</v>
      </c>
      <c r="K16" s="4">
        <v>1</v>
      </c>
      <c r="L16" s="43">
        <v>229000</v>
      </c>
      <c r="M16" s="78" t="s">
        <v>59</v>
      </c>
      <c r="N16" s="98" t="s">
        <v>60</v>
      </c>
      <c r="O16" s="10" t="s">
        <v>61</v>
      </c>
      <c r="P16" s="63">
        <v>100</v>
      </c>
      <c r="Q16" s="94" t="s">
        <v>62</v>
      </c>
      <c r="R16" s="63" t="s">
        <v>63</v>
      </c>
      <c r="S16" s="96" t="s">
        <v>64</v>
      </c>
      <c r="T16" s="10" t="s">
        <v>65</v>
      </c>
      <c r="U16" s="10"/>
      <c r="V16" s="10" t="s">
        <v>66</v>
      </c>
      <c r="W16" s="10"/>
      <c r="X16" s="9" t="s">
        <v>67</v>
      </c>
      <c r="Y16" s="10" t="s">
        <v>68</v>
      </c>
      <c r="Z16" s="94" t="s">
        <v>69</v>
      </c>
      <c r="AA16" s="94" t="s">
        <v>70</v>
      </c>
      <c r="AB16" s="9" t="s">
        <v>71</v>
      </c>
      <c r="AC16" s="10" t="s">
        <v>62</v>
      </c>
      <c r="AD16" s="10" t="s">
        <v>72</v>
      </c>
      <c r="AE16" s="65" t="s">
        <v>73</v>
      </c>
      <c r="AF16" s="39" t="s">
        <v>112</v>
      </c>
      <c r="AG16" s="10" t="s">
        <v>75</v>
      </c>
      <c r="AH16" s="4">
        <v>650</v>
      </c>
      <c r="AI16" s="11" t="s">
        <v>76</v>
      </c>
      <c r="AJ16" s="4" t="s">
        <v>77</v>
      </c>
      <c r="AK16" s="50">
        <v>997</v>
      </c>
      <c r="AL16" s="43">
        <v>228313000</v>
      </c>
      <c r="AM16" s="43">
        <v>8</v>
      </c>
      <c r="AN16" s="43">
        <v>1812000</v>
      </c>
      <c r="AO16" s="43">
        <v>437</v>
      </c>
      <c r="AP16" s="43">
        <v>97527770</v>
      </c>
      <c r="AQ16" s="43">
        <v>587</v>
      </c>
      <c r="AR16" s="43">
        <v>130725033</v>
      </c>
      <c r="AS16" s="52">
        <f t="shared" si="6"/>
        <v>0.58876629889669008</v>
      </c>
    </row>
    <row r="17" spans="1:45" x14ac:dyDescent="0.3">
      <c r="A17" s="1" t="str">
        <f t="shared" si="1"/>
        <v>DWDJ9F046GRL</v>
      </c>
      <c r="B17" s="32" t="s">
        <v>109</v>
      </c>
      <c r="C17" s="10" t="str">
        <f t="shared" si="4"/>
        <v>DJ9F0</v>
      </c>
      <c r="D17" s="10" t="s">
        <v>55</v>
      </c>
      <c r="E17" s="10" t="str">
        <f t="shared" si="2"/>
        <v>W</v>
      </c>
      <c r="F17" s="10" t="str">
        <f t="shared" si="3"/>
        <v>DJ</v>
      </c>
      <c r="G17" s="10" t="s">
        <v>56</v>
      </c>
      <c r="H17" s="4" t="s">
        <v>110</v>
      </c>
      <c r="I17" s="10" t="s">
        <v>113</v>
      </c>
      <c r="J17" s="4" t="str">
        <f t="shared" si="5"/>
        <v/>
      </c>
      <c r="K17" s="4">
        <v>1</v>
      </c>
      <c r="L17" s="43">
        <v>229000</v>
      </c>
      <c r="M17" s="78" t="s">
        <v>59</v>
      </c>
      <c r="N17" s="98" t="s">
        <v>60</v>
      </c>
      <c r="O17" s="10" t="s">
        <v>61</v>
      </c>
      <c r="P17" s="63">
        <v>100</v>
      </c>
      <c r="Q17" s="94" t="s">
        <v>62</v>
      </c>
      <c r="R17" s="63" t="s">
        <v>63</v>
      </c>
      <c r="S17" s="96" t="s">
        <v>64</v>
      </c>
      <c r="T17" s="10" t="s">
        <v>65</v>
      </c>
      <c r="U17" s="10"/>
      <c r="V17" s="10" t="s">
        <v>66</v>
      </c>
      <c r="W17" s="10"/>
      <c r="X17" s="9" t="s">
        <v>67</v>
      </c>
      <c r="Y17" s="10" t="s">
        <v>68</v>
      </c>
      <c r="Z17" s="94" t="s">
        <v>69</v>
      </c>
      <c r="AA17" s="94" t="s">
        <v>70</v>
      </c>
      <c r="AB17" s="9" t="s">
        <v>71</v>
      </c>
      <c r="AC17" s="10" t="s">
        <v>62</v>
      </c>
      <c r="AD17" s="10" t="s">
        <v>72</v>
      </c>
      <c r="AE17" s="65" t="s">
        <v>73</v>
      </c>
      <c r="AF17" s="39" t="s">
        <v>112</v>
      </c>
      <c r="AG17" s="10" t="s">
        <v>75</v>
      </c>
      <c r="AH17" s="4">
        <v>650</v>
      </c>
      <c r="AI17" s="11" t="s">
        <v>76</v>
      </c>
      <c r="AJ17" s="4" t="s">
        <v>77</v>
      </c>
      <c r="AK17" s="50">
        <v>998</v>
      </c>
      <c r="AL17" s="43">
        <v>228542000</v>
      </c>
      <c r="AM17" s="43">
        <v>15</v>
      </c>
      <c r="AN17" s="43">
        <v>3272400</v>
      </c>
      <c r="AO17" s="43">
        <v>300</v>
      </c>
      <c r="AP17" s="43">
        <v>65512505</v>
      </c>
      <c r="AQ17" s="43">
        <v>463</v>
      </c>
      <c r="AR17" s="43">
        <v>101911394</v>
      </c>
      <c r="AS17" s="52">
        <f t="shared" si="6"/>
        <v>0.46392785571142287</v>
      </c>
    </row>
    <row r="18" spans="1:45" x14ac:dyDescent="0.3">
      <c r="A18" s="1" t="str">
        <f t="shared" si="1"/>
        <v>DWDJ9F046BKS</v>
      </c>
      <c r="B18" s="32" t="s">
        <v>109</v>
      </c>
      <c r="C18" s="10" t="str">
        <f t="shared" si="4"/>
        <v>DJ9F0</v>
      </c>
      <c r="D18" s="10" t="s">
        <v>55</v>
      </c>
      <c r="E18" s="10" t="str">
        <f t="shared" si="2"/>
        <v>W</v>
      </c>
      <c r="F18" s="10" t="str">
        <f t="shared" si="3"/>
        <v>DJ</v>
      </c>
      <c r="G18" s="10" t="s">
        <v>56</v>
      </c>
      <c r="H18" s="4" t="s">
        <v>110</v>
      </c>
      <c r="I18" s="10" t="s">
        <v>78</v>
      </c>
      <c r="J18" s="4" t="str">
        <f t="shared" si="5"/>
        <v/>
      </c>
      <c r="K18" s="4">
        <v>1</v>
      </c>
      <c r="L18" s="43">
        <v>229000</v>
      </c>
      <c r="M18" s="78" t="s">
        <v>59</v>
      </c>
      <c r="N18" s="98" t="s">
        <v>60</v>
      </c>
      <c r="O18" s="10" t="s">
        <v>61</v>
      </c>
      <c r="P18" s="63">
        <v>100</v>
      </c>
      <c r="Q18" s="94" t="s">
        <v>62</v>
      </c>
      <c r="R18" s="63" t="s">
        <v>63</v>
      </c>
      <c r="S18" s="96" t="s">
        <v>64</v>
      </c>
      <c r="T18" s="10" t="s">
        <v>65</v>
      </c>
      <c r="U18" s="10"/>
      <c r="V18" s="10" t="s">
        <v>66</v>
      </c>
      <c r="W18" s="10"/>
      <c r="X18" s="9" t="s">
        <v>67</v>
      </c>
      <c r="Y18" s="10" t="s">
        <v>68</v>
      </c>
      <c r="Z18" s="94" t="s">
        <v>69</v>
      </c>
      <c r="AA18" s="94" t="s">
        <v>70</v>
      </c>
      <c r="AB18" s="9" t="s">
        <v>71</v>
      </c>
      <c r="AC18" s="10" t="s">
        <v>62</v>
      </c>
      <c r="AD18" s="10" t="s">
        <v>72</v>
      </c>
      <c r="AE18" s="65" t="s">
        <v>73</v>
      </c>
      <c r="AF18" s="39" t="s">
        <v>112</v>
      </c>
      <c r="AG18" s="10" t="s">
        <v>75</v>
      </c>
      <c r="AH18" s="4">
        <v>650</v>
      </c>
      <c r="AI18" s="11" t="s">
        <v>76</v>
      </c>
      <c r="AJ18" s="4" t="s">
        <v>77</v>
      </c>
      <c r="AK18" s="50">
        <v>1493</v>
      </c>
      <c r="AL18" s="43">
        <v>341897000</v>
      </c>
      <c r="AM18" s="43">
        <v>29</v>
      </c>
      <c r="AN18" s="43">
        <v>6545200</v>
      </c>
      <c r="AO18" s="43">
        <v>536</v>
      </c>
      <c r="AP18" s="43">
        <v>119889521</v>
      </c>
      <c r="AQ18" s="43">
        <v>768</v>
      </c>
      <c r="AR18" s="43">
        <v>170939520</v>
      </c>
      <c r="AS18" s="52">
        <f t="shared" si="6"/>
        <v>0.51440053583389145</v>
      </c>
    </row>
    <row r="19" spans="1:45" x14ac:dyDescent="0.3">
      <c r="A19" s="1" t="str">
        <f t="shared" si="1"/>
        <v>DWDJ9E046COS</v>
      </c>
      <c r="B19" s="32" t="s">
        <v>114</v>
      </c>
      <c r="C19" s="10" t="str">
        <f t="shared" si="4"/>
        <v>DJ9E0</v>
      </c>
      <c r="D19" s="10" t="s">
        <v>55</v>
      </c>
      <c r="E19" s="10" t="str">
        <f t="shared" si="2"/>
        <v>W</v>
      </c>
      <c r="F19" s="10" t="str">
        <f t="shared" si="3"/>
        <v>DJ</v>
      </c>
      <c r="G19" s="10" t="s">
        <v>56</v>
      </c>
      <c r="H19" s="4" t="s">
        <v>115</v>
      </c>
      <c r="I19" s="10" t="s">
        <v>116</v>
      </c>
      <c r="J19" s="4">
        <f t="shared" si="5"/>
        <v>1</v>
      </c>
      <c r="K19" s="4">
        <v>1</v>
      </c>
      <c r="L19" s="43">
        <v>379000</v>
      </c>
      <c r="M19" s="78" t="s">
        <v>117</v>
      </c>
      <c r="N19" s="98" t="s">
        <v>118</v>
      </c>
      <c r="O19" s="10" t="s">
        <v>61</v>
      </c>
      <c r="P19" s="63">
        <v>100</v>
      </c>
      <c r="Q19" s="94" t="s">
        <v>119</v>
      </c>
      <c r="R19" s="63" t="s">
        <v>120</v>
      </c>
      <c r="S19" s="96" t="s">
        <v>121</v>
      </c>
      <c r="T19" s="10" t="s">
        <v>122</v>
      </c>
      <c r="U19" s="10" t="s">
        <v>123</v>
      </c>
      <c r="V19" s="10" t="s">
        <v>66</v>
      </c>
      <c r="W19" s="10" t="s">
        <v>124</v>
      </c>
      <c r="X19" s="9" t="s">
        <v>67</v>
      </c>
      <c r="Y19" s="10" t="s">
        <v>68</v>
      </c>
      <c r="Z19" s="94" t="s">
        <v>125</v>
      </c>
      <c r="AA19" s="94" t="s">
        <v>90</v>
      </c>
      <c r="AB19" s="9" t="s">
        <v>71</v>
      </c>
      <c r="AC19" s="10" t="s">
        <v>62</v>
      </c>
      <c r="AD19" s="10" t="s">
        <v>72</v>
      </c>
      <c r="AE19" s="65" t="s">
        <v>73</v>
      </c>
      <c r="AF19" s="39" t="s">
        <v>126</v>
      </c>
      <c r="AG19" s="10" t="s">
        <v>127</v>
      </c>
      <c r="AH19" s="4">
        <v>650</v>
      </c>
      <c r="AI19" s="11" t="s">
        <v>128</v>
      </c>
      <c r="AJ19" s="4" t="s">
        <v>129</v>
      </c>
      <c r="AK19" s="50">
        <v>770</v>
      </c>
      <c r="AL19" s="43">
        <v>291830000</v>
      </c>
      <c r="AM19" s="43">
        <v>0</v>
      </c>
      <c r="AN19" s="43">
        <v>0</v>
      </c>
      <c r="AO19" s="43">
        <v>13</v>
      </c>
      <c r="AP19" s="43">
        <v>4626416</v>
      </c>
      <c r="AQ19" s="43">
        <v>25</v>
      </c>
      <c r="AR19" s="43">
        <v>8189016</v>
      </c>
      <c r="AS19" s="52">
        <f t="shared" si="6"/>
        <v>3.2467532467532464E-2</v>
      </c>
    </row>
    <row r="20" spans="1:45" x14ac:dyDescent="0.3">
      <c r="A20" s="1" t="str">
        <f t="shared" si="1"/>
        <v>DWDJ9E046IVS</v>
      </c>
      <c r="B20" s="32" t="s">
        <v>114</v>
      </c>
      <c r="C20" s="10" t="str">
        <f t="shared" si="4"/>
        <v>DJ9E0</v>
      </c>
      <c r="D20" s="10" t="s">
        <v>55</v>
      </c>
      <c r="E20" s="10" t="str">
        <f t="shared" si="2"/>
        <v>W</v>
      </c>
      <c r="F20" s="10" t="str">
        <f t="shared" si="3"/>
        <v>DJ</v>
      </c>
      <c r="G20" s="10" t="s">
        <v>56</v>
      </c>
      <c r="H20" s="4" t="s">
        <v>115</v>
      </c>
      <c r="I20" s="10" t="s">
        <v>111</v>
      </c>
      <c r="J20" s="4" t="str">
        <f t="shared" si="5"/>
        <v/>
      </c>
      <c r="K20" s="4">
        <v>1</v>
      </c>
      <c r="L20" s="43">
        <v>379000</v>
      </c>
      <c r="M20" s="78" t="s">
        <v>117</v>
      </c>
      <c r="N20" s="98" t="s">
        <v>118</v>
      </c>
      <c r="O20" s="10" t="s">
        <v>61</v>
      </c>
      <c r="P20" s="63">
        <v>100</v>
      </c>
      <c r="Q20" s="94" t="s">
        <v>119</v>
      </c>
      <c r="R20" s="63" t="s">
        <v>120</v>
      </c>
      <c r="S20" s="96" t="s">
        <v>121</v>
      </c>
      <c r="T20" s="10" t="s">
        <v>122</v>
      </c>
      <c r="U20" s="10" t="s">
        <v>123</v>
      </c>
      <c r="V20" s="10" t="s">
        <v>66</v>
      </c>
      <c r="W20" s="10" t="s">
        <v>124</v>
      </c>
      <c r="X20" s="9" t="s">
        <v>67</v>
      </c>
      <c r="Y20" s="10" t="s">
        <v>68</v>
      </c>
      <c r="Z20" s="94" t="s">
        <v>125</v>
      </c>
      <c r="AA20" s="94" t="s">
        <v>90</v>
      </c>
      <c r="AB20" s="9" t="s">
        <v>71</v>
      </c>
      <c r="AC20" s="10" t="s">
        <v>62</v>
      </c>
      <c r="AD20" s="10" t="s">
        <v>72</v>
      </c>
      <c r="AE20" s="65" t="s">
        <v>73</v>
      </c>
      <c r="AF20" s="39" t="s">
        <v>126</v>
      </c>
      <c r="AG20" s="10" t="s">
        <v>127</v>
      </c>
      <c r="AH20" s="4">
        <v>650</v>
      </c>
      <c r="AI20" s="11" t="s">
        <v>128</v>
      </c>
      <c r="AJ20" s="4" t="s">
        <v>129</v>
      </c>
      <c r="AK20" s="50">
        <v>950</v>
      </c>
      <c r="AL20" s="43">
        <v>360050000</v>
      </c>
      <c r="AM20" s="43">
        <v>12</v>
      </c>
      <c r="AN20" s="43">
        <v>4546000</v>
      </c>
      <c r="AO20" s="43">
        <v>47</v>
      </c>
      <c r="AP20" s="43">
        <v>17341854</v>
      </c>
      <c r="AQ20" s="43">
        <v>108</v>
      </c>
      <c r="AR20" s="43">
        <v>35888654</v>
      </c>
      <c r="AS20" s="52">
        <f t="shared" si="6"/>
        <v>0.11368421052631579</v>
      </c>
    </row>
    <row r="21" spans="1:45" x14ac:dyDescent="0.3">
      <c r="A21" s="1" t="str">
        <f t="shared" si="1"/>
        <v>DWDJ9E046BKS</v>
      </c>
      <c r="B21" s="32" t="s">
        <v>114</v>
      </c>
      <c r="C21" s="10" t="str">
        <f t="shared" si="4"/>
        <v>DJ9E0</v>
      </c>
      <c r="D21" s="10" t="s">
        <v>55</v>
      </c>
      <c r="E21" s="10" t="str">
        <f t="shared" si="2"/>
        <v>W</v>
      </c>
      <c r="F21" s="10" t="str">
        <f t="shared" si="3"/>
        <v>DJ</v>
      </c>
      <c r="G21" s="10" t="s">
        <v>56</v>
      </c>
      <c r="H21" s="4" t="s">
        <v>115</v>
      </c>
      <c r="I21" s="10" t="s">
        <v>78</v>
      </c>
      <c r="J21" s="4" t="str">
        <f t="shared" si="5"/>
        <v/>
      </c>
      <c r="K21" s="4">
        <v>1</v>
      </c>
      <c r="L21" s="43">
        <v>379000</v>
      </c>
      <c r="M21" s="78" t="s">
        <v>117</v>
      </c>
      <c r="N21" s="98" t="s">
        <v>118</v>
      </c>
      <c r="O21" s="10" t="s">
        <v>61</v>
      </c>
      <c r="P21" s="63">
        <v>100</v>
      </c>
      <c r="Q21" s="94" t="s">
        <v>119</v>
      </c>
      <c r="R21" s="63" t="s">
        <v>120</v>
      </c>
      <c r="S21" s="96" t="s">
        <v>121</v>
      </c>
      <c r="T21" s="10" t="s">
        <v>122</v>
      </c>
      <c r="U21" s="10" t="s">
        <v>123</v>
      </c>
      <c r="V21" s="10" t="s">
        <v>66</v>
      </c>
      <c r="W21" s="10" t="s">
        <v>124</v>
      </c>
      <c r="X21" s="9" t="s">
        <v>67</v>
      </c>
      <c r="Y21" s="10" t="s">
        <v>68</v>
      </c>
      <c r="Z21" s="94" t="s">
        <v>125</v>
      </c>
      <c r="AA21" s="94" t="s">
        <v>90</v>
      </c>
      <c r="AB21" s="9" t="s">
        <v>71</v>
      </c>
      <c r="AC21" s="10" t="s">
        <v>62</v>
      </c>
      <c r="AD21" s="10" t="s">
        <v>72</v>
      </c>
      <c r="AE21" s="65" t="s">
        <v>73</v>
      </c>
      <c r="AF21" s="39" t="s">
        <v>126</v>
      </c>
      <c r="AG21" s="10" t="s">
        <v>127</v>
      </c>
      <c r="AH21" s="4">
        <v>650</v>
      </c>
      <c r="AI21" s="11" t="s">
        <v>128</v>
      </c>
      <c r="AJ21" s="4" t="s">
        <v>129</v>
      </c>
      <c r="AK21" s="50">
        <v>1155</v>
      </c>
      <c r="AL21" s="43">
        <v>437745000</v>
      </c>
      <c r="AM21" s="43">
        <v>17</v>
      </c>
      <c r="AN21" s="43">
        <v>6417000</v>
      </c>
      <c r="AO21" s="43">
        <v>83</v>
      </c>
      <c r="AP21" s="43">
        <v>31154681</v>
      </c>
      <c r="AQ21" s="43">
        <v>227</v>
      </c>
      <c r="AR21" s="43">
        <v>74565901</v>
      </c>
      <c r="AS21" s="52">
        <f t="shared" si="6"/>
        <v>0.19653679653679654</v>
      </c>
    </row>
    <row r="22" spans="1:45" x14ac:dyDescent="0.3">
      <c r="A22" s="1" t="str">
        <f t="shared" si="1"/>
        <v>DWDJ93046GRL</v>
      </c>
      <c r="B22" s="32" t="s">
        <v>130</v>
      </c>
      <c r="C22" s="10" t="str">
        <f t="shared" si="4"/>
        <v>DJ930</v>
      </c>
      <c r="D22" s="10" t="s">
        <v>55</v>
      </c>
      <c r="E22" s="10" t="str">
        <f t="shared" si="2"/>
        <v>W</v>
      </c>
      <c r="F22" s="10" t="str">
        <f t="shared" si="3"/>
        <v>DJ</v>
      </c>
      <c r="G22" s="10" t="s">
        <v>56</v>
      </c>
      <c r="H22" s="4" t="s">
        <v>131</v>
      </c>
      <c r="I22" s="10" t="s">
        <v>113</v>
      </c>
      <c r="J22" s="4">
        <f t="shared" si="5"/>
        <v>1</v>
      </c>
      <c r="K22" s="4">
        <v>1</v>
      </c>
      <c r="L22" s="43">
        <v>279000</v>
      </c>
      <c r="M22" s="78" t="s">
        <v>132</v>
      </c>
      <c r="N22" s="98" t="s">
        <v>133</v>
      </c>
      <c r="O22" s="10" t="s">
        <v>61</v>
      </c>
      <c r="P22" s="63">
        <v>100</v>
      </c>
      <c r="Q22" s="94" t="s">
        <v>85</v>
      </c>
      <c r="R22" s="63" t="s">
        <v>134</v>
      </c>
      <c r="S22" s="96" t="s">
        <v>135</v>
      </c>
      <c r="T22" s="10" t="s">
        <v>122</v>
      </c>
      <c r="U22" s="10" t="s">
        <v>136</v>
      </c>
      <c r="V22" s="10" t="s">
        <v>66</v>
      </c>
      <c r="W22" s="10"/>
      <c r="X22" s="9" t="s">
        <v>67</v>
      </c>
      <c r="Y22" s="10" t="s">
        <v>68</v>
      </c>
      <c r="Z22" s="94" t="s">
        <v>125</v>
      </c>
      <c r="AA22" s="94" t="s">
        <v>90</v>
      </c>
      <c r="AB22" s="9" t="s">
        <v>71</v>
      </c>
      <c r="AC22" s="10" t="s">
        <v>62</v>
      </c>
      <c r="AD22" s="10" t="s">
        <v>72</v>
      </c>
      <c r="AE22" s="65" t="s">
        <v>137</v>
      </c>
      <c r="AF22" s="39" t="s">
        <v>106</v>
      </c>
      <c r="AG22" s="10" t="s">
        <v>127</v>
      </c>
      <c r="AH22" s="4">
        <v>650</v>
      </c>
      <c r="AI22" s="11" t="s">
        <v>128</v>
      </c>
      <c r="AJ22" s="4" t="s">
        <v>94</v>
      </c>
      <c r="AK22" s="50">
        <v>5602</v>
      </c>
      <c r="AL22" s="43">
        <v>1562958000</v>
      </c>
      <c r="AM22" s="43">
        <v>371</v>
      </c>
      <c r="AN22" s="43">
        <v>102393107</v>
      </c>
      <c r="AO22" s="43">
        <v>1500</v>
      </c>
      <c r="AP22" s="43">
        <v>412705796</v>
      </c>
      <c r="AQ22" s="43">
        <v>3493</v>
      </c>
      <c r="AR22" s="43">
        <v>948034537</v>
      </c>
      <c r="AS22" s="52">
        <f t="shared" si="6"/>
        <v>0.62352731167440201</v>
      </c>
    </row>
    <row r="23" spans="1:45" x14ac:dyDescent="0.3">
      <c r="A23" s="1" t="str">
        <f t="shared" si="1"/>
        <v>DWDJ93046CRS</v>
      </c>
      <c r="B23" s="32" t="s">
        <v>130</v>
      </c>
      <c r="C23" s="10" t="str">
        <f t="shared" si="4"/>
        <v>DJ930</v>
      </c>
      <c r="D23" s="10" t="s">
        <v>55</v>
      </c>
      <c r="E23" s="10" t="str">
        <f t="shared" si="2"/>
        <v>W</v>
      </c>
      <c r="F23" s="10" t="str">
        <f t="shared" si="3"/>
        <v>DJ</v>
      </c>
      <c r="G23" s="10" t="s">
        <v>56</v>
      </c>
      <c r="H23" s="4" t="s">
        <v>131</v>
      </c>
      <c r="I23" s="10" t="s">
        <v>79</v>
      </c>
      <c r="J23" s="4" t="str">
        <f t="shared" si="5"/>
        <v/>
      </c>
      <c r="K23" s="4">
        <v>1</v>
      </c>
      <c r="L23" s="43">
        <v>279000</v>
      </c>
      <c r="M23" s="78" t="s">
        <v>132</v>
      </c>
      <c r="N23" s="98" t="s">
        <v>133</v>
      </c>
      <c r="O23" s="10" t="s">
        <v>61</v>
      </c>
      <c r="P23" s="63">
        <v>100</v>
      </c>
      <c r="Q23" s="94" t="s">
        <v>85</v>
      </c>
      <c r="R23" s="63" t="s">
        <v>134</v>
      </c>
      <c r="S23" s="96" t="s">
        <v>135</v>
      </c>
      <c r="T23" s="10" t="s">
        <v>122</v>
      </c>
      <c r="U23" s="10" t="s">
        <v>136</v>
      </c>
      <c r="V23" s="10" t="s">
        <v>66</v>
      </c>
      <c r="W23" s="10"/>
      <c r="X23" s="9" t="s">
        <v>67</v>
      </c>
      <c r="Y23" s="10" t="s">
        <v>68</v>
      </c>
      <c r="Z23" s="94" t="s">
        <v>125</v>
      </c>
      <c r="AA23" s="94" t="s">
        <v>90</v>
      </c>
      <c r="AB23" s="9" t="s">
        <v>71</v>
      </c>
      <c r="AC23" s="10" t="s">
        <v>62</v>
      </c>
      <c r="AD23" s="10" t="s">
        <v>72</v>
      </c>
      <c r="AE23" s="65" t="s">
        <v>137</v>
      </c>
      <c r="AF23" s="39" t="s">
        <v>106</v>
      </c>
      <c r="AG23" s="10" t="s">
        <v>127</v>
      </c>
      <c r="AH23" s="4">
        <v>650</v>
      </c>
      <c r="AI23" s="11" t="s">
        <v>128</v>
      </c>
      <c r="AJ23" s="4" t="s">
        <v>94</v>
      </c>
      <c r="AK23" s="50">
        <v>10190</v>
      </c>
      <c r="AL23" s="43">
        <v>2843010000</v>
      </c>
      <c r="AM23" s="43">
        <v>483</v>
      </c>
      <c r="AN23" s="43">
        <v>133497021</v>
      </c>
      <c r="AO23" s="43">
        <v>2098</v>
      </c>
      <c r="AP23" s="43">
        <v>578317896</v>
      </c>
      <c r="AQ23" s="43">
        <v>4672</v>
      </c>
      <c r="AR23" s="43">
        <v>1270703725</v>
      </c>
      <c r="AS23" s="52">
        <f t="shared" si="6"/>
        <v>0.45848871442590777</v>
      </c>
    </row>
    <row r="24" spans="1:45" x14ac:dyDescent="0.3">
      <c r="A24" s="1" t="str">
        <f t="shared" si="1"/>
        <v>DWDJ93046BRL</v>
      </c>
      <c r="B24" s="32" t="s">
        <v>130</v>
      </c>
      <c r="C24" s="10" t="str">
        <f t="shared" si="4"/>
        <v>DJ930</v>
      </c>
      <c r="D24" s="10" t="s">
        <v>55</v>
      </c>
      <c r="E24" s="10" t="str">
        <f t="shared" si="2"/>
        <v>W</v>
      </c>
      <c r="F24" s="10" t="str">
        <f t="shared" si="3"/>
        <v>DJ</v>
      </c>
      <c r="G24" s="10" t="s">
        <v>56</v>
      </c>
      <c r="H24" s="4" t="s">
        <v>131</v>
      </c>
      <c r="I24" s="10" t="s">
        <v>138</v>
      </c>
      <c r="J24" s="4" t="str">
        <f t="shared" si="5"/>
        <v/>
      </c>
      <c r="K24" s="4">
        <v>1</v>
      </c>
      <c r="L24" s="43">
        <v>279000</v>
      </c>
      <c r="M24" s="78" t="s">
        <v>132</v>
      </c>
      <c r="N24" s="98" t="s">
        <v>133</v>
      </c>
      <c r="O24" s="10" t="s">
        <v>61</v>
      </c>
      <c r="P24" s="63">
        <v>100</v>
      </c>
      <c r="Q24" s="94" t="s">
        <v>85</v>
      </c>
      <c r="R24" s="63" t="s">
        <v>134</v>
      </c>
      <c r="S24" s="96" t="s">
        <v>135</v>
      </c>
      <c r="T24" s="10" t="s">
        <v>122</v>
      </c>
      <c r="U24" s="10" t="s">
        <v>136</v>
      </c>
      <c r="V24" s="10" t="s">
        <v>66</v>
      </c>
      <c r="W24" s="10"/>
      <c r="X24" s="9" t="s">
        <v>67</v>
      </c>
      <c r="Y24" s="10" t="s">
        <v>68</v>
      </c>
      <c r="Z24" s="94" t="s">
        <v>125</v>
      </c>
      <c r="AA24" s="94" t="s">
        <v>90</v>
      </c>
      <c r="AB24" s="9" t="s">
        <v>71</v>
      </c>
      <c r="AC24" s="10" t="s">
        <v>62</v>
      </c>
      <c r="AD24" s="10" t="s">
        <v>72</v>
      </c>
      <c r="AE24" s="65" t="s">
        <v>137</v>
      </c>
      <c r="AF24" s="39" t="s">
        <v>106</v>
      </c>
      <c r="AG24" s="10" t="s">
        <v>127</v>
      </c>
      <c r="AH24" s="4">
        <v>650</v>
      </c>
      <c r="AI24" s="11" t="s">
        <v>128</v>
      </c>
      <c r="AJ24" s="4" t="s">
        <v>94</v>
      </c>
      <c r="AK24" s="50">
        <v>3042</v>
      </c>
      <c r="AL24" s="43">
        <v>848718000</v>
      </c>
      <c r="AM24" s="43">
        <v>231</v>
      </c>
      <c r="AN24" s="43">
        <v>63758268</v>
      </c>
      <c r="AO24" s="43">
        <v>1091</v>
      </c>
      <c r="AP24" s="43">
        <v>299292932</v>
      </c>
      <c r="AQ24" s="43">
        <v>2330</v>
      </c>
      <c r="AR24" s="43">
        <v>631287623</v>
      </c>
      <c r="AS24" s="52">
        <f t="shared" si="6"/>
        <v>0.76594345825115051</v>
      </c>
    </row>
    <row r="25" spans="1:45" x14ac:dyDescent="0.3">
      <c r="A25" s="1" t="str">
        <f t="shared" si="1"/>
        <v>DWDJ93046LDS</v>
      </c>
      <c r="B25" s="32" t="s">
        <v>130</v>
      </c>
      <c r="C25" s="10" t="str">
        <f t="shared" si="4"/>
        <v>DJ930</v>
      </c>
      <c r="D25" s="10" t="s">
        <v>55</v>
      </c>
      <c r="E25" s="10" t="str">
        <f t="shared" si="2"/>
        <v>W</v>
      </c>
      <c r="F25" s="10" t="str">
        <f t="shared" si="3"/>
        <v>DJ</v>
      </c>
      <c r="G25" s="10" t="s">
        <v>56</v>
      </c>
      <c r="H25" s="4" t="s">
        <v>131</v>
      </c>
      <c r="I25" s="10" t="s">
        <v>139</v>
      </c>
      <c r="J25" s="4" t="str">
        <f t="shared" si="5"/>
        <v/>
      </c>
      <c r="K25" s="4">
        <v>1</v>
      </c>
      <c r="L25" s="43">
        <v>279000</v>
      </c>
      <c r="M25" s="78" t="s">
        <v>132</v>
      </c>
      <c r="N25" s="98" t="s">
        <v>133</v>
      </c>
      <c r="O25" s="10" t="s">
        <v>61</v>
      </c>
      <c r="P25" s="63">
        <v>100</v>
      </c>
      <c r="Q25" s="94" t="s">
        <v>85</v>
      </c>
      <c r="R25" s="63" t="s">
        <v>134</v>
      </c>
      <c r="S25" s="96" t="s">
        <v>135</v>
      </c>
      <c r="T25" s="10" t="s">
        <v>122</v>
      </c>
      <c r="U25" s="10" t="s">
        <v>136</v>
      </c>
      <c r="V25" s="10" t="s">
        <v>66</v>
      </c>
      <c r="W25" s="10"/>
      <c r="X25" s="9" t="s">
        <v>67</v>
      </c>
      <c r="Y25" s="10" t="s">
        <v>68</v>
      </c>
      <c r="Z25" s="94" t="s">
        <v>125</v>
      </c>
      <c r="AA25" s="94" t="s">
        <v>90</v>
      </c>
      <c r="AB25" s="9" t="s">
        <v>71</v>
      </c>
      <c r="AC25" s="10" t="s">
        <v>62</v>
      </c>
      <c r="AD25" s="10" t="s">
        <v>72</v>
      </c>
      <c r="AE25" s="65" t="s">
        <v>137</v>
      </c>
      <c r="AF25" s="39" t="s">
        <v>106</v>
      </c>
      <c r="AG25" s="10" t="s">
        <v>127</v>
      </c>
      <c r="AH25" s="4">
        <v>650</v>
      </c>
      <c r="AI25" s="11" t="s">
        <v>128</v>
      </c>
      <c r="AJ25" s="4" t="s">
        <v>94</v>
      </c>
      <c r="AK25" s="50">
        <v>2012</v>
      </c>
      <c r="AL25" s="43">
        <v>561348000</v>
      </c>
      <c r="AM25" s="43">
        <v>33</v>
      </c>
      <c r="AN25" s="43">
        <v>9168861</v>
      </c>
      <c r="AO25" s="43">
        <v>184</v>
      </c>
      <c r="AP25" s="43">
        <v>50610238</v>
      </c>
      <c r="AQ25" s="43">
        <v>416</v>
      </c>
      <c r="AR25" s="43">
        <v>113347710</v>
      </c>
      <c r="AS25" s="52">
        <f t="shared" si="6"/>
        <v>0.20675944333996024</v>
      </c>
    </row>
    <row r="26" spans="1:45" x14ac:dyDescent="0.3">
      <c r="A26" s="1" t="str">
        <f t="shared" si="1"/>
        <v>DWDJ93046BKS</v>
      </c>
      <c r="B26" s="32" t="s">
        <v>130</v>
      </c>
      <c r="C26" s="10" t="str">
        <f t="shared" si="4"/>
        <v>DJ930</v>
      </c>
      <c r="D26" s="10" t="s">
        <v>55</v>
      </c>
      <c r="E26" s="10" t="str">
        <f t="shared" si="2"/>
        <v>W</v>
      </c>
      <c r="F26" s="10" t="str">
        <f t="shared" si="3"/>
        <v>DJ</v>
      </c>
      <c r="G26" s="10" t="s">
        <v>56</v>
      </c>
      <c r="H26" s="4" t="s">
        <v>131</v>
      </c>
      <c r="I26" s="10" t="s">
        <v>78</v>
      </c>
      <c r="J26" s="4" t="str">
        <f t="shared" si="5"/>
        <v/>
      </c>
      <c r="K26" s="4">
        <v>1</v>
      </c>
      <c r="L26" s="43">
        <v>279000</v>
      </c>
      <c r="M26" s="78" t="s">
        <v>132</v>
      </c>
      <c r="N26" s="98" t="s">
        <v>133</v>
      </c>
      <c r="O26" s="10" t="s">
        <v>61</v>
      </c>
      <c r="P26" s="63">
        <v>100</v>
      </c>
      <c r="Q26" s="94" t="s">
        <v>85</v>
      </c>
      <c r="R26" s="63" t="s">
        <v>134</v>
      </c>
      <c r="S26" s="96" t="s">
        <v>135</v>
      </c>
      <c r="T26" s="10" t="s">
        <v>122</v>
      </c>
      <c r="U26" s="10" t="s">
        <v>136</v>
      </c>
      <c r="V26" s="10" t="s">
        <v>66</v>
      </c>
      <c r="W26" s="10"/>
      <c r="X26" s="9" t="s">
        <v>67</v>
      </c>
      <c r="Y26" s="10" t="s">
        <v>68</v>
      </c>
      <c r="Z26" s="94" t="s">
        <v>125</v>
      </c>
      <c r="AA26" s="94" t="s">
        <v>90</v>
      </c>
      <c r="AB26" s="9" t="s">
        <v>71</v>
      </c>
      <c r="AC26" s="10" t="s">
        <v>62</v>
      </c>
      <c r="AD26" s="10" t="s">
        <v>72</v>
      </c>
      <c r="AE26" s="65" t="s">
        <v>137</v>
      </c>
      <c r="AF26" s="39" t="s">
        <v>106</v>
      </c>
      <c r="AG26" s="10" t="s">
        <v>127</v>
      </c>
      <c r="AH26" s="4">
        <v>650</v>
      </c>
      <c r="AI26" s="11" t="s">
        <v>128</v>
      </c>
      <c r="AJ26" s="4" t="s">
        <v>94</v>
      </c>
      <c r="AK26" s="50">
        <v>10619</v>
      </c>
      <c r="AL26" s="43">
        <v>2962701000</v>
      </c>
      <c r="AM26" s="43">
        <v>896</v>
      </c>
      <c r="AN26" s="43">
        <v>247662771</v>
      </c>
      <c r="AO26" s="43">
        <v>3376</v>
      </c>
      <c r="AP26" s="43">
        <v>931994651</v>
      </c>
      <c r="AQ26" s="43">
        <v>7985</v>
      </c>
      <c r="AR26" s="43">
        <v>2173706668</v>
      </c>
      <c r="AS26" s="52">
        <f t="shared" si="6"/>
        <v>0.75195404463697146</v>
      </c>
    </row>
    <row r="27" spans="1:45" x14ac:dyDescent="0.3">
      <c r="A27" s="1" t="str">
        <f t="shared" si="1"/>
        <v>DWDJ93046BKN</v>
      </c>
      <c r="B27" s="32" t="s">
        <v>130</v>
      </c>
      <c r="C27" s="10" t="str">
        <f t="shared" si="4"/>
        <v>DJ930</v>
      </c>
      <c r="D27" s="10" t="s">
        <v>55</v>
      </c>
      <c r="E27" s="10" t="str">
        <f t="shared" si="2"/>
        <v>W</v>
      </c>
      <c r="F27" s="10" t="str">
        <f t="shared" si="3"/>
        <v>DJ</v>
      </c>
      <c r="G27" s="10" t="s">
        <v>56</v>
      </c>
      <c r="H27" s="4" t="s">
        <v>131</v>
      </c>
      <c r="I27" s="10" t="s">
        <v>140</v>
      </c>
      <c r="J27" s="4" t="str">
        <f t="shared" si="5"/>
        <v/>
      </c>
      <c r="K27" s="4">
        <v>1</v>
      </c>
      <c r="L27" s="43">
        <v>279000</v>
      </c>
      <c r="M27" s="78" t="s">
        <v>141</v>
      </c>
      <c r="N27" s="98" t="s">
        <v>142</v>
      </c>
      <c r="O27" s="10" t="s">
        <v>143</v>
      </c>
      <c r="P27" s="63">
        <v>100</v>
      </c>
      <c r="Q27" s="94" t="s">
        <v>144</v>
      </c>
      <c r="R27" s="63" t="s">
        <v>145</v>
      </c>
      <c r="S27" s="96" t="s">
        <v>146</v>
      </c>
      <c r="T27" s="10" t="s">
        <v>65</v>
      </c>
      <c r="U27" s="10"/>
      <c r="V27" s="10" t="s">
        <v>66</v>
      </c>
      <c r="W27" s="10"/>
      <c r="X27" s="9" t="s">
        <v>67</v>
      </c>
      <c r="Y27" s="10" t="s">
        <v>68</v>
      </c>
      <c r="Z27" s="94" t="s">
        <v>69</v>
      </c>
      <c r="AA27" s="94" t="s">
        <v>147</v>
      </c>
      <c r="AB27" s="9" t="s">
        <v>71</v>
      </c>
      <c r="AC27" s="10" t="s">
        <v>62</v>
      </c>
      <c r="AD27" s="10" t="s">
        <v>72</v>
      </c>
      <c r="AE27" s="65" t="s">
        <v>137</v>
      </c>
      <c r="AF27" s="39" t="s">
        <v>106</v>
      </c>
      <c r="AG27" s="10" t="s">
        <v>127</v>
      </c>
      <c r="AH27" s="4">
        <v>650</v>
      </c>
      <c r="AI27" s="11" t="s">
        <v>128</v>
      </c>
      <c r="AJ27" s="4" t="s">
        <v>94</v>
      </c>
      <c r="AK27" s="50">
        <v>2033</v>
      </c>
      <c r="AL27" s="43">
        <v>567207000</v>
      </c>
      <c r="AM27" s="43">
        <v>251</v>
      </c>
      <c r="AN27" s="43">
        <v>68813216</v>
      </c>
      <c r="AO27" s="43">
        <v>1024</v>
      </c>
      <c r="AP27" s="43">
        <v>281593831</v>
      </c>
      <c r="AQ27" s="43">
        <v>1849</v>
      </c>
      <c r="AR27" s="43">
        <v>502215616</v>
      </c>
      <c r="AS27" s="52">
        <f t="shared" si="6"/>
        <v>0.90949335956714217</v>
      </c>
    </row>
    <row r="28" spans="1:45" x14ac:dyDescent="0.3">
      <c r="A28" s="1" t="str">
        <f t="shared" si="1"/>
        <v>DWDJ93046BRN</v>
      </c>
      <c r="B28" s="32" t="s">
        <v>130</v>
      </c>
      <c r="C28" s="10" t="str">
        <f t="shared" si="4"/>
        <v>DJ930</v>
      </c>
      <c r="D28" s="10" t="s">
        <v>148</v>
      </c>
      <c r="E28" s="10" t="str">
        <f t="shared" si="2"/>
        <v>W</v>
      </c>
      <c r="F28" s="10" t="str">
        <f t="shared" si="3"/>
        <v>DJ</v>
      </c>
      <c r="G28" s="10" t="s">
        <v>56</v>
      </c>
      <c r="H28" s="4" t="s">
        <v>131</v>
      </c>
      <c r="I28" s="10" t="s">
        <v>149</v>
      </c>
      <c r="J28" s="4" t="str">
        <f t="shared" si="5"/>
        <v/>
      </c>
      <c r="K28" s="4">
        <v>1</v>
      </c>
      <c r="L28" s="43">
        <v>279000</v>
      </c>
      <c r="M28" s="78" t="s">
        <v>150</v>
      </c>
      <c r="N28" s="98" t="s">
        <v>151</v>
      </c>
      <c r="O28" s="10" t="s">
        <v>143</v>
      </c>
      <c r="P28" s="63">
        <v>100</v>
      </c>
      <c r="Q28" s="94" t="s">
        <v>144</v>
      </c>
      <c r="R28" s="63" t="s">
        <v>145</v>
      </c>
      <c r="S28" s="96" t="s">
        <v>152</v>
      </c>
      <c r="T28" s="10" t="s">
        <v>65</v>
      </c>
      <c r="U28" s="10"/>
      <c r="V28" s="10" t="s">
        <v>153</v>
      </c>
      <c r="W28" s="10"/>
      <c r="X28" s="9" t="s">
        <v>67</v>
      </c>
      <c r="Y28" s="10" t="s">
        <v>68</v>
      </c>
      <c r="Z28" s="94" t="s">
        <v>154</v>
      </c>
      <c r="AA28" s="94" t="s">
        <v>147</v>
      </c>
      <c r="AB28" s="9" t="s">
        <v>71</v>
      </c>
      <c r="AC28" s="10" t="s">
        <v>62</v>
      </c>
      <c r="AD28" s="10" t="s">
        <v>72</v>
      </c>
      <c r="AE28" s="65" t="s">
        <v>137</v>
      </c>
      <c r="AF28" s="39" t="s">
        <v>106</v>
      </c>
      <c r="AG28" s="10" t="s">
        <v>127</v>
      </c>
      <c r="AH28" s="4">
        <v>650</v>
      </c>
      <c r="AI28" s="11" t="s">
        <v>128</v>
      </c>
      <c r="AJ28" s="4" t="s">
        <v>94</v>
      </c>
      <c r="AK28" s="50">
        <v>1560</v>
      </c>
      <c r="AL28" s="43">
        <v>435240000</v>
      </c>
      <c r="AM28" s="43">
        <v>135</v>
      </c>
      <c r="AN28" s="43">
        <v>37191052</v>
      </c>
      <c r="AO28" s="43">
        <v>543</v>
      </c>
      <c r="AP28" s="43">
        <v>149071994</v>
      </c>
      <c r="AQ28" s="43">
        <v>1114</v>
      </c>
      <c r="AR28" s="43">
        <v>301186611</v>
      </c>
      <c r="AS28" s="52">
        <f t="shared" si="6"/>
        <v>0.71410256410256412</v>
      </c>
    </row>
    <row r="29" spans="1:45" x14ac:dyDescent="0.3">
      <c r="A29" s="1" t="str">
        <f t="shared" si="1"/>
        <v>DWDJ93046BDS</v>
      </c>
      <c r="B29" s="32" t="s">
        <v>130</v>
      </c>
      <c r="C29" s="10" t="str">
        <f t="shared" si="4"/>
        <v>DJ930</v>
      </c>
      <c r="D29" s="10" t="s">
        <v>148</v>
      </c>
      <c r="E29" s="10" t="str">
        <f t="shared" si="2"/>
        <v>W</v>
      </c>
      <c r="F29" s="10" t="str">
        <f t="shared" si="3"/>
        <v>DJ</v>
      </c>
      <c r="G29" s="10" t="s">
        <v>56</v>
      </c>
      <c r="H29" s="4" t="s">
        <v>131</v>
      </c>
      <c r="I29" s="10" t="s">
        <v>155</v>
      </c>
      <c r="J29" s="4" t="str">
        <f t="shared" si="5"/>
        <v/>
      </c>
      <c r="K29" s="4">
        <v>1</v>
      </c>
      <c r="L29" s="43">
        <v>279000</v>
      </c>
      <c r="M29" s="78" t="s">
        <v>132</v>
      </c>
      <c r="N29" s="98" t="s">
        <v>133</v>
      </c>
      <c r="O29" s="10" t="s">
        <v>61</v>
      </c>
      <c r="P29" s="63">
        <v>100</v>
      </c>
      <c r="Q29" s="94" t="s">
        <v>85</v>
      </c>
      <c r="R29" s="63" t="s">
        <v>134</v>
      </c>
      <c r="S29" s="96" t="s">
        <v>135</v>
      </c>
      <c r="T29" s="10" t="s">
        <v>122</v>
      </c>
      <c r="U29" s="10" t="s">
        <v>136</v>
      </c>
      <c r="V29" s="10" t="s">
        <v>66</v>
      </c>
      <c r="W29" s="10"/>
      <c r="X29" s="9" t="s">
        <v>67</v>
      </c>
      <c r="Y29" s="10" t="s">
        <v>68</v>
      </c>
      <c r="Z29" s="94" t="s">
        <v>125</v>
      </c>
      <c r="AA29" s="94" t="s">
        <v>90</v>
      </c>
      <c r="AB29" s="9" t="s">
        <v>71</v>
      </c>
      <c r="AC29" s="10" t="s">
        <v>62</v>
      </c>
      <c r="AD29" s="10" t="s">
        <v>72</v>
      </c>
      <c r="AE29" s="65" t="s">
        <v>137</v>
      </c>
      <c r="AF29" s="39" t="s">
        <v>106</v>
      </c>
      <c r="AG29" s="10" t="s">
        <v>127</v>
      </c>
      <c r="AH29" s="4">
        <v>650</v>
      </c>
      <c r="AI29" s="11" t="s">
        <v>128</v>
      </c>
      <c r="AJ29" s="4" t="s">
        <v>94</v>
      </c>
      <c r="AK29" s="50">
        <v>1452</v>
      </c>
      <c r="AL29" s="43">
        <v>405108000</v>
      </c>
      <c r="AM29" s="43">
        <v>26</v>
      </c>
      <c r="AN29" s="43">
        <v>7166809</v>
      </c>
      <c r="AO29" s="43">
        <v>35</v>
      </c>
      <c r="AP29" s="43">
        <v>9647809</v>
      </c>
      <c r="AQ29" s="43">
        <v>273</v>
      </c>
      <c r="AR29" s="43">
        <v>73447486</v>
      </c>
      <c r="AS29" s="52">
        <f t="shared" si="6"/>
        <v>0.18801652892561985</v>
      </c>
    </row>
    <row r="30" spans="1:45" x14ac:dyDescent="0.3">
      <c r="A30" s="1" t="str">
        <f t="shared" si="1"/>
        <v>DWDJ97046BKS</v>
      </c>
      <c r="B30" s="32" t="s">
        <v>156</v>
      </c>
      <c r="C30" s="10" t="str">
        <f t="shared" si="4"/>
        <v>DJ970</v>
      </c>
      <c r="D30" s="10" t="s">
        <v>55</v>
      </c>
      <c r="E30" s="10" t="str">
        <f t="shared" si="2"/>
        <v>W</v>
      </c>
      <c r="F30" s="10" t="str">
        <f t="shared" si="3"/>
        <v>DJ</v>
      </c>
      <c r="G30" s="10" t="s">
        <v>56</v>
      </c>
      <c r="H30" s="4" t="s">
        <v>157</v>
      </c>
      <c r="I30" s="10" t="s">
        <v>78</v>
      </c>
      <c r="J30" s="4">
        <f t="shared" si="5"/>
        <v>1</v>
      </c>
      <c r="K30" s="4">
        <v>1</v>
      </c>
      <c r="L30" s="43">
        <v>279000</v>
      </c>
      <c r="M30" s="78" t="s">
        <v>132</v>
      </c>
      <c r="N30" s="98" t="s">
        <v>133</v>
      </c>
      <c r="O30" s="10" t="s">
        <v>61</v>
      </c>
      <c r="P30" s="63">
        <v>100</v>
      </c>
      <c r="Q30" s="94" t="s">
        <v>85</v>
      </c>
      <c r="R30" s="63" t="s">
        <v>134</v>
      </c>
      <c r="S30" s="96" t="s">
        <v>135</v>
      </c>
      <c r="T30" s="10" t="s">
        <v>122</v>
      </c>
      <c r="U30" s="10" t="s">
        <v>136</v>
      </c>
      <c r="V30" s="10" t="s">
        <v>66</v>
      </c>
      <c r="W30" s="10"/>
      <c r="X30" s="9" t="s">
        <v>67</v>
      </c>
      <c r="Y30" s="10" t="s">
        <v>68</v>
      </c>
      <c r="Z30" s="94" t="s">
        <v>125</v>
      </c>
      <c r="AA30" s="94" t="s">
        <v>90</v>
      </c>
      <c r="AB30" s="9" t="s">
        <v>71</v>
      </c>
      <c r="AC30" s="10" t="s">
        <v>62</v>
      </c>
      <c r="AD30" s="10" t="s">
        <v>72</v>
      </c>
      <c r="AE30" s="65" t="s">
        <v>137</v>
      </c>
      <c r="AF30" s="39" t="s">
        <v>158</v>
      </c>
      <c r="AG30" s="10" t="s">
        <v>127</v>
      </c>
      <c r="AH30" s="4">
        <v>650</v>
      </c>
      <c r="AI30" s="11" t="s">
        <v>128</v>
      </c>
      <c r="AJ30" s="4" t="s">
        <v>129</v>
      </c>
      <c r="AK30" s="50">
        <v>2849</v>
      </c>
      <c r="AL30" s="43">
        <v>794871000</v>
      </c>
      <c r="AM30" s="43">
        <v>250</v>
      </c>
      <c r="AN30" s="43">
        <v>68883850</v>
      </c>
      <c r="AO30" s="43">
        <v>1150</v>
      </c>
      <c r="AP30" s="43">
        <v>317272889</v>
      </c>
      <c r="AQ30" s="43">
        <v>1962</v>
      </c>
      <c r="AR30" s="43">
        <v>535314075</v>
      </c>
      <c r="AS30" s="52">
        <f t="shared" si="6"/>
        <v>0.68866268866268865</v>
      </c>
    </row>
    <row r="31" spans="1:45" x14ac:dyDescent="0.3">
      <c r="A31" s="1" t="str">
        <f t="shared" si="1"/>
        <v>DWDJ97046CRS</v>
      </c>
      <c r="B31" s="32" t="s">
        <v>156</v>
      </c>
      <c r="C31" s="10" t="str">
        <f t="shared" si="4"/>
        <v>DJ970</v>
      </c>
      <c r="D31" s="10" t="s">
        <v>55</v>
      </c>
      <c r="E31" s="10" t="str">
        <f t="shared" si="2"/>
        <v>W</v>
      </c>
      <c r="F31" s="10" t="str">
        <f t="shared" si="3"/>
        <v>DJ</v>
      </c>
      <c r="G31" s="10" t="s">
        <v>56</v>
      </c>
      <c r="H31" s="4" t="s">
        <v>157</v>
      </c>
      <c r="I31" s="10" t="s">
        <v>79</v>
      </c>
      <c r="J31" s="4" t="str">
        <f t="shared" si="5"/>
        <v/>
      </c>
      <c r="K31" s="4">
        <v>1</v>
      </c>
      <c r="L31" s="43">
        <v>279000</v>
      </c>
      <c r="M31" s="78" t="s">
        <v>132</v>
      </c>
      <c r="N31" s="98" t="s">
        <v>133</v>
      </c>
      <c r="O31" s="10" t="s">
        <v>61</v>
      </c>
      <c r="P31" s="63">
        <v>100</v>
      </c>
      <c r="Q31" s="94" t="s">
        <v>85</v>
      </c>
      <c r="R31" s="63" t="s">
        <v>134</v>
      </c>
      <c r="S31" s="96" t="s">
        <v>135</v>
      </c>
      <c r="T31" s="10" t="s">
        <v>122</v>
      </c>
      <c r="U31" s="10" t="s">
        <v>136</v>
      </c>
      <c r="V31" s="10" t="s">
        <v>66</v>
      </c>
      <c r="W31" s="10"/>
      <c r="X31" s="9" t="s">
        <v>67</v>
      </c>
      <c r="Y31" s="10" t="s">
        <v>68</v>
      </c>
      <c r="Z31" s="94" t="s">
        <v>125</v>
      </c>
      <c r="AA31" s="94" t="s">
        <v>90</v>
      </c>
      <c r="AB31" s="9" t="s">
        <v>71</v>
      </c>
      <c r="AC31" s="10" t="s">
        <v>62</v>
      </c>
      <c r="AD31" s="10" t="s">
        <v>72</v>
      </c>
      <c r="AE31" s="65" t="s">
        <v>137</v>
      </c>
      <c r="AF31" s="39" t="s">
        <v>158</v>
      </c>
      <c r="AG31" s="10" t="s">
        <v>127</v>
      </c>
      <c r="AH31" s="4">
        <v>650</v>
      </c>
      <c r="AI31" s="11" t="s">
        <v>128</v>
      </c>
      <c r="AJ31" s="4" t="s">
        <v>129</v>
      </c>
      <c r="AK31" s="50">
        <v>1628</v>
      </c>
      <c r="AL31" s="43">
        <v>454212000</v>
      </c>
      <c r="AM31" s="43">
        <v>132</v>
      </c>
      <c r="AN31" s="43">
        <v>36484310</v>
      </c>
      <c r="AO31" s="43">
        <v>606</v>
      </c>
      <c r="AP31" s="43">
        <v>167095340</v>
      </c>
      <c r="AQ31" s="43">
        <v>1078</v>
      </c>
      <c r="AR31" s="43">
        <v>294145910</v>
      </c>
      <c r="AS31" s="52">
        <f t="shared" si="6"/>
        <v>0.66216216216216217</v>
      </c>
    </row>
    <row r="32" spans="1:45" x14ac:dyDescent="0.3">
      <c r="A32" s="1" t="str">
        <f t="shared" si="1"/>
        <v>DWDJ97046BRD</v>
      </c>
      <c r="B32" s="32" t="s">
        <v>156</v>
      </c>
      <c r="C32" s="10" t="str">
        <f t="shared" si="4"/>
        <v>DJ970</v>
      </c>
      <c r="D32" s="10" t="s">
        <v>55</v>
      </c>
      <c r="E32" s="10" t="str">
        <f t="shared" si="2"/>
        <v>W</v>
      </c>
      <c r="F32" s="10" t="str">
        <f t="shared" si="3"/>
        <v>DJ</v>
      </c>
      <c r="G32" s="10" t="s">
        <v>56</v>
      </c>
      <c r="H32" s="4" t="s">
        <v>157</v>
      </c>
      <c r="I32" s="10" t="s">
        <v>159</v>
      </c>
      <c r="J32" s="4" t="str">
        <f t="shared" si="5"/>
        <v/>
      </c>
      <c r="K32" s="4">
        <v>1</v>
      </c>
      <c r="L32" s="43">
        <v>279000</v>
      </c>
      <c r="M32" s="78" t="s">
        <v>132</v>
      </c>
      <c r="N32" s="98" t="s">
        <v>133</v>
      </c>
      <c r="O32" s="10" t="s">
        <v>61</v>
      </c>
      <c r="P32" s="63">
        <v>100</v>
      </c>
      <c r="Q32" s="94" t="s">
        <v>85</v>
      </c>
      <c r="R32" s="63" t="s">
        <v>134</v>
      </c>
      <c r="S32" s="96" t="s">
        <v>135</v>
      </c>
      <c r="T32" s="10" t="s">
        <v>122</v>
      </c>
      <c r="U32" s="10" t="s">
        <v>136</v>
      </c>
      <c r="V32" s="10" t="s">
        <v>66</v>
      </c>
      <c r="W32" s="10"/>
      <c r="X32" s="9" t="s">
        <v>67</v>
      </c>
      <c r="Y32" s="10" t="s">
        <v>68</v>
      </c>
      <c r="Z32" s="94" t="s">
        <v>125</v>
      </c>
      <c r="AA32" s="94" t="s">
        <v>90</v>
      </c>
      <c r="AB32" s="9" t="s">
        <v>71</v>
      </c>
      <c r="AC32" s="10" t="s">
        <v>62</v>
      </c>
      <c r="AD32" s="10" t="s">
        <v>72</v>
      </c>
      <c r="AE32" s="65" t="s">
        <v>137</v>
      </c>
      <c r="AF32" s="39" t="s">
        <v>158</v>
      </c>
      <c r="AG32" s="10" t="s">
        <v>127</v>
      </c>
      <c r="AH32" s="4">
        <v>650</v>
      </c>
      <c r="AI32" s="11" t="s">
        <v>128</v>
      </c>
      <c r="AJ32" s="4" t="s">
        <v>129</v>
      </c>
      <c r="AK32" s="50">
        <v>1628</v>
      </c>
      <c r="AL32" s="43">
        <v>454212000</v>
      </c>
      <c r="AM32" s="43">
        <v>137</v>
      </c>
      <c r="AN32" s="43">
        <v>37444060</v>
      </c>
      <c r="AO32" s="43">
        <v>668</v>
      </c>
      <c r="AP32" s="43">
        <v>182584560</v>
      </c>
      <c r="AQ32" s="43">
        <v>1121</v>
      </c>
      <c r="AR32" s="43">
        <v>303511309</v>
      </c>
      <c r="AS32" s="52">
        <f t="shared" si="6"/>
        <v>0.68857493857493857</v>
      </c>
    </row>
    <row r="33" spans="1:45" x14ac:dyDescent="0.3">
      <c r="A33" s="1" t="str">
        <f t="shared" si="1"/>
        <v>DWDJ97046PKS</v>
      </c>
      <c r="B33" s="32" t="s">
        <v>156</v>
      </c>
      <c r="C33" s="10" t="str">
        <f t="shared" si="4"/>
        <v>DJ970</v>
      </c>
      <c r="D33" s="10" t="s">
        <v>55</v>
      </c>
      <c r="E33" s="10" t="str">
        <f t="shared" si="2"/>
        <v>W</v>
      </c>
      <c r="F33" s="10" t="str">
        <f t="shared" si="3"/>
        <v>DJ</v>
      </c>
      <c r="G33" s="10" t="s">
        <v>56</v>
      </c>
      <c r="H33" s="4" t="s">
        <v>157</v>
      </c>
      <c r="I33" s="10" t="s">
        <v>160</v>
      </c>
      <c r="J33" s="4" t="str">
        <f t="shared" si="5"/>
        <v/>
      </c>
      <c r="K33" s="4">
        <v>1</v>
      </c>
      <c r="L33" s="43">
        <v>279000</v>
      </c>
      <c r="M33" s="78" t="s">
        <v>132</v>
      </c>
      <c r="N33" s="98" t="s">
        <v>133</v>
      </c>
      <c r="O33" s="10" t="s">
        <v>61</v>
      </c>
      <c r="P33" s="63">
        <v>100</v>
      </c>
      <c r="Q33" s="94" t="s">
        <v>85</v>
      </c>
      <c r="R33" s="63" t="s">
        <v>134</v>
      </c>
      <c r="S33" s="96" t="s">
        <v>135</v>
      </c>
      <c r="T33" s="10" t="s">
        <v>122</v>
      </c>
      <c r="U33" s="10" t="s">
        <v>136</v>
      </c>
      <c r="V33" s="10" t="s">
        <v>66</v>
      </c>
      <c r="W33" s="10"/>
      <c r="X33" s="9" t="s">
        <v>67</v>
      </c>
      <c r="Y33" s="10" t="s">
        <v>68</v>
      </c>
      <c r="Z33" s="94" t="s">
        <v>125</v>
      </c>
      <c r="AA33" s="94" t="s">
        <v>90</v>
      </c>
      <c r="AB33" s="9" t="s">
        <v>71</v>
      </c>
      <c r="AC33" s="10" t="s">
        <v>62</v>
      </c>
      <c r="AD33" s="10" t="s">
        <v>72</v>
      </c>
      <c r="AE33" s="65" t="s">
        <v>137</v>
      </c>
      <c r="AF33" s="39" t="s">
        <v>158</v>
      </c>
      <c r="AG33" s="10" t="s">
        <v>127</v>
      </c>
      <c r="AH33" s="4">
        <v>650</v>
      </c>
      <c r="AI33" s="11" t="s">
        <v>128</v>
      </c>
      <c r="AJ33" s="4" t="s">
        <v>129</v>
      </c>
      <c r="AK33" s="50">
        <v>1012</v>
      </c>
      <c r="AL33" s="43">
        <v>282348000</v>
      </c>
      <c r="AM33" s="43">
        <v>11</v>
      </c>
      <c r="AN33" s="43">
        <v>3064001</v>
      </c>
      <c r="AO33" s="43">
        <v>71</v>
      </c>
      <c r="AP33" s="43">
        <v>19328011</v>
      </c>
      <c r="AQ33" s="43">
        <v>168</v>
      </c>
      <c r="AR33" s="43">
        <v>45636411</v>
      </c>
      <c r="AS33" s="52">
        <f t="shared" si="6"/>
        <v>0.16600790513833993</v>
      </c>
    </row>
    <row r="34" spans="1:45" x14ac:dyDescent="0.3">
      <c r="A34" s="1" t="str">
        <f t="shared" si="1"/>
        <v>DWDJ9G046BGL</v>
      </c>
      <c r="B34" s="32" t="s">
        <v>161</v>
      </c>
      <c r="C34" s="10" t="str">
        <f t="shared" si="4"/>
        <v>DJ9G0</v>
      </c>
      <c r="D34" s="10" t="s">
        <v>55</v>
      </c>
      <c r="E34" s="10" t="str">
        <f t="shared" si="2"/>
        <v>W</v>
      </c>
      <c r="F34" s="10" t="str">
        <f t="shared" si="3"/>
        <v>DJ</v>
      </c>
      <c r="G34" s="10" t="s">
        <v>56</v>
      </c>
      <c r="H34" s="4" t="s">
        <v>162</v>
      </c>
      <c r="I34" s="10" t="s">
        <v>163</v>
      </c>
      <c r="J34" s="4">
        <f t="shared" si="5"/>
        <v>1</v>
      </c>
      <c r="K34" s="4">
        <v>1</v>
      </c>
      <c r="L34" s="43">
        <v>279000</v>
      </c>
      <c r="M34" s="78" t="s">
        <v>59</v>
      </c>
      <c r="N34" s="98" t="s">
        <v>164</v>
      </c>
      <c r="O34" s="10" t="s">
        <v>61</v>
      </c>
      <c r="P34" s="63">
        <v>100</v>
      </c>
      <c r="Q34" s="94" t="s">
        <v>62</v>
      </c>
      <c r="R34" s="63" t="s">
        <v>165</v>
      </c>
      <c r="S34" s="96" t="s">
        <v>166</v>
      </c>
      <c r="T34" s="10" t="s">
        <v>65</v>
      </c>
      <c r="U34" s="10"/>
      <c r="V34" s="10" t="s">
        <v>66</v>
      </c>
      <c r="W34" s="10"/>
      <c r="X34" s="9" t="s">
        <v>67</v>
      </c>
      <c r="Y34" s="10" t="s">
        <v>68</v>
      </c>
      <c r="Z34" s="94" t="s">
        <v>69</v>
      </c>
      <c r="AA34" s="94" t="s">
        <v>70</v>
      </c>
      <c r="AB34" s="9" t="s">
        <v>71</v>
      </c>
      <c r="AC34" s="10" t="s">
        <v>62</v>
      </c>
      <c r="AD34" s="10" t="s">
        <v>72</v>
      </c>
      <c r="AE34" s="65" t="s">
        <v>137</v>
      </c>
      <c r="AF34" s="39" t="s">
        <v>93</v>
      </c>
      <c r="AG34" s="10" t="s">
        <v>127</v>
      </c>
      <c r="AH34" s="4">
        <v>650</v>
      </c>
      <c r="AI34" s="11" t="s">
        <v>128</v>
      </c>
      <c r="AJ34" s="4" t="s">
        <v>129</v>
      </c>
      <c r="AK34" s="50">
        <v>2014</v>
      </c>
      <c r="AL34" s="43">
        <v>561906000</v>
      </c>
      <c r="AM34" s="43">
        <v>24</v>
      </c>
      <c r="AN34" s="43">
        <v>6498830</v>
      </c>
      <c r="AO34" s="43">
        <v>104</v>
      </c>
      <c r="AP34" s="43">
        <v>28289461</v>
      </c>
      <c r="AQ34" s="43">
        <v>233</v>
      </c>
      <c r="AR34" s="43">
        <v>62865737</v>
      </c>
      <c r="AS34" s="52">
        <f t="shared" si="6"/>
        <v>0.1156901688182721</v>
      </c>
    </row>
    <row r="35" spans="1:45" x14ac:dyDescent="0.3">
      <c r="A35" s="1" t="str">
        <f t="shared" si="1"/>
        <v>DWDJ9G046BKN</v>
      </c>
      <c r="B35" s="32" t="s">
        <v>161</v>
      </c>
      <c r="C35" s="10" t="str">
        <f t="shared" si="4"/>
        <v>DJ9G0</v>
      </c>
      <c r="D35" s="10" t="s">
        <v>55</v>
      </c>
      <c r="E35" s="10" t="str">
        <f t="shared" si="2"/>
        <v>W</v>
      </c>
      <c r="F35" s="10" t="str">
        <f t="shared" si="3"/>
        <v>DJ</v>
      </c>
      <c r="G35" s="10" t="s">
        <v>56</v>
      </c>
      <c r="H35" s="4" t="s">
        <v>162</v>
      </c>
      <c r="I35" s="10" t="s">
        <v>140</v>
      </c>
      <c r="J35" s="4" t="str">
        <f t="shared" si="5"/>
        <v/>
      </c>
      <c r="K35" s="4">
        <v>1</v>
      </c>
      <c r="L35" s="43">
        <v>279000</v>
      </c>
      <c r="M35" s="78" t="s">
        <v>167</v>
      </c>
      <c r="N35" s="98" t="s">
        <v>168</v>
      </c>
      <c r="O35" s="10" t="s">
        <v>61</v>
      </c>
      <c r="P35" s="63">
        <v>100</v>
      </c>
      <c r="Q35" s="94" t="s">
        <v>119</v>
      </c>
      <c r="R35" s="63" t="s">
        <v>169</v>
      </c>
      <c r="S35" s="96" t="s">
        <v>152</v>
      </c>
      <c r="T35" s="10" t="s">
        <v>122</v>
      </c>
      <c r="U35" s="10"/>
      <c r="V35" s="10"/>
      <c r="W35" s="10"/>
      <c r="X35" s="9" t="s">
        <v>67</v>
      </c>
      <c r="Y35" s="10" t="s">
        <v>68</v>
      </c>
      <c r="Z35" s="94" t="s">
        <v>69</v>
      </c>
      <c r="AA35" s="94" t="s">
        <v>70</v>
      </c>
      <c r="AB35" s="9" t="s">
        <v>71</v>
      </c>
      <c r="AC35" s="10" t="s">
        <v>62</v>
      </c>
      <c r="AD35" s="10" t="s">
        <v>72</v>
      </c>
      <c r="AE35" s="65" t="s">
        <v>137</v>
      </c>
      <c r="AF35" s="39" t="s">
        <v>170</v>
      </c>
      <c r="AG35" s="10" t="s">
        <v>127</v>
      </c>
      <c r="AH35" s="4">
        <v>650</v>
      </c>
      <c r="AI35" s="11" t="s">
        <v>128</v>
      </c>
      <c r="AJ35" s="4" t="s">
        <v>129</v>
      </c>
      <c r="AK35" s="50">
        <v>4043</v>
      </c>
      <c r="AL35" s="43">
        <v>1127997000</v>
      </c>
      <c r="AM35" s="43">
        <v>310</v>
      </c>
      <c r="AN35" s="43">
        <v>85017738</v>
      </c>
      <c r="AO35" s="43">
        <v>1777</v>
      </c>
      <c r="AP35" s="43">
        <v>487575184</v>
      </c>
      <c r="AQ35" s="43">
        <v>3880</v>
      </c>
      <c r="AR35" s="43">
        <v>1047164309</v>
      </c>
      <c r="AS35" s="52">
        <f t="shared" si="6"/>
        <v>0.95968340341330693</v>
      </c>
    </row>
    <row r="36" spans="1:45" x14ac:dyDescent="0.3">
      <c r="A36" s="1" t="str">
        <f t="shared" si="1"/>
        <v>DWDJ9G046CRS</v>
      </c>
      <c r="B36" s="32" t="s">
        <v>161</v>
      </c>
      <c r="C36" s="10" t="str">
        <f t="shared" si="4"/>
        <v>DJ9G0</v>
      </c>
      <c r="D36" s="10" t="s">
        <v>55</v>
      </c>
      <c r="E36" s="10" t="str">
        <f t="shared" si="2"/>
        <v>W</v>
      </c>
      <c r="F36" s="10" t="str">
        <f t="shared" si="3"/>
        <v>DJ</v>
      </c>
      <c r="G36" s="10" t="s">
        <v>56</v>
      </c>
      <c r="H36" s="4" t="s">
        <v>162</v>
      </c>
      <c r="I36" s="10" t="s">
        <v>79</v>
      </c>
      <c r="J36" s="4" t="str">
        <f t="shared" si="5"/>
        <v/>
      </c>
      <c r="K36" s="4">
        <v>1</v>
      </c>
      <c r="L36" s="43">
        <v>279000</v>
      </c>
      <c r="M36" s="78" t="s">
        <v>59</v>
      </c>
      <c r="N36" s="98" t="s">
        <v>164</v>
      </c>
      <c r="O36" s="10" t="s">
        <v>61</v>
      </c>
      <c r="P36" s="63">
        <v>100</v>
      </c>
      <c r="Q36" s="94" t="s">
        <v>62</v>
      </c>
      <c r="R36" s="63" t="s">
        <v>165</v>
      </c>
      <c r="S36" s="96" t="s">
        <v>166</v>
      </c>
      <c r="T36" s="10" t="s">
        <v>65</v>
      </c>
      <c r="U36" s="10"/>
      <c r="V36" s="10" t="s">
        <v>66</v>
      </c>
      <c r="W36" s="10"/>
      <c r="X36" s="9" t="s">
        <v>67</v>
      </c>
      <c r="Y36" s="10" t="s">
        <v>68</v>
      </c>
      <c r="Z36" s="94" t="s">
        <v>69</v>
      </c>
      <c r="AA36" s="94" t="s">
        <v>70</v>
      </c>
      <c r="AB36" s="9" t="s">
        <v>71</v>
      </c>
      <c r="AC36" s="10" t="s">
        <v>62</v>
      </c>
      <c r="AD36" s="10" t="s">
        <v>72</v>
      </c>
      <c r="AE36" s="65" t="s">
        <v>137</v>
      </c>
      <c r="AF36" s="39" t="s">
        <v>93</v>
      </c>
      <c r="AG36" s="10" t="s">
        <v>127</v>
      </c>
      <c r="AH36" s="4">
        <v>650</v>
      </c>
      <c r="AI36" s="11" t="s">
        <v>128</v>
      </c>
      <c r="AJ36" s="4" t="s">
        <v>129</v>
      </c>
      <c r="AK36" s="50">
        <v>2500</v>
      </c>
      <c r="AL36" s="43">
        <v>697500000</v>
      </c>
      <c r="AM36" s="43">
        <v>112</v>
      </c>
      <c r="AN36" s="43">
        <v>30821814</v>
      </c>
      <c r="AO36" s="43">
        <v>562</v>
      </c>
      <c r="AP36" s="43">
        <v>154871414</v>
      </c>
      <c r="AQ36" s="43">
        <v>1116</v>
      </c>
      <c r="AR36" s="43">
        <v>303493686</v>
      </c>
      <c r="AS36" s="52">
        <f t="shared" si="6"/>
        <v>0.44640000000000002</v>
      </c>
    </row>
    <row r="37" spans="1:45" x14ac:dyDescent="0.3">
      <c r="A37" s="1" t="str">
        <f t="shared" si="1"/>
        <v>DWDJ9G046BKS</v>
      </c>
      <c r="B37" s="32" t="s">
        <v>161</v>
      </c>
      <c r="C37" s="10" t="str">
        <f t="shared" si="4"/>
        <v>DJ9G0</v>
      </c>
      <c r="D37" s="10" t="s">
        <v>55</v>
      </c>
      <c r="E37" s="10" t="str">
        <f t="shared" si="2"/>
        <v>W</v>
      </c>
      <c r="F37" s="10" t="str">
        <f t="shared" si="3"/>
        <v>DJ</v>
      </c>
      <c r="G37" s="10" t="s">
        <v>56</v>
      </c>
      <c r="H37" s="4" t="s">
        <v>162</v>
      </c>
      <c r="I37" s="10" t="s">
        <v>78</v>
      </c>
      <c r="J37" s="4" t="str">
        <f t="shared" si="5"/>
        <v/>
      </c>
      <c r="K37" s="4">
        <v>1</v>
      </c>
      <c r="L37" s="43">
        <v>279000</v>
      </c>
      <c r="M37" s="78" t="s">
        <v>59</v>
      </c>
      <c r="N37" s="98" t="s">
        <v>164</v>
      </c>
      <c r="O37" s="10" t="s">
        <v>61</v>
      </c>
      <c r="P37" s="63">
        <v>100</v>
      </c>
      <c r="Q37" s="94" t="s">
        <v>62</v>
      </c>
      <c r="R37" s="63" t="s">
        <v>165</v>
      </c>
      <c r="S37" s="96" t="s">
        <v>166</v>
      </c>
      <c r="T37" s="10" t="s">
        <v>65</v>
      </c>
      <c r="U37" s="10"/>
      <c r="V37" s="10" t="s">
        <v>66</v>
      </c>
      <c r="W37" s="10"/>
      <c r="X37" s="9" t="s">
        <v>67</v>
      </c>
      <c r="Y37" s="10" t="s">
        <v>68</v>
      </c>
      <c r="Z37" s="94" t="s">
        <v>69</v>
      </c>
      <c r="AA37" s="94" t="s">
        <v>70</v>
      </c>
      <c r="AB37" s="9" t="s">
        <v>71</v>
      </c>
      <c r="AC37" s="10" t="s">
        <v>62</v>
      </c>
      <c r="AD37" s="10" t="s">
        <v>72</v>
      </c>
      <c r="AE37" s="65" t="s">
        <v>137</v>
      </c>
      <c r="AF37" s="39" t="s">
        <v>93</v>
      </c>
      <c r="AG37" s="10" t="s">
        <v>127</v>
      </c>
      <c r="AH37" s="4">
        <v>650</v>
      </c>
      <c r="AI37" s="11" t="s">
        <v>128</v>
      </c>
      <c r="AJ37" s="4" t="s">
        <v>129</v>
      </c>
      <c r="AK37" s="50">
        <v>4056</v>
      </c>
      <c r="AL37" s="43">
        <v>1131624000</v>
      </c>
      <c r="AM37" s="43">
        <v>332</v>
      </c>
      <c r="AN37" s="43">
        <v>91539167</v>
      </c>
      <c r="AO37" s="43">
        <v>1373</v>
      </c>
      <c r="AP37" s="43">
        <v>378766343</v>
      </c>
      <c r="AQ37" s="43">
        <v>2588</v>
      </c>
      <c r="AR37" s="43">
        <v>705845653</v>
      </c>
      <c r="AS37" s="52">
        <f t="shared" si="6"/>
        <v>0.63806706114398426</v>
      </c>
    </row>
    <row r="38" spans="1:45" x14ac:dyDescent="0.3">
      <c r="A38" s="1" t="str">
        <f t="shared" si="1"/>
        <v>DWDJ9G046OLN</v>
      </c>
      <c r="B38" s="32" t="s">
        <v>161</v>
      </c>
      <c r="C38" s="10" t="str">
        <f t="shared" si="4"/>
        <v>DJ9G0</v>
      </c>
      <c r="D38" s="10" t="s">
        <v>148</v>
      </c>
      <c r="E38" s="10" t="str">
        <f t="shared" si="2"/>
        <v>W</v>
      </c>
      <c r="F38" s="10" t="str">
        <f t="shared" si="3"/>
        <v>DJ</v>
      </c>
      <c r="G38" s="10" t="s">
        <v>56</v>
      </c>
      <c r="H38" s="4" t="s">
        <v>162</v>
      </c>
      <c r="I38" s="10" t="s">
        <v>171</v>
      </c>
      <c r="J38" s="4" t="str">
        <f t="shared" si="5"/>
        <v/>
      </c>
      <c r="K38" s="4">
        <v>1</v>
      </c>
      <c r="L38" s="43">
        <v>279000</v>
      </c>
      <c r="M38" s="78" t="s">
        <v>167</v>
      </c>
      <c r="N38" s="98" t="s">
        <v>168</v>
      </c>
      <c r="O38" s="10" t="s">
        <v>61</v>
      </c>
      <c r="P38" s="63">
        <v>100</v>
      </c>
      <c r="Q38" s="94" t="s">
        <v>119</v>
      </c>
      <c r="R38" s="63" t="s">
        <v>169</v>
      </c>
      <c r="S38" s="96" t="s">
        <v>152</v>
      </c>
      <c r="T38" s="10" t="s">
        <v>122</v>
      </c>
      <c r="U38" s="10"/>
      <c r="V38" s="10"/>
      <c r="W38" s="10"/>
      <c r="X38" s="9" t="s">
        <v>67</v>
      </c>
      <c r="Y38" s="10" t="s">
        <v>68</v>
      </c>
      <c r="Z38" s="94" t="s">
        <v>69</v>
      </c>
      <c r="AA38" s="94" t="s">
        <v>70</v>
      </c>
      <c r="AB38" s="9" t="s">
        <v>71</v>
      </c>
      <c r="AC38" s="10" t="s">
        <v>62</v>
      </c>
      <c r="AD38" s="10" t="s">
        <v>72</v>
      </c>
      <c r="AE38" s="65" t="s">
        <v>137</v>
      </c>
      <c r="AF38" s="39" t="s">
        <v>170</v>
      </c>
      <c r="AG38" s="10" t="s">
        <v>127</v>
      </c>
      <c r="AH38" s="4">
        <v>650</v>
      </c>
      <c r="AI38" s="11" t="s">
        <v>128</v>
      </c>
      <c r="AJ38" s="4" t="s">
        <v>129</v>
      </c>
      <c r="AK38" s="50">
        <v>1590</v>
      </c>
      <c r="AL38" s="43">
        <v>443610000</v>
      </c>
      <c r="AM38" s="43">
        <v>119</v>
      </c>
      <c r="AN38" s="43">
        <v>32707225</v>
      </c>
      <c r="AO38" s="43">
        <v>641</v>
      </c>
      <c r="AP38" s="43">
        <v>175209912</v>
      </c>
      <c r="AQ38" s="43">
        <v>1039</v>
      </c>
      <c r="AR38" s="43">
        <v>282208407</v>
      </c>
      <c r="AS38" s="52">
        <f t="shared" si="6"/>
        <v>0.65345911949685531</v>
      </c>
    </row>
    <row r="39" spans="1:45" x14ac:dyDescent="0.3">
      <c r="A39" s="1" t="str">
        <f t="shared" si="1"/>
        <v>DWDJ94046BKN</v>
      </c>
      <c r="B39" s="32" t="s">
        <v>172</v>
      </c>
      <c r="C39" s="10" t="str">
        <f t="shared" si="4"/>
        <v>DJ940</v>
      </c>
      <c r="D39" s="10" t="s">
        <v>55</v>
      </c>
      <c r="E39" s="10" t="str">
        <f t="shared" si="2"/>
        <v>W</v>
      </c>
      <c r="F39" s="10" t="str">
        <f t="shared" si="3"/>
        <v>DJ</v>
      </c>
      <c r="G39" s="10" t="s">
        <v>56</v>
      </c>
      <c r="H39" s="4" t="s">
        <v>173</v>
      </c>
      <c r="I39" s="10" t="s">
        <v>140</v>
      </c>
      <c r="J39" s="4">
        <f t="shared" si="5"/>
        <v>1</v>
      </c>
      <c r="K39" s="4">
        <v>1</v>
      </c>
      <c r="L39" s="43">
        <v>279000</v>
      </c>
      <c r="M39" s="78" t="s">
        <v>141</v>
      </c>
      <c r="N39" s="98" t="s">
        <v>174</v>
      </c>
      <c r="O39" s="10" t="s">
        <v>143</v>
      </c>
      <c r="P39" s="63">
        <v>100</v>
      </c>
      <c r="Q39" s="94" t="s">
        <v>144</v>
      </c>
      <c r="R39" s="63" t="s">
        <v>145</v>
      </c>
      <c r="S39" s="96" t="s">
        <v>146</v>
      </c>
      <c r="T39" s="10" t="s">
        <v>65</v>
      </c>
      <c r="U39" s="10"/>
      <c r="V39" s="10" t="s">
        <v>66</v>
      </c>
      <c r="W39" s="10"/>
      <c r="X39" s="9" t="s">
        <v>67</v>
      </c>
      <c r="Y39" s="10" t="s">
        <v>68</v>
      </c>
      <c r="Z39" s="94" t="s">
        <v>69</v>
      </c>
      <c r="AA39" s="94" t="s">
        <v>147</v>
      </c>
      <c r="AB39" s="9" t="s">
        <v>71</v>
      </c>
      <c r="AC39" s="10" t="s">
        <v>62</v>
      </c>
      <c r="AD39" s="10" t="s">
        <v>72</v>
      </c>
      <c r="AE39" s="65" t="s">
        <v>137</v>
      </c>
      <c r="AF39" s="39" t="s">
        <v>175</v>
      </c>
      <c r="AG39" s="10" t="s">
        <v>127</v>
      </c>
      <c r="AH39" s="4">
        <v>650</v>
      </c>
      <c r="AI39" s="11" t="s">
        <v>128</v>
      </c>
      <c r="AJ39" s="4" t="s">
        <v>77</v>
      </c>
      <c r="AK39" s="50">
        <v>1191</v>
      </c>
      <c r="AL39" s="43">
        <v>332289000</v>
      </c>
      <c r="AM39" s="43">
        <v>134</v>
      </c>
      <c r="AN39" s="43">
        <v>36950074</v>
      </c>
      <c r="AO39" s="43">
        <v>834</v>
      </c>
      <c r="AP39" s="43">
        <v>229274570</v>
      </c>
      <c r="AQ39" s="43">
        <v>1053</v>
      </c>
      <c r="AR39" s="43">
        <v>287914007</v>
      </c>
      <c r="AS39" s="52">
        <f t="shared" si="6"/>
        <v>0.88413098236775822</v>
      </c>
    </row>
    <row r="40" spans="1:45" x14ac:dyDescent="0.3">
      <c r="A40" s="1" t="str">
        <f t="shared" si="1"/>
        <v>DWDJ94046CRS</v>
      </c>
      <c r="B40" s="32" t="s">
        <v>172</v>
      </c>
      <c r="C40" s="10" t="str">
        <f t="shared" si="4"/>
        <v>DJ940</v>
      </c>
      <c r="D40" s="10" t="s">
        <v>55</v>
      </c>
      <c r="E40" s="10" t="str">
        <f t="shared" si="2"/>
        <v>W</v>
      </c>
      <c r="F40" s="10" t="str">
        <f t="shared" si="3"/>
        <v>DJ</v>
      </c>
      <c r="G40" s="10" t="s">
        <v>56</v>
      </c>
      <c r="H40" s="4" t="s">
        <v>173</v>
      </c>
      <c r="I40" s="10" t="s">
        <v>79</v>
      </c>
      <c r="J40" s="4" t="str">
        <f t="shared" si="5"/>
        <v/>
      </c>
      <c r="K40" s="4">
        <v>1</v>
      </c>
      <c r="L40" s="43">
        <v>279000</v>
      </c>
      <c r="M40" s="78" t="s">
        <v>132</v>
      </c>
      <c r="N40" s="98" t="s">
        <v>133</v>
      </c>
      <c r="O40" s="10" t="s">
        <v>61</v>
      </c>
      <c r="P40" s="63">
        <v>100</v>
      </c>
      <c r="Q40" s="94" t="s">
        <v>85</v>
      </c>
      <c r="R40" s="63" t="s">
        <v>134</v>
      </c>
      <c r="S40" s="96" t="s">
        <v>135</v>
      </c>
      <c r="T40" s="10" t="s">
        <v>122</v>
      </c>
      <c r="U40" s="10" t="s">
        <v>136</v>
      </c>
      <c r="V40" s="10" t="s">
        <v>66</v>
      </c>
      <c r="W40" s="10"/>
      <c r="X40" s="9" t="s">
        <v>67</v>
      </c>
      <c r="Y40" s="10" t="s">
        <v>68</v>
      </c>
      <c r="Z40" s="94" t="s">
        <v>125</v>
      </c>
      <c r="AA40" s="94" t="s">
        <v>90</v>
      </c>
      <c r="AB40" s="9" t="s">
        <v>71</v>
      </c>
      <c r="AC40" s="10" t="s">
        <v>62</v>
      </c>
      <c r="AD40" s="10" t="s">
        <v>72</v>
      </c>
      <c r="AE40" s="65" t="s">
        <v>137</v>
      </c>
      <c r="AF40" s="39" t="s">
        <v>106</v>
      </c>
      <c r="AG40" s="10" t="s">
        <v>127</v>
      </c>
      <c r="AH40" s="4">
        <v>650</v>
      </c>
      <c r="AI40" s="11" t="s">
        <v>128</v>
      </c>
      <c r="AJ40" s="4" t="s">
        <v>77</v>
      </c>
      <c r="AK40" s="50">
        <v>4050</v>
      </c>
      <c r="AL40" s="43">
        <v>1129950000</v>
      </c>
      <c r="AM40" s="43">
        <v>506</v>
      </c>
      <c r="AN40" s="43">
        <v>139634992</v>
      </c>
      <c r="AO40" s="43">
        <v>2383</v>
      </c>
      <c r="AP40" s="43">
        <v>657434225</v>
      </c>
      <c r="AQ40" s="43">
        <v>3735</v>
      </c>
      <c r="AR40" s="43">
        <v>1022119185</v>
      </c>
      <c r="AS40" s="52">
        <f t="shared" si="6"/>
        <v>0.92222222222222228</v>
      </c>
    </row>
    <row r="41" spans="1:45" x14ac:dyDescent="0.3">
      <c r="A41" s="1" t="str">
        <f t="shared" si="1"/>
        <v>DWDJ94046BKS</v>
      </c>
      <c r="B41" s="32" t="s">
        <v>172</v>
      </c>
      <c r="C41" s="10" t="str">
        <f t="shared" si="4"/>
        <v>DJ940</v>
      </c>
      <c r="D41" s="10" t="s">
        <v>55</v>
      </c>
      <c r="E41" s="10" t="str">
        <f t="shared" si="2"/>
        <v>W</v>
      </c>
      <c r="F41" s="10" t="str">
        <f t="shared" si="3"/>
        <v>DJ</v>
      </c>
      <c r="G41" s="10" t="s">
        <v>56</v>
      </c>
      <c r="H41" s="4" t="s">
        <v>173</v>
      </c>
      <c r="I41" s="10" t="s">
        <v>78</v>
      </c>
      <c r="J41" s="4" t="str">
        <f t="shared" si="5"/>
        <v/>
      </c>
      <c r="K41" s="4">
        <v>1</v>
      </c>
      <c r="L41" s="43">
        <v>279000</v>
      </c>
      <c r="M41" s="78" t="s">
        <v>132</v>
      </c>
      <c r="N41" s="98" t="s">
        <v>133</v>
      </c>
      <c r="O41" s="10" t="s">
        <v>61</v>
      </c>
      <c r="P41" s="63">
        <v>100</v>
      </c>
      <c r="Q41" s="94" t="s">
        <v>85</v>
      </c>
      <c r="R41" s="63" t="s">
        <v>134</v>
      </c>
      <c r="S41" s="96" t="s">
        <v>135</v>
      </c>
      <c r="T41" s="10" t="s">
        <v>122</v>
      </c>
      <c r="U41" s="10" t="s">
        <v>136</v>
      </c>
      <c r="V41" s="10" t="s">
        <v>66</v>
      </c>
      <c r="W41" s="10"/>
      <c r="X41" s="9" t="s">
        <v>67</v>
      </c>
      <c r="Y41" s="10" t="s">
        <v>68</v>
      </c>
      <c r="Z41" s="94" t="s">
        <v>125</v>
      </c>
      <c r="AA41" s="94" t="s">
        <v>90</v>
      </c>
      <c r="AB41" s="9" t="s">
        <v>71</v>
      </c>
      <c r="AC41" s="10" t="s">
        <v>62</v>
      </c>
      <c r="AD41" s="10" t="s">
        <v>72</v>
      </c>
      <c r="AE41" s="65" t="s">
        <v>137</v>
      </c>
      <c r="AF41" s="39" t="s">
        <v>106</v>
      </c>
      <c r="AG41" s="10" t="s">
        <v>127</v>
      </c>
      <c r="AH41" s="4">
        <v>650</v>
      </c>
      <c r="AI41" s="11" t="s">
        <v>128</v>
      </c>
      <c r="AJ41" s="4" t="s">
        <v>77</v>
      </c>
      <c r="AK41" s="50">
        <v>4888</v>
      </c>
      <c r="AL41" s="43">
        <v>1363752000</v>
      </c>
      <c r="AM41" s="43">
        <v>618</v>
      </c>
      <c r="AN41" s="43">
        <v>168366228</v>
      </c>
      <c r="AO41" s="43">
        <v>3782</v>
      </c>
      <c r="AP41" s="43">
        <v>1038883095</v>
      </c>
      <c r="AQ41" s="43">
        <v>4793</v>
      </c>
      <c r="AR41" s="43">
        <v>1311677224</v>
      </c>
      <c r="AS41" s="52">
        <f t="shared" si="6"/>
        <v>0.98056464811783961</v>
      </c>
    </row>
    <row r="42" spans="1:45" x14ac:dyDescent="0.3">
      <c r="A42" s="1" t="str">
        <f t="shared" si="1"/>
        <v>DWDJ94046CRN</v>
      </c>
      <c r="B42" s="32" t="s">
        <v>172</v>
      </c>
      <c r="C42" s="10" t="str">
        <f t="shared" si="4"/>
        <v>DJ940</v>
      </c>
      <c r="D42" s="10" t="s">
        <v>55</v>
      </c>
      <c r="E42" s="10" t="str">
        <f t="shared" si="2"/>
        <v>W</v>
      </c>
      <c r="F42" s="10" t="str">
        <f t="shared" si="3"/>
        <v>DJ</v>
      </c>
      <c r="G42" s="10" t="s">
        <v>56</v>
      </c>
      <c r="H42" s="4" t="s">
        <v>173</v>
      </c>
      <c r="I42" s="10" t="s">
        <v>176</v>
      </c>
      <c r="J42" s="4" t="str">
        <f t="shared" si="5"/>
        <v/>
      </c>
      <c r="K42" s="4">
        <v>1</v>
      </c>
      <c r="L42" s="43">
        <v>279000</v>
      </c>
      <c r="M42" s="78" t="s">
        <v>141</v>
      </c>
      <c r="N42" s="98" t="s">
        <v>174</v>
      </c>
      <c r="O42" s="10" t="s">
        <v>143</v>
      </c>
      <c r="P42" s="63">
        <v>100</v>
      </c>
      <c r="Q42" s="94" t="s">
        <v>144</v>
      </c>
      <c r="R42" s="63" t="s">
        <v>145</v>
      </c>
      <c r="S42" s="96" t="s">
        <v>146</v>
      </c>
      <c r="T42" s="10" t="s">
        <v>65</v>
      </c>
      <c r="U42" s="10"/>
      <c r="V42" s="10" t="s">
        <v>66</v>
      </c>
      <c r="W42" s="10"/>
      <c r="X42" s="9" t="s">
        <v>67</v>
      </c>
      <c r="Y42" s="10" t="s">
        <v>68</v>
      </c>
      <c r="Z42" s="94" t="s">
        <v>69</v>
      </c>
      <c r="AA42" s="94" t="s">
        <v>147</v>
      </c>
      <c r="AB42" s="9" t="s">
        <v>71</v>
      </c>
      <c r="AC42" s="10" t="s">
        <v>62</v>
      </c>
      <c r="AD42" s="10" t="s">
        <v>72</v>
      </c>
      <c r="AE42" s="65" t="s">
        <v>137</v>
      </c>
      <c r="AF42" s="39" t="s">
        <v>175</v>
      </c>
      <c r="AG42" s="10" t="s">
        <v>127</v>
      </c>
      <c r="AH42" s="4">
        <v>650</v>
      </c>
      <c r="AI42" s="11" t="s">
        <v>128</v>
      </c>
      <c r="AJ42" s="4" t="s">
        <v>77</v>
      </c>
      <c r="AK42" s="50">
        <v>2007</v>
      </c>
      <c r="AL42" s="43">
        <v>559953000</v>
      </c>
      <c r="AM42" s="43">
        <v>261</v>
      </c>
      <c r="AN42" s="43">
        <v>71891698</v>
      </c>
      <c r="AO42" s="43">
        <v>1130</v>
      </c>
      <c r="AP42" s="43">
        <v>311004830</v>
      </c>
      <c r="AQ42" s="43">
        <v>1701</v>
      </c>
      <c r="AR42" s="43">
        <v>465358724</v>
      </c>
      <c r="AS42" s="52">
        <f t="shared" si="6"/>
        <v>0.84753363228699552</v>
      </c>
    </row>
    <row r="43" spans="1:45" x14ac:dyDescent="0.3">
      <c r="A43" s="1" t="str">
        <f t="shared" si="1"/>
        <v>DWDJ94046PPS</v>
      </c>
      <c r="B43" s="32" t="s">
        <v>172</v>
      </c>
      <c r="C43" s="10" t="str">
        <f t="shared" si="4"/>
        <v>DJ940</v>
      </c>
      <c r="D43" s="10" t="s">
        <v>55</v>
      </c>
      <c r="E43" s="10" t="str">
        <f t="shared" si="2"/>
        <v>W</v>
      </c>
      <c r="F43" s="10" t="str">
        <f t="shared" si="3"/>
        <v>DJ</v>
      </c>
      <c r="G43" s="10" t="s">
        <v>56</v>
      </c>
      <c r="H43" s="4" t="s">
        <v>173</v>
      </c>
      <c r="I43" s="10" t="s">
        <v>177</v>
      </c>
      <c r="J43" s="4" t="str">
        <f t="shared" si="5"/>
        <v/>
      </c>
      <c r="K43" s="4">
        <v>1</v>
      </c>
      <c r="L43" s="43">
        <v>279000</v>
      </c>
      <c r="M43" s="78" t="s">
        <v>132</v>
      </c>
      <c r="N43" s="98" t="s">
        <v>133</v>
      </c>
      <c r="O43" s="10" t="s">
        <v>61</v>
      </c>
      <c r="P43" s="63">
        <v>100</v>
      </c>
      <c r="Q43" s="94" t="s">
        <v>85</v>
      </c>
      <c r="R43" s="63" t="s">
        <v>134</v>
      </c>
      <c r="S43" s="96" t="s">
        <v>135</v>
      </c>
      <c r="T43" s="10" t="s">
        <v>122</v>
      </c>
      <c r="U43" s="10" t="s">
        <v>136</v>
      </c>
      <c r="V43" s="10" t="s">
        <v>66</v>
      </c>
      <c r="W43" s="10"/>
      <c r="X43" s="9" t="s">
        <v>67</v>
      </c>
      <c r="Y43" s="10" t="s">
        <v>68</v>
      </c>
      <c r="Z43" s="94" t="s">
        <v>125</v>
      </c>
      <c r="AA43" s="94" t="s">
        <v>90</v>
      </c>
      <c r="AB43" s="9" t="s">
        <v>71</v>
      </c>
      <c r="AC43" s="10" t="s">
        <v>62</v>
      </c>
      <c r="AD43" s="10" t="s">
        <v>72</v>
      </c>
      <c r="AE43" s="65" t="s">
        <v>137</v>
      </c>
      <c r="AF43" s="39" t="s">
        <v>106</v>
      </c>
      <c r="AG43" s="10" t="s">
        <v>127</v>
      </c>
      <c r="AH43" s="4">
        <v>650</v>
      </c>
      <c r="AI43" s="11" t="s">
        <v>128</v>
      </c>
      <c r="AJ43" s="4" t="s">
        <v>77</v>
      </c>
      <c r="AK43" s="50">
        <v>1422</v>
      </c>
      <c r="AL43" s="43">
        <v>396738000</v>
      </c>
      <c r="AM43" s="43">
        <v>16</v>
      </c>
      <c r="AN43" s="43">
        <v>4454000</v>
      </c>
      <c r="AO43" s="43">
        <v>139</v>
      </c>
      <c r="AP43" s="43">
        <v>38161510</v>
      </c>
      <c r="AQ43" s="43">
        <v>256</v>
      </c>
      <c r="AR43" s="43">
        <v>70038842</v>
      </c>
      <c r="AS43" s="52">
        <f t="shared" si="6"/>
        <v>0.18002812939521801</v>
      </c>
    </row>
    <row r="44" spans="1:45" x14ac:dyDescent="0.3">
      <c r="A44" s="1" t="str">
        <f t="shared" si="1"/>
        <v>DWDJ94046SIL</v>
      </c>
      <c r="B44" s="32" t="s">
        <v>172</v>
      </c>
      <c r="C44" s="10" t="str">
        <f t="shared" si="4"/>
        <v>DJ940</v>
      </c>
      <c r="D44" s="10" t="s">
        <v>55</v>
      </c>
      <c r="E44" s="10" t="str">
        <f t="shared" si="2"/>
        <v>W</v>
      </c>
      <c r="F44" s="10" t="str">
        <f t="shared" si="3"/>
        <v>DJ</v>
      </c>
      <c r="G44" s="10" t="s">
        <v>56</v>
      </c>
      <c r="H44" s="4" t="s">
        <v>173</v>
      </c>
      <c r="I44" s="10" t="s">
        <v>178</v>
      </c>
      <c r="J44" s="4" t="str">
        <f t="shared" si="5"/>
        <v/>
      </c>
      <c r="K44" s="4">
        <v>1</v>
      </c>
      <c r="L44" s="43">
        <v>279000</v>
      </c>
      <c r="M44" s="78" t="s">
        <v>132</v>
      </c>
      <c r="N44" s="98" t="s">
        <v>133</v>
      </c>
      <c r="O44" s="10" t="s">
        <v>61</v>
      </c>
      <c r="P44" s="63">
        <v>100</v>
      </c>
      <c r="Q44" s="94" t="s">
        <v>85</v>
      </c>
      <c r="R44" s="63" t="s">
        <v>134</v>
      </c>
      <c r="S44" s="96" t="s">
        <v>135</v>
      </c>
      <c r="T44" s="10" t="s">
        <v>122</v>
      </c>
      <c r="U44" s="10" t="s">
        <v>136</v>
      </c>
      <c r="V44" s="10" t="s">
        <v>66</v>
      </c>
      <c r="W44" s="10"/>
      <c r="X44" s="9" t="s">
        <v>67</v>
      </c>
      <c r="Y44" s="10" t="s">
        <v>68</v>
      </c>
      <c r="Z44" s="94" t="s">
        <v>125</v>
      </c>
      <c r="AA44" s="94" t="s">
        <v>90</v>
      </c>
      <c r="AB44" s="9" t="s">
        <v>71</v>
      </c>
      <c r="AC44" s="10" t="s">
        <v>62</v>
      </c>
      <c r="AD44" s="10" t="s">
        <v>72</v>
      </c>
      <c r="AE44" s="65" t="s">
        <v>137</v>
      </c>
      <c r="AF44" s="39" t="s">
        <v>106</v>
      </c>
      <c r="AG44" s="10" t="s">
        <v>127</v>
      </c>
      <c r="AH44" s="4">
        <v>650</v>
      </c>
      <c r="AI44" s="11" t="s">
        <v>128</v>
      </c>
      <c r="AJ44" s="4" t="s">
        <v>77</v>
      </c>
      <c r="AK44" s="50">
        <v>1422</v>
      </c>
      <c r="AL44" s="43">
        <v>396738000</v>
      </c>
      <c r="AM44" s="43">
        <v>123</v>
      </c>
      <c r="AN44" s="43">
        <v>34128548</v>
      </c>
      <c r="AO44" s="43">
        <v>608</v>
      </c>
      <c r="AP44" s="43">
        <v>168142020</v>
      </c>
      <c r="AQ44" s="43">
        <v>1149</v>
      </c>
      <c r="AR44" s="43">
        <v>314543806</v>
      </c>
      <c r="AS44" s="52">
        <f t="shared" si="6"/>
        <v>0.80801687763713081</v>
      </c>
    </row>
    <row r="45" spans="1:45" x14ac:dyDescent="0.3">
      <c r="A45" s="1" t="str">
        <f t="shared" si="1"/>
        <v>DWDJ94046LKS</v>
      </c>
      <c r="B45" s="32" t="s">
        <v>172</v>
      </c>
      <c r="C45" s="10" t="str">
        <f t="shared" si="4"/>
        <v>DJ940</v>
      </c>
      <c r="D45" s="10" t="s">
        <v>148</v>
      </c>
      <c r="E45" s="10" t="str">
        <f t="shared" si="2"/>
        <v>W</v>
      </c>
      <c r="F45" s="10" t="str">
        <f t="shared" si="3"/>
        <v>DJ</v>
      </c>
      <c r="G45" s="10" t="s">
        <v>56</v>
      </c>
      <c r="H45" s="4" t="s">
        <v>173</v>
      </c>
      <c r="I45" s="10" t="s">
        <v>179</v>
      </c>
      <c r="J45" s="4" t="str">
        <f t="shared" si="5"/>
        <v/>
      </c>
      <c r="K45" s="4">
        <v>1</v>
      </c>
      <c r="L45" s="43">
        <v>279000</v>
      </c>
      <c r="M45" s="78" t="s">
        <v>132</v>
      </c>
      <c r="N45" s="98" t="s">
        <v>133</v>
      </c>
      <c r="O45" s="10" t="s">
        <v>61</v>
      </c>
      <c r="P45" s="63">
        <v>100</v>
      </c>
      <c r="Q45" s="94" t="s">
        <v>85</v>
      </c>
      <c r="R45" s="63" t="s">
        <v>134</v>
      </c>
      <c r="S45" s="96" t="s">
        <v>135</v>
      </c>
      <c r="T45" s="10" t="s">
        <v>122</v>
      </c>
      <c r="U45" s="10" t="s">
        <v>136</v>
      </c>
      <c r="V45" s="10" t="s">
        <v>66</v>
      </c>
      <c r="W45" s="10"/>
      <c r="X45" s="9" t="s">
        <v>67</v>
      </c>
      <c r="Y45" s="10" t="s">
        <v>68</v>
      </c>
      <c r="Z45" s="94" t="s">
        <v>125</v>
      </c>
      <c r="AA45" s="94" t="s">
        <v>90</v>
      </c>
      <c r="AB45" s="9" t="s">
        <v>71</v>
      </c>
      <c r="AC45" s="10" t="s">
        <v>62</v>
      </c>
      <c r="AD45" s="10" t="s">
        <v>72</v>
      </c>
      <c r="AE45" s="65" t="s">
        <v>137</v>
      </c>
      <c r="AF45" s="39" t="s">
        <v>106</v>
      </c>
      <c r="AG45" s="10" t="s">
        <v>127</v>
      </c>
      <c r="AH45" s="4">
        <v>650</v>
      </c>
      <c r="AI45" s="11" t="s">
        <v>128</v>
      </c>
      <c r="AJ45" s="4" t="s">
        <v>77</v>
      </c>
      <c r="AK45" s="50">
        <v>1519</v>
      </c>
      <c r="AL45" s="43">
        <v>423801000</v>
      </c>
      <c r="AM45" s="43">
        <v>53</v>
      </c>
      <c r="AN45" s="43">
        <v>14320875</v>
      </c>
      <c r="AO45" s="43">
        <v>90</v>
      </c>
      <c r="AP45" s="43">
        <v>24590773</v>
      </c>
      <c r="AQ45" s="43">
        <v>689</v>
      </c>
      <c r="AR45" s="43">
        <v>186134015</v>
      </c>
      <c r="AS45" s="52">
        <f t="shared" si="6"/>
        <v>0.45358788676761025</v>
      </c>
    </row>
    <row r="46" spans="1:45" x14ac:dyDescent="0.3">
      <c r="A46" s="1" t="str">
        <f t="shared" si="1"/>
        <v>DWDJ94046ORN</v>
      </c>
      <c r="B46" s="32" t="s">
        <v>180</v>
      </c>
      <c r="C46" s="10" t="str">
        <f t="shared" si="4"/>
        <v>DJ940</v>
      </c>
      <c r="D46" s="10" t="s">
        <v>148</v>
      </c>
      <c r="E46" s="10" t="str">
        <f t="shared" si="2"/>
        <v>W</v>
      </c>
      <c r="F46" s="10" t="str">
        <f t="shared" si="3"/>
        <v>DJ</v>
      </c>
      <c r="G46" s="10" t="s">
        <v>56</v>
      </c>
      <c r="H46" s="4" t="s">
        <v>173</v>
      </c>
      <c r="I46" s="10" t="s">
        <v>181</v>
      </c>
      <c r="J46" s="4" t="str">
        <f t="shared" si="5"/>
        <v/>
      </c>
      <c r="K46" s="4">
        <v>1</v>
      </c>
      <c r="L46" s="43">
        <v>279000</v>
      </c>
      <c r="M46" s="78" t="s">
        <v>141</v>
      </c>
      <c r="N46" s="98" t="s">
        <v>174</v>
      </c>
      <c r="O46" s="10" t="s">
        <v>143</v>
      </c>
      <c r="P46" s="63">
        <v>100</v>
      </c>
      <c r="Q46" s="94" t="s">
        <v>144</v>
      </c>
      <c r="R46" s="63" t="s">
        <v>145</v>
      </c>
      <c r="S46" s="96" t="s">
        <v>146</v>
      </c>
      <c r="T46" s="10" t="s">
        <v>182</v>
      </c>
      <c r="U46" s="10"/>
      <c r="V46" s="10" t="s">
        <v>66</v>
      </c>
      <c r="W46" s="10"/>
      <c r="X46" s="9" t="s">
        <v>67</v>
      </c>
      <c r="Y46" s="10" t="s">
        <v>68</v>
      </c>
      <c r="Z46" s="94" t="s">
        <v>69</v>
      </c>
      <c r="AA46" s="94" t="s">
        <v>147</v>
      </c>
      <c r="AB46" s="9" t="s">
        <v>71</v>
      </c>
      <c r="AC46" s="10" t="s">
        <v>62</v>
      </c>
      <c r="AD46" s="10" t="s">
        <v>72</v>
      </c>
      <c r="AE46" s="65" t="s">
        <v>137</v>
      </c>
      <c r="AF46" s="39" t="s">
        <v>175</v>
      </c>
      <c r="AG46" s="10" t="s">
        <v>127</v>
      </c>
      <c r="AH46" s="4">
        <v>650</v>
      </c>
      <c r="AI46" s="11" t="s">
        <v>128</v>
      </c>
      <c r="AJ46" s="4" t="s">
        <v>77</v>
      </c>
      <c r="AK46" s="50">
        <v>612</v>
      </c>
      <c r="AL46" s="43">
        <v>170748000</v>
      </c>
      <c r="AM46" s="43">
        <v>0</v>
      </c>
      <c r="AN46" s="43">
        <v>0</v>
      </c>
      <c r="AO46" s="43">
        <v>0</v>
      </c>
      <c r="AP46" s="43">
        <v>0</v>
      </c>
      <c r="AQ46" s="43">
        <v>98</v>
      </c>
      <c r="AR46" s="43">
        <v>26361297</v>
      </c>
      <c r="AS46" s="52">
        <f t="shared" si="6"/>
        <v>0.16013071895424835</v>
      </c>
    </row>
    <row r="47" spans="1:45" x14ac:dyDescent="0.3">
      <c r="A47" s="1" t="str">
        <f t="shared" si="1"/>
        <v>DWDJ9K046BKN</v>
      </c>
      <c r="B47" s="32" t="s">
        <v>183</v>
      </c>
      <c r="C47" s="10" t="str">
        <f t="shared" si="4"/>
        <v>DJ9K0</v>
      </c>
      <c r="D47" s="10" t="s">
        <v>148</v>
      </c>
      <c r="E47" s="10" t="str">
        <f t="shared" si="2"/>
        <v>W</v>
      </c>
      <c r="F47" s="10" t="str">
        <f t="shared" si="3"/>
        <v>DJ</v>
      </c>
      <c r="G47" s="10" t="s">
        <v>56</v>
      </c>
      <c r="H47" s="4" t="s">
        <v>173</v>
      </c>
      <c r="I47" s="10" t="s">
        <v>140</v>
      </c>
      <c r="J47" s="4">
        <f t="shared" si="5"/>
        <v>1</v>
      </c>
      <c r="K47" s="4">
        <v>1</v>
      </c>
      <c r="L47" s="43">
        <v>279000</v>
      </c>
      <c r="M47" s="78" t="s">
        <v>150</v>
      </c>
      <c r="N47" s="98" t="s">
        <v>151</v>
      </c>
      <c r="O47" s="10" t="s">
        <v>143</v>
      </c>
      <c r="P47" s="63">
        <v>100</v>
      </c>
      <c r="Q47" s="94" t="s">
        <v>144</v>
      </c>
      <c r="R47" s="63" t="s">
        <v>145</v>
      </c>
      <c r="S47" s="96" t="s">
        <v>152</v>
      </c>
      <c r="T47" s="10" t="s">
        <v>182</v>
      </c>
      <c r="U47" s="10"/>
      <c r="V47" s="10" t="s">
        <v>184</v>
      </c>
      <c r="W47" s="10"/>
      <c r="X47" s="9" t="s">
        <v>67</v>
      </c>
      <c r="Y47" s="10" t="s">
        <v>68</v>
      </c>
      <c r="Z47" s="94" t="s">
        <v>154</v>
      </c>
      <c r="AA47" s="94" t="s">
        <v>185</v>
      </c>
      <c r="AB47" s="9" t="s">
        <v>71</v>
      </c>
      <c r="AC47" s="10" t="s">
        <v>62</v>
      </c>
      <c r="AD47" s="10" t="s">
        <v>72</v>
      </c>
      <c r="AE47" s="65" t="s">
        <v>137</v>
      </c>
      <c r="AF47" s="39" t="s">
        <v>175</v>
      </c>
      <c r="AG47" s="10" t="s">
        <v>127</v>
      </c>
      <c r="AH47" s="4">
        <v>650</v>
      </c>
      <c r="AI47" s="11" t="s">
        <v>128</v>
      </c>
      <c r="AJ47" s="4" t="s">
        <v>77</v>
      </c>
      <c r="AK47" s="50">
        <v>1025</v>
      </c>
      <c r="AL47" s="43">
        <v>285975000</v>
      </c>
      <c r="AM47" s="43">
        <v>20</v>
      </c>
      <c r="AN47" s="43">
        <v>5535000</v>
      </c>
      <c r="AO47" s="43">
        <v>20</v>
      </c>
      <c r="AP47" s="43">
        <v>5535000</v>
      </c>
      <c r="AQ47" s="43">
        <v>464</v>
      </c>
      <c r="AR47" s="43">
        <v>124356346</v>
      </c>
      <c r="AS47" s="52">
        <f t="shared" si="6"/>
        <v>0.45268292682926831</v>
      </c>
    </row>
    <row r="48" spans="1:45" x14ac:dyDescent="0.3">
      <c r="A48" s="1" t="str">
        <f t="shared" si="1"/>
        <v>DWDJ95046BKS</v>
      </c>
      <c r="B48" s="32" t="s">
        <v>186</v>
      </c>
      <c r="C48" s="10" t="str">
        <f t="shared" si="4"/>
        <v>DJ950</v>
      </c>
      <c r="D48" s="10" t="s">
        <v>55</v>
      </c>
      <c r="E48" s="10" t="str">
        <f t="shared" si="2"/>
        <v>W</v>
      </c>
      <c r="F48" s="10" t="str">
        <f t="shared" si="3"/>
        <v>DJ</v>
      </c>
      <c r="G48" s="10" t="s">
        <v>56</v>
      </c>
      <c r="H48" s="4" t="s">
        <v>187</v>
      </c>
      <c r="I48" s="10" t="s">
        <v>78</v>
      </c>
      <c r="J48" s="4">
        <f t="shared" si="5"/>
        <v>1</v>
      </c>
      <c r="K48" s="4">
        <v>1</v>
      </c>
      <c r="L48" s="43">
        <v>299000</v>
      </c>
      <c r="M48" s="78" t="s">
        <v>132</v>
      </c>
      <c r="N48" s="98" t="s">
        <v>188</v>
      </c>
      <c r="O48" s="10" t="s">
        <v>61</v>
      </c>
      <c r="P48" s="63">
        <v>100</v>
      </c>
      <c r="Q48" s="94" t="s">
        <v>119</v>
      </c>
      <c r="R48" s="63" t="s">
        <v>189</v>
      </c>
      <c r="S48" s="96" t="s">
        <v>190</v>
      </c>
      <c r="T48" s="10" t="s">
        <v>122</v>
      </c>
      <c r="U48" s="10" t="s">
        <v>136</v>
      </c>
      <c r="V48" s="10" t="s">
        <v>66</v>
      </c>
      <c r="W48" s="10"/>
      <c r="X48" s="9" t="s">
        <v>67</v>
      </c>
      <c r="Y48" s="10" t="s">
        <v>68</v>
      </c>
      <c r="Z48" s="94" t="s">
        <v>125</v>
      </c>
      <c r="AA48" s="94" t="s">
        <v>90</v>
      </c>
      <c r="AB48" s="9" t="s">
        <v>71</v>
      </c>
      <c r="AC48" s="10" t="s">
        <v>62</v>
      </c>
      <c r="AD48" s="10" t="s">
        <v>72</v>
      </c>
      <c r="AE48" s="65" t="s">
        <v>137</v>
      </c>
      <c r="AF48" s="39" t="s">
        <v>191</v>
      </c>
      <c r="AG48" s="10" t="s">
        <v>127</v>
      </c>
      <c r="AH48" s="4">
        <v>650</v>
      </c>
      <c r="AI48" s="11" t="s">
        <v>128</v>
      </c>
      <c r="AJ48" s="4" t="s">
        <v>77</v>
      </c>
      <c r="AK48" s="50">
        <v>1606</v>
      </c>
      <c r="AL48" s="43">
        <v>480194000</v>
      </c>
      <c r="AM48" s="43">
        <v>46</v>
      </c>
      <c r="AN48" s="43">
        <v>13729945</v>
      </c>
      <c r="AO48" s="43">
        <v>291</v>
      </c>
      <c r="AP48" s="43">
        <v>85945738</v>
      </c>
      <c r="AQ48" s="43">
        <v>616</v>
      </c>
      <c r="AR48" s="43">
        <v>166506588</v>
      </c>
      <c r="AS48" s="52">
        <f t="shared" si="6"/>
        <v>0.38356164383561642</v>
      </c>
    </row>
    <row r="49" spans="1:45" x14ac:dyDescent="0.3">
      <c r="A49" s="1" t="str">
        <f t="shared" si="1"/>
        <v>DWDJ95046PKS</v>
      </c>
      <c r="B49" s="32" t="s">
        <v>186</v>
      </c>
      <c r="C49" s="10" t="str">
        <f t="shared" si="4"/>
        <v>DJ950</v>
      </c>
      <c r="D49" s="10" t="s">
        <v>55</v>
      </c>
      <c r="E49" s="10" t="str">
        <f t="shared" si="2"/>
        <v>W</v>
      </c>
      <c r="F49" s="10" t="str">
        <f t="shared" si="3"/>
        <v>DJ</v>
      </c>
      <c r="G49" s="10" t="s">
        <v>56</v>
      </c>
      <c r="H49" s="4" t="s">
        <v>187</v>
      </c>
      <c r="I49" s="10" t="s">
        <v>160</v>
      </c>
      <c r="J49" s="4" t="str">
        <f t="shared" si="5"/>
        <v/>
      </c>
      <c r="K49" s="4">
        <v>1</v>
      </c>
      <c r="L49" s="43">
        <v>299000</v>
      </c>
      <c r="M49" s="78" t="s">
        <v>132</v>
      </c>
      <c r="N49" s="98" t="s">
        <v>188</v>
      </c>
      <c r="O49" s="10" t="s">
        <v>61</v>
      </c>
      <c r="P49" s="63">
        <v>100</v>
      </c>
      <c r="Q49" s="94" t="s">
        <v>119</v>
      </c>
      <c r="R49" s="63" t="s">
        <v>189</v>
      </c>
      <c r="S49" s="96" t="s">
        <v>190</v>
      </c>
      <c r="T49" s="10" t="s">
        <v>122</v>
      </c>
      <c r="U49" s="10" t="s">
        <v>136</v>
      </c>
      <c r="V49" s="10" t="s">
        <v>66</v>
      </c>
      <c r="W49" s="10"/>
      <c r="X49" s="9" t="s">
        <v>67</v>
      </c>
      <c r="Y49" s="10" t="s">
        <v>68</v>
      </c>
      <c r="Z49" s="94" t="s">
        <v>125</v>
      </c>
      <c r="AA49" s="94" t="s">
        <v>90</v>
      </c>
      <c r="AB49" s="9" t="s">
        <v>71</v>
      </c>
      <c r="AC49" s="10" t="s">
        <v>62</v>
      </c>
      <c r="AD49" s="10" t="s">
        <v>72</v>
      </c>
      <c r="AE49" s="65" t="s">
        <v>137</v>
      </c>
      <c r="AF49" s="39" t="s">
        <v>191</v>
      </c>
      <c r="AG49" s="10" t="s">
        <v>127</v>
      </c>
      <c r="AH49" s="4">
        <v>650</v>
      </c>
      <c r="AI49" s="11" t="s">
        <v>128</v>
      </c>
      <c r="AJ49" s="4" t="s">
        <v>77</v>
      </c>
      <c r="AK49" s="50">
        <v>907</v>
      </c>
      <c r="AL49" s="43">
        <v>271193000</v>
      </c>
      <c r="AM49" s="43">
        <v>7</v>
      </c>
      <c r="AN49" s="43">
        <v>2093000</v>
      </c>
      <c r="AO49" s="43">
        <v>44</v>
      </c>
      <c r="AP49" s="43">
        <v>13041353</v>
      </c>
      <c r="AQ49" s="43">
        <v>87</v>
      </c>
      <c r="AR49" s="43">
        <v>23633553</v>
      </c>
      <c r="AS49" s="52">
        <f t="shared" si="6"/>
        <v>9.5920617420066148E-2</v>
      </c>
    </row>
    <row r="50" spans="1:45" x14ac:dyDescent="0.3">
      <c r="A50" s="1" t="str">
        <f t="shared" si="1"/>
        <v>DWDJ96046BDS</v>
      </c>
      <c r="B50" s="32" t="s">
        <v>192</v>
      </c>
      <c r="C50" s="10" t="str">
        <f t="shared" si="4"/>
        <v>DJ960</v>
      </c>
      <c r="D50" s="10" t="s">
        <v>55</v>
      </c>
      <c r="E50" s="10" t="str">
        <f t="shared" si="2"/>
        <v>W</v>
      </c>
      <c r="F50" s="10" t="str">
        <f t="shared" si="3"/>
        <v>DJ</v>
      </c>
      <c r="G50" s="10" t="s">
        <v>56</v>
      </c>
      <c r="H50" s="4" t="s">
        <v>193</v>
      </c>
      <c r="I50" s="10" t="s">
        <v>155</v>
      </c>
      <c r="J50" s="4">
        <f t="shared" si="5"/>
        <v>1</v>
      </c>
      <c r="K50" s="4">
        <v>1</v>
      </c>
      <c r="L50" s="43">
        <v>359000</v>
      </c>
      <c r="M50" s="78" t="s">
        <v>194</v>
      </c>
      <c r="N50" s="98" t="s">
        <v>195</v>
      </c>
      <c r="O50" s="10" t="s">
        <v>61</v>
      </c>
      <c r="P50" s="63">
        <v>100</v>
      </c>
      <c r="Q50" s="94" t="s">
        <v>119</v>
      </c>
      <c r="R50" s="63" t="s">
        <v>196</v>
      </c>
      <c r="S50" s="96" t="s">
        <v>197</v>
      </c>
      <c r="T50" s="10" t="s">
        <v>122</v>
      </c>
      <c r="U50" s="10" t="s">
        <v>198</v>
      </c>
      <c r="V50" s="10" t="s">
        <v>66</v>
      </c>
      <c r="W50" s="10"/>
      <c r="X50" s="9" t="s">
        <v>67</v>
      </c>
      <c r="Y50" s="10" t="s">
        <v>68</v>
      </c>
      <c r="Z50" s="94" t="s">
        <v>125</v>
      </c>
      <c r="AA50" s="94" t="s">
        <v>90</v>
      </c>
      <c r="AB50" s="9" t="s">
        <v>71</v>
      </c>
      <c r="AC50" s="10" t="s">
        <v>62</v>
      </c>
      <c r="AD50" s="10" t="s">
        <v>72</v>
      </c>
      <c r="AE50" s="65" t="s">
        <v>73</v>
      </c>
      <c r="AF50" s="39" t="s">
        <v>199</v>
      </c>
      <c r="AG50" s="10" t="s">
        <v>127</v>
      </c>
      <c r="AH50" s="4">
        <v>650</v>
      </c>
      <c r="AI50" s="11" t="s">
        <v>99</v>
      </c>
      <c r="AJ50" s="4" t="s">
        <v>100</v>
      </c>
      <c r="AK50" s="50">
        <v>1668</v>
      </c>
      <c r="AL50" s="43">
        <v>598812000</v>
      </c>
      <c r="AM50" s="43">
        <v>33</v>
      </c>
      <c r="AN50" s="43">
        <v>11761000</v>
      </c>
      <c r="AO50" s="43">
        <v>101</v>
      </c>
      <c r="AP50" s="43">
        <v>34980615</v>
      </c>
      <c r="AQ50" s="43">
        <v>358</v>
      </c>
      <c r="AR50" s="43">
        <v>111464396</v>
      </c>
      <c r="AS50" s="52">
        <f t="shared" si="6"/>
        <v>0.21462829736211031</v>
      </c>
    </row>
    <row r="51" spans="1:45" x14ac:dyDescent="0.3">
      <c r="A51" s="1" t="str">
        <f t="shared" si="1"/>
        <v>DWDJ96046CRS</v>
      </c>
      <c r="B51" s="32" t="s">
        <v>192</v>
      </c>
      <c r="C51" s="10" t="str">
        <f t="shared" si="4"/>
        <v>DJ960</v>
      </c>
      <c r="D51" s="10" t="s">
        <v>55</v>
      </c>
      <c r="E51" s="10" t="str">
        <f t="shared" si="2"/>
        <v>W</v>
      </c>
      <c r="F51" s="10" t="str">
        <f t="shared" si="3"/>
        <v>DJ</v>
      </c>
      <c r="G51" s="10" t="s">
        <v>56</v>
      </c>
      <c r="H51" s="4" t="s">
        <v>193</v>
      </c>
      <c r="I51" s="10" t="s">
        <v>79</v>
      </c>
      <c r="J51" s="4" t="str">
        <f t="shared" si="5"/>
        <v/>
      </c>
      <c r="K51" s="4">
        <v>1</v>
      </c>
      <c r="L51" s="43">
        <v>359000</v>
      </c>
      <c r="M51" s="78" t="s">
        <v>194</v>
      </c>
      <c r="N51" s="98" t="s">
        <v>195</v>
      </c>
      <c r="O51" s="10" t="s">
        <v>61</v>
      </c>
      <c r="P51" s="63">
        <v>100</v>
      </c>
      <c r="Q51" s="94" t="s">
        <v>119</v>
      </c>
      <c r="R51" s="63" t="s">
        <v>196</v>
      </c>
      <c r="S51" s="96" t="s">
        <v>197</v>
      </c>
      <c r="T51" s="10" t="s">
        <v>122</v>
      </c>
      <c r="U51" s="10" t="s">
        <v>198</v>
      </c>
      <c r="V51" s="10" t="s">
        <v>66</v>
      </c>
      <c r="W51" s="10"/>
      <c r="X51" s="9" t="s">
        <v>67</v>
      </c>
      <c r="Y51" s="10" t="s">
        <v>68</v>
      </c>
      <c r="Z51" s="94" t="s">
        <v>125</v>
      </c>
      <c r="AA51" s="94" t="s">
        <v>90</v>
      </c>
      <c r="AB51" s="9" t="s">
        <v>71</v>
      </c>
      <c r="AC51" s="10" t="s">
        <v>62</v>
      </c>
      <c r="AD51" s="10" t="s">
        <v>72</v>
      </c>
      <c r="AE51" s="65" t="s">
        <v>73</v>
      </c>
      <c r="AF51" s="39" t="s">
        <v>199</v>
      </c>
      <c r="AG51" s="10" t="s">
        <v>127</v>
      </c>
      <c r="AH51" s="4">
        <v>650</v>
      </c>
      <c r="AI51" s="11" t="s">
        <v>99</v>
      </c>
      <c r="AJ51" s="4" t="s">
        <v>100</v>
      </c>
      <c r="AK51" s="50">
        <v>1135</v>
      </c>
      <c r="AL51" s="43">
        <v>407465000</v>
      </c>
      <c r="AM51" s="43">
        <v>39</v>
      </c>
      <c r="AN51" s="43">
        <v>13847446</v>
      </c>
      <c r="AO51" s="43">
        <v>151</v>
      </c>
      <c r="AP51" s="43">
        <v>53737708</v>
      </c>
      <c r="AQ51" s="43">
        <v>413</v>
      </c>
      <c r="AR51" s="43">
        <v>131669362</v>
      </c>
      <c r="AS51" s="52">
        <f t="shared" si="6"/>
        <v>0.36387665198237884</v>
      </c>
    </row>
    <row r="52" spans="1:45" x14ac:dyDescent="0.3">
      <c r="A52" s="1" t="str">
        <f t="shared" si="1"/>
        <v>DWDJ96046BKS</v>
      </c>
      <c r="B52" s="32" t="s">
        <v>192</v>
      </c>
      <c r="C52" s="10" t="str">
        <f t="shared" si="4"/>
        <v>DJ960</v>
      </c>
      <c r="D52" s="10" t="s">
        <v>55</v>
      </c>
      <c r="E52" s="10" t="str">
        <f t="shared" si="2"/>
        <v>W</v>
      </c>
      <c r="F52" s="10" t="str">
        <f t="shared" si="3"/>
        <v>DJ</v>
      </c>
      <c r="G52" s="10" t="s">
        <v>56</v>
      </c>
      <c r="H52" s="4" t="s">
        <v>193</v>
      </c>
      <c r="I52" s="10" t="s">
        <v>78</v>
      </c>
      <c r="J52" s="4" t="str">
        <f t="shared" si="5"/>
        <v/>
      </c>
      <c r="K52" s="4">
        <v>1</v>
      </c>
      <c r="L52" s="43">
        <v>359000</v>
      </c>
      <c r="M52" s="78" t="s">
        <v>194</v>
      </c>
      <c r="N52" s="98" t="s">
        <v>195</v>
      </c>
      <c r="O52" s="10" t="s">
        <v>61</v>
      </c>
      <c r="P52" s="63">
        <v>100</v>
      </c>
      <c r="Q52" s="94" t="s">
        <v>119</v>
      </c>
      <c r="R52" s="63" t="s">
        <v>196</v>
      </c>
      <c r="S52" s="96" t="s">
        <v>197</v>
      </c>
      <c r="T52" s="10" t="s">
        <v>122</v>
      </c>
      <c r="U52" s="10" t="s">
        <v>198</v>
      </c>
      <c r="V52" s="10" t="s">
        <v>66</v>
      </c>
      <c r="W52" s="10"/>
      <c r="X52" s="9" t="s">
        <v>67</v>
      </c>
      <c r="Y52" s="10" t="s">
        <v>68</v>
      </c>
      <c r="Z52" s="94" t="s">
        <v>125</v>
      </c>
      <c r="AA52" s="94" t="s">
        <v>90</v>
      </c>
      <c r="AB52" s="9" t="s">
        <v>71</v>
      </c>
      <c r="AC52" s="10" t="s">
        <v>62</v>
      </c>
      <c r="AD52" s="10" t="s">
        <v>72</v>
      </c>
      <c r="AE52" s="65" t="s">
        <v>73</v>
      </c>
      <c r="AF52" s="39" t="s">
        <v>199</v>
      </c>
      <c r="AG52" s="10" t="s">
        <v>127</v>
      </c>
      <c r="AH52" s="4">
        <v>650</v>
      </c>
      <c r="AI52" s="11" t="s">
        <v>99</v>
      </c>
      <c r="AJ52" s="4" t="s">
        <v>100</v>
      </c>
      <c r="AK52" s="50">
        <v>2360</v>
      </c>
      <c r="AL52" s="43">
        <v>847240000</v>
      </c>
      <c r="AM52" s="43">
        <v>120</v>
      </c>
      <c r="AN52" s="43">
        <v>42641657</v>
      </c>
      <c r="AO52" s="43">
        <v>495</v>
      </c>
      <c r="AP52" s="43">
        <v>175324145</v>
      </c>
      <c r="AQ52" s="43">
        <v>1799</v>
      </c>
      <c r="AR52" s="43">
        <v>556656265</v>
      </c>
      <c r="AS52" s="52">
        <f t="shared" si="6"/>
        <v>0.76228813559322028</v>
      </c>
    </row>
    <row r="53" spans="1:45" x14ac:dyDescent="0.3">
      <c r="A53" s="1" t="str">
        <f t="shared" si="1"/>
        <v>DWDJ96046BGS</v>
      </c>
      <c r="B53" s="32" t="s">
        <v>192</v>
      </c>
      <c r="C53" s="10" t="str">
        <f t="shared" si="4"/>
        <v>DJ960</v>
      </c>
      <c r="D53" s="10" t="s">
        <v>55</v>
      </c>
      <c r="E53" s="10" t="str">
        <f t="shared" si="2"/>
        <v>W</v>
      </c>
      <c r="F53" s="10" t="str">
        <f t="shared" si="3"/>
        <v>DJ</v>
      </c>
      <c r="G53" s="10" t="s">
        <v>56</v>
      </c>
      <c r="H53" s="4" t="s">
        <v>193</v>
      </c>
      <c r="I53" s="10" t="s">
        <v>82</v>
      </c>
      <c r="J53" s="4" t="str">
        <f t="shared" si="5"/>
        <v/>
      </c>
      <c r="K53" s="4">
        <v>1</v>
      </c>
      <c r="L53" s="43">
        <v>359000</v>
      </c>
      <c r="M53" s="78" t="s">
        <v>194</v>
      </c>
      <c r="N53" s="98" t="s">
        <v>195</v>
      </c>
      <c r="O53" s="10" t="s">
        <v>61</v>
      </c>
      <c r="P53" s="63">
        <v>100</v>
      </c>
      <c r="Q53" s="94" t="s">
        <v>119</v>
      </c>
      <c r="R53" s="63" t="s">
        <v>196</v>
      </c>
      <c r="S53" s="96" t="s">
        <v>197</v>
      </c>
      <c r="T53" s="10" t="s">
        <v>122</v>
      </c>
      <c r="U53" s="10" t="s">
        <v>198</v>
      </c>
      <c r="V53" s="10" t="s">
        <v>66</v>
      </c>
      <c r="W53" s="10"/>
      <c r="X53" s="9" t="s">
        <v>67</v>
      </c>
      <c r="Y53" s="10" t="s">
        <v>68</v>
      </c>
      <c r="Z53" s="94" t="s">
        <v>125</v>
      </c>
      <c r="AA53" s="94" t="s">
        <v>90</v>
      </c>
      <c r="AB53" s="9" t="s">
        <v>71</v>
      </c>
      <c r="AC53" s="10" t="s">
        <v>62</v>
      </c>
      <c r="AD53" s="10" t="s">
        <v>72</v>
      </c>
      <c r="AE53" s="65" t="s">
        <v>73</v>
      </c>
      <c r="AF53" s="39" t="s">
        <v>199</v>
      </c>
      <c r="AG53" s="10" t="s">
        <v>127</v>
      </c>
      <c r="AH53" s="4">
        <v>650</v>
      </c>
      <c r="AI53" s="11" t="s">
        <v>99</v>
      </c>
      <c r="AJ53" s="4" t="s">
        <v>100</v>
      </c>
      <c r="AK53" s="50">
        <v>2000</v>
      </c>
      <c r="AL53" s="43">
        <v>718000000</v>
      </c>
      <c r="AM53" s="43">
        <v>54</v>
      </c>
      <c r="AN53" s="43">
        <v>19107640</v>
      </c>
      <c r="AO53" s="43">
        <v>197</v>
      </c>
      <c r="AP53" s="43">
        <v>69463304</v>
      </c>
      <c r="AQ53" s="43">
        <v>687</v>
      </c>
      <c r="AR53" s="43">
        <v>210675511</v>
      </c>
      <c r="AS53" s="52">
        <f t="shared" si="6"/>
        <v>0.34350000000000003</v>
      </c>
    </row>
    <row r="54" spans="1:45" x14ac:dyDescent="0.3">
      <c r="A54" s="1" t="str">
        <f t="shared" si="1"/>
        <v>DWDJ98046BGL</v>
      </c>
      <c r="B54" s="32" t="s">
        <v>200</v>
      </c>
      <c r="C54" s="10" t="str">
        <f t="shared" si="4"/>
        <v>DJ980</v>
      </c>
      <c r="D54" s="10" t="s">
        <v>55</v>
      </c>
      <c r="E54" s="10" t="str">
        <f t="shared" si="2"/>
        <v>W</v>
      </c>
      <c r="F54" s="10" t="str">
        <f t="shared" si="3"/>
        <v>DJ</v>
      </c>
      <c r="G54" s="10" t="s">
        <v>56</v>
      </c>
      <c r="H54" s="4" t="s">
        <v>201</v>
      </c>
      <c r="I54" s="10" t="s">
        <v>163</v>
      </c>
      <c r="J54" s="4">
        <f t="shared" si="5"/>
        <v>1</v>
      </c>
      <c r="K54" s="4">
        <v>1</v>
      </c>
      <c r="L54" s="43">
        <v>490000</v>
      </c>
      <c r="M54" s="78" t="s">
        <v>202</v>
      </c>
      <c r="N54" s="98" t="s">
        <v>203</v>
      </c>
      <c r="O54" s="10" t="s">
        <v>61</v>
      </c>
      <c r="P54" s="63">
        <v>100</v>
      </c>
      <c r="Q54" s="94" t="s">
        <v>204</v>
      </c>
      <c r="R54" s="63" t="s">
        <v>205</v>
      </c>
      <c r="S54" s="96" t="s">
        <v>206</v>
      </c>
      <c r="T54" s="10" t="s">
        <v>122</v>
      </c>
      <c r="U54" s="10" t="s">
        <v>207</v>
      </c>
      <c r="V54" s="10" t="s">
        <v>66</v>
      </c>
      <c r="W54" s="10"/>
      <c r="X54" s="9" t="s">
        <v>67</v>
      </c>
      <c r="Y54" s="10" t="s">
        <v>68</v>
      </c>
      <c r="Z54" s="94" t="s">
        <v>125</v>
      </c>
      <c r="AA54" s="94" t="s">
        <v>90</v>
      </c>
      <c r="AB54" s="9" t="s">
        <v>71</v>
      </c>
      <c r="AC54" s="10" t="s">
        <v>85</v>
      </c>
      <c r="AD54" s="10" t="s">
        <v>208</v>
      </c>
      <c r="AE54" s="65" t="s">
        <v>73</v>
      </c>
      <c r="AF54" s="39" t="s">
        <v>199</v>
      </c>
      <c r="AG54" s="10" t="s">
        <v>127</v>
      </c>
      <c r="AH54" s="4">
        <v>650</v>
      </c>
      <c r="AI54" s="11" t="s">
        <v>99</v>
      </c>
      <c r="AJ54" s="4" t="s">
        <v>100</v>
      </c>
      <c r="AK54" s="50">
        <v>1968</v>
      </c>
      <c r="AL54" s="43">
        <v>964320000</v>
      </c>
      <c r="AM54" s="43">
        <v>93</v>
      </c>
      <c r="AN54" s="43">
        <v>44742940</v>
      </c>
      <c r="AO54" s="43">
        <v>336</v>
      </c>
      <c r="AP54" s="43">
        <v>161755077</v>
      </c>
      <c r="AQ54" s="43">
        <v>867</v>
      </c>
      <c r="AR54" s="43">
        <v>412672065</v>
      </c>
      <c r="AS54" s="52">
        <f t="shared" si="6"/>
        <v>0.44054878048780488</v>
      </c>
    </row>
    <row r="55" spans="1:45" x14ac:dyDescent="0.3">
      <c r="A55" s="1" t="str">
        <f t="shared" si="1"/>
        <v>DWDJ98046OLD</v>
      </c>
      <c r="B55" s="32" t="s">
        <v>200</v>
      </c>
      <c r="C55" s="10" t="str">
        <f t="shared" si="4"/>
        <v>DJ980</v>
      </c>
      <c r="D55" s="10" t="s">
        <v>55</v>
      </c>
      <c r="E55" s="10" t="str">
        <f t="shared" si="2"/>
        <v>W</v>
      </c>
      <c r="F55" s="10" t="str">
        <f t="shared" si="3"/>
        <v>DJ</v>
      </c>
      <c r="G55" s="10" t="s">
        <v>56</v>
      </c>
      <c r="H55" s="4" t="s">
        <v>201</v>
      </c>
      <c r="I55" s="10" t="s">
        <v>209</v>
      </c>
      <c r="J55" s="4" t="str">
        <f t="shared" si="5"/>
        <v/>
      </c>
      <c r="K55" s="4">
        <v>1</v>
      </c>
      <c r="L55" s="43">
        <v>490000</v>
      </c>
      <c r="M55" s="78" t="s">
        <v>202</v>
      </c>
      <c r="N55" s="98" t="s">
        <v>203</v>
      </c>
      <c r="O55" s="10" t="s">
        <v>61</v>
      </c>
      <c r="P55" s="63">
        <v>100</v>
      </c>
      <c r="Q55" s="94" t="s">
        <v>204</v>
      </c>
      <c r="R55" s="63" t="s">
        <v>205</v>
      </c>
      <c r="S55" s="96" t="s">
        <v>206</v>
      </c>
      <c r="T55" s="10" t="s">
        <v>122</v>
      </c>
      <c r="U55" s="10" t="s">
        <v>207</v>
      </c>
      <c r="V55" s="10" t="s">
        <v>66</v>
      </c>
      <c r="W55" s="10"/>
      <c r="X55" s="9" t="s">
        <v>67</v>
      </c>
      <c r="Y55" s="10" t="s">
        <v>68</v>
      </c>
      <c r="Z55" s="94" t="s">
        <v>125</v>
      </c>
      <c r="AA55" s="94" t="s">
        <v>90</v>
      </c>
      <c r="AB55" s="9" t="s">
        <v>71</v>
      </c>
      <c r="AC55" s="10" t="s">
        <v>85</v>
      </c>
      <c r="AD55" s="10" t="s">
        <v>208</v>
      </c>
      <c r="AE55" s="65" t="s">
        <v>73</v>
      </c>
      <c r="AF55" s="39" t="s">
        <v>199</v>
      </c>
      <c r="AG55" s="10" t="s">
        <v>127</v>
      </c>
      <c r="AH55" s="4">
        <v>650</v>
      </c>
      <c r="AI55" s="11" t="s">
        <v>99</v>
      </c>
      <c r="AJ55" s="4" t="s">
        <v>100</v>
      </c>
      <c r="AK55" s="50">
        <v>1470</v>
      </c>
      <c r="AL55" s="43">
        <v>720300000</v>
      </c>
      <c r="AM55" s="43">
        <v>33</v>
      </c>
      <c r="AN55" s="43">
        <v>15998818</v>
      </c>
      <c r="AO55" s="43">
        <v>142</v>
      </c>
      <c r="AP55" s="43">
        <v>67503340</v>
      </c>
      <c r="AQ55" s="43">
        <v>410</v>
      </c>
      <c r="AR55" s="43">
        <v>194315169</v>
      </c>
      <c r="AS55" s="52">
        <f t="shared" si="6"/>
        <v>0.27891156462585032</v>
      </c>
    </row>
    <row r="56" spans="1:45" x14ac:dyDescent="0.3">
      <c r="A56" s="1" t="str">
        <f t="shared" si="1"/>
        <v>DWDJ98046BKS</v>
      </c>
      <c r="B56" s="32" t="s">
        <v>200</v>
      </c>
      <c r="C56" s="10" t="str">
        <f t="shared" si="4"/>
        <v>DJ980</v>
      </c>
      <c r="D56" s="10" t="s">
        <v>55</v>
      </c>
      <c r="E56" s="10" t="str">
        <f t="shared" si="2"/>
        <v>W</v>
      </c>
      <c r="F56" s="10" t="str">
        <f t="shared" si="3"/>
        <v>DJ</v>
      </c>
      <c r="G56" s="10" t="s">
        <v>56</v>
      </c>
      <c r="H56" s="4" t="s">
        <v>201</v>
      </c>
      <c r="I56" s="10" t="s">
        <v>78</v>
      </c>
      <c r="J56" s="4" t="str">
        <f t="shared" si="5"/>
        <v/>
      </c>
      <c r="K56" s="4">
        <v>1</v>
      </c>
      <c r="L56" s="43">
        <v>490000</v>
      </c>
      <c r="M56" s="78" t="s">
        <v>202</v>
      </c>
      <c r="N56" s="98" t="s">
        <v>203</v>
      </c>
      <c r="O56" s="10" t="s">
        <v>61</v>
      </c>
      <c r="P56" s="63">
        <v>100</v>
      </c>
      <c r="Q56" s="94" t="s">
        <v>204</v>
      </c>
      <c r="R56" s="63" t="s">
        <v>205</v>
      </c>
      <c r="S56" s="96" t="s">
        <v>206</v>
      </c>
      <c r="T56" s="10" t="s">
        <v>122</v>
      </c>
      <c r="U56" s="10" t="s">
        <v>207</v>
      </c>
      <c r="V56" s="10" t="s">
        <v>66</v>
      </c>
      <c r="W56" s="10"/>
      <c r="X56" s="9" t="s">
        <v>67</v>
      </c>
      <c r="Y56" s="10" t="s">
        <v>68</v>
      </c>
      <c r="Z56" s="94" t="s">
        <v>125</v>
      </c>
      <c r="AA56" s="94" t="s">
        <v>90</v>
      </c>
      <c r="AB56" s="9" t="s">
        <v>71</v>
      </c>
      <c r="AC56" s="10" t="s">
        <v>85</v>
      </c>
      <c r="AD56" s="10" t="s">
        <v>208</v>
      </c>
      <c r="AE56" s="65" t="s">
        <v>73</v>
      </c>
      <c r="AF56" s="39" t="s">
        <v>199</v>
      </c>
      <c r="AG56" s="10" t="s">
        <v>127</v>
      </c>
      <c r="AH56" s="4">
        <v>650</v>
      </c>
      <c r="AI56" s="11" t="s">
        <v>99</v>
      </c>
      <c r="AJ56" s="4" t="s">
        <v>100</v>
      </c>
      <c r="AK56" s="50">
        <v>2990</v>
      </c>
      <c r="AL56" s="43">
        <v>1465100000</v>
      </c>
      <c r="AM56" s="43">
        <v>349</v>
      </c>
      <c r="AN56" s="43">
        <v>167720323</v>
      </c>
      <c r="AO56" s="43">
        <v>1244</v>
      </c>
      <c r="AP56" s="43">
        <v>596531009</v>
      </c>
      <c r="AQ56" s="43">
        <v>2749</v>
      </c>
      <c r="AR56" s="43">
        <v>1301124906</v>
      </c>
      <c r="AS56" s="52">
        <f t="shared" si="6"/>
        <v>0.91939799331103678</v>
      </c>
    </row>
    <row r="57" spans="1:45" x14ac:dyDescent="0.3">
      <c r="A57" s="1" t="str">
        <f t="shared" si="1"/>
        <v>DWDJ98046IVS</v>
      </c>
      <c r="B57" s="32" t="s">
        <v>200</v>
      </c>
      <c r="C57" s="10" t="str">
        <f t="shared" si="4"/>
        <v>DJ980</v>
      </c>
      <c r="D57" s="10" t="s">
        <v>55</v>
      </c>
      <c r="E57" s="10" t="str">
        <f t="shared" si="2"/>
        <v>W</v>
      </c>
      <c r="F57" s="10" t="str">
        <f t="shared" si="3"/>
        <v>DJ</v>
      </c>
      <c r="G57" s="10" t="s">
        <v>56</v>
      </c>
      <c r="H57" s="4" t="s">
        <v>201</v>
      </c>
      <c r="I57" s="10" t="s">
        <v>111</v>
      </c>
      <c r="J57" s="4" t="str">
        <f t="shared" si="5"/>
        <v/>
      </c>
      <c r="K57" s="4">
        <v>1</v>
      </c>
      <c r="L57" s="43">
        <v>490000</v>
      </c>
      <c r="M57" s="78" t="s">
        <v>202</v>
      </c>
      <c r="N57" s="98" t="s">
        <v>203</v>
      </c>
      <c r="O57" s="10" t="s">
        <v>61</v>
      </c>
      <c r="P57" s="63">
        <v>100</v>
      </c>
      <c r="Q57" s="94" t="s">
        <v>204</v>
      </c>
      <c r="R57" s="63" t="s">
        <v>205</v>
      </c>
      <c r="S57" s="96" t="s">
        <v>206</v>
      </c>
      <c r="T57" s="10" t="s">
        <v>122</v>
      </c>
      <c r="U57" s="10" t="s">
        <v>207</v>
      </c>
      <c r="V57" s="10" t="s">
        <v>66</v>
      </c>
      <c r="W57" s="10"/>
      <c r="X57" s="9" t="s">
        <v>67</v>
      </c>
      <c r="Y57" s="10" t="s">
        <v>68</v>
      </c>
      <c r="Z57" s="94" t="s">
        <v>125</v>
      </c>
      <c r="AA57" s="94" t="s">
        <v>90</v>
      </c>
      <c r="AB57" s="9" t="s">
        <v>71</v>
      </c>
      <c r="AC57" s="10" t="s">
        <v>85</v>
      </c>
      <c r="AD57" s="10" t="s">
        <v>208</v>
      </c>
      <c r="AE57" s="65" t="s">
        <v>73</v>
      </c>
      <c r="AF57" s="39" t="s">
        <v>199</v>
      </c>
      <c r="AG57" s="10" t="s">
        <v>127</v>
      </c>
      <c r="AH57" s="4">
        <v>650</v>
      </c>
      <c r="AI57" s="11" t="s">
        <v>99</v>
      </c>
      <c r="AJ57" s="4" t="s">
        <v>100</v>
      </c>
      <c r="AK57" s="50">
        <v>2060</v>
      </c>
      <c r="AL57" s="43">
        <v>1009400000</v>
      </c>
      <c r="AM57" s="43">
        <v>104</v>
      </c>
      <c r="AN57" s="43">
        <v>50224296</v>
      </c>
      <c r="AO57" s="43">
        <v>436</v>
      </c>
      <c r="AP57" s="43">
        <v>210479097</v>
      </c>
      <c r="AQ57" s="43">
        <v>1101</v>
      </c>
      <c r="AR57" s="43">
        <v>524358085</v>
      </c>
      <c r="AS57" s="52">
        <f t="shared" si="6"/>
        <v>0.53446601941747574</v>
      </c>
    </row>
    <row r="58" spans="1:45" x14ac:dyDescent="0.3">
      <c r="A58" s="1" t="str">
        <f t="shared" si="1"/>
        <v>DWDJ99046BKS</v>
      </c>
      <c r="B58" s="32" t="s">
        <v>210</v>
      </c>
      <c r="C58" s="10" t="str">
        <f t="shared" si="4"/>
        <v>DJ990</v>
      </c>
      <c r="D58" s="10" t="s">
        <v>55</v>
      </c>
      <c r="E58" s="10" t="str">
        <f t="shared" si="2"/>
        <v>W</v>
      </c>
      <c r="F58" s="10" t="str">
        <f t="shared" si="3"/>
        <v>DJ</v>
      </c>
      <c r="G58" s="10" t="s">
        <v>56</v>
      </c>
      <c r="H58" s="4" t="s">
        <v>211</v>
      </c>
      <c r="I58" s="10" t="s">
        <v>78</v>
      </c>
      <c r="J58" s="4">
        <f t="shared" si="5"/>
        <v>1</v>
      </c>
      <c r="K58" s="4">
        <v>1</v>
      </c>
      <c r="L58" s="43">
        <v>379000</v>
      </c>
      <c r="M58" s="78" t="s">
        <v>202</v>
      </c>
      <c r="N58" s="98" t="s">
        <v>203</v>
      </c>
      <c r="O58" s="10" t="s">
        <v>61</v>
      </c>
      <c r="P58" s="63">
        <v>100</v>
      </c>
      <c r="Q58" s="94" t="s">
        <v>204</v>
      </c>
      <c r="R58" s="63" t="s">
        <v>205</v>
      </c>
      <c r="S58" s="96" t="s">
        <v>206</v>
      </c>
      <c r="T58" s="10" t="s">
        <v>122</v>
      </c>
      <c r="U58" s="10" t="s">
        <v>207</v>
      </c>
      <c r="V58" s="10" t="s">
        <v>66</v>
      </c>
      <c r="W58" s="10"/>
      <c r="X58" s="9" t="s">
        <v>67</v>
      </c>
      <c r="Y58" s="10" t="s">
        <v>68</v>
      </c>
      <c r="Z58" s="94" t="s">
        <v>125</v>
      </c>
      <c r="AA58" s="94" t="s">
        <v>90</v>
      </c>
      <c r="AB58" s="9" t="s">
        <v>71</v>
      </c>
      <c r="AC58" s="10" t="s">
        <v>85</v>
      </c>
      <c r="AD58" s="10" t="s">
        <v>208</v>
      </c>
      <c r="AE58" s="65" t="s">
        <v>73</v>
      </c>
      <c r="AF58" s="39" t="s">
        <v>191</v>
      </c>
      <c r="AG58" s="10" t="s">
        <v>127</v>
      </c>
      <c r="AH58" s="4">
        <v>650</v>
      </c>
      <c r="AI58" s="11" t="s">
        <v>128</v>
      </c>
      <c r="AJ58" s="4" t="s">
        <v>94</v>
      </c>
      <c r="AK58" s="50">
        <v>1800</v>
      </c>
      <c r="AL58" s="43">
        <v>682200000</v>
      </c>
      <c r="AM58" s="43">
        <v>317</v>
      </c>
      <c r="AN58" s="43">
        <v>118686546</v>
      </c>
      <c r="AO58" s="43">
        <v>1231</v>
      </c>
      <c r="AP58" s="43">
        <v>460090945</v>
      </c>
      <c r="AQ58" s="43">
        <v>1729</v>
      </c>
      <c r="AR58" s="43">
        <v>641802583</v>
      </c>
      <c r="AS58" s="52">
        <f t="shared" si="6"/>
        <v>0.96055555555555561</v>
      </c>
    </row>
    <row r="59" spans="1:45" x14ac:dyDescent="0.3">
      <c r="A59" s="1" t="str">
        <f t="shared" si="1"/>
        <v>DWDJ99046IVS</v>
      </c>
      <c r="B59" s="32" t="s">
        <v>210</v>
      </c>
      <c r="C59" s="10" t="str">
        <f t="shared" si="4"/>
        <v>DJ990</v>
      </c>
      <c r="D59" s="10" t="s">
        <v>55</v>
      </c>
      <c r="E59" s="10" t="str">
        <f t="shared" si="2"/>
        <v>W</v>
      </c>
      <c r="F59" s="10" t="str">
        <f t="shared" si="3"/>
        <v>DJ</v>
      </c>
      <c r="G59" s="10" t="s">
        <v>56</v>
      </c>
      <c r="H59" s="4" t="s">
        <v>211</v>
      </c>
      <c r="I59" s="10" t="s">
        <v>111</v>
      </c>
      <c r="J59" s="4" t="str">
        <f t="shared" si="5"/>
        <v/>
      </c>
      <c r="K59" s="4">
        <v>1</v>
      </c>
      <c r="L59" s="43">
        <v>379000</v>
      </c>
      <c r="M59" s="78" t="s">
        <v>202</v>
      </c>
      <c r="N59" s="98" t="s">
        <v>203</v>
      </c>
      <c r="O59" s="10" t="s">
        <v>61</v>
      </c>
      <c r="P59" s="63">
        <v>100</v>
      </c>
      <c r="Q59" s="94" t="s">
        <v>204</v>
      </c>
      <c r="R59" s="63" t="s">
        <v>205</v>
      </c>
      <c r="S59" s="96" t="s">
        <v>206</v>
      </c>
      <c r="T59" s="10" t="s">
        <v>122</v>
      </c>
      <c r="U59" s="10" t="s">
        <v>207</v>
      </c>
      <c r="V59" s="10" t="s">
        <v>66</v>
      </c>
      <c r="W59" s="10"/>
      <c r="X59" s="9" t="s">
        <v>67</v>
      </c>
      <c r="Y59" s="10" t="s">
        <v>68</v>
      </c>
      <c r="Z59" s="94" t="s">
        <v>125</v>
      </c>
      <c r="AA59" s="94" t="s">
        <v>90</v>
      </c>
      <c r="AB59" s="9" t="s">
        <v>71</v>
      </c>
      <c r="AC59" s="10" t="s">
        <v>85</v>
      </c>
      <c r="AD59" s="10" t="s">
        <v>208</v>
      </c>
      <c r="AE59" s="65" t="s">
        <v>73</v>
      </c>
      <c r="AF59" s="39" t="s">
        <v>191</v>
      </c>
      <c r="AG59" s="10" t="s">
        <v>127</v>
      </c>
      <c r="AH59" s="4">
        <v>650</v>
      </c>
      <c r="AI59" s="11" t="s">
        <v>128</v>
      </c>
      <c r="AJ59" s="4" t="s">
        <v>94</v>
      </c>
      <c r="AK59" s="50">
        <v>1199</v>
      </c>
      <c r="AL59" s="43">
        <v>454421000</v>
      </c>
      <c r="AM59" s="43">
        <v>223</v>
      </c>
      <c r="AN59" s="43">
        <v>83496818</v>
      </c>
      <c r="AO59" s="43">
        <v>978</v>
      </c>
      <c r="AP59" s="43">
        <v>365660932</v>
      </c>
      <c r="AQ59" s="43">
        <v>1144</v>
      </c>
      <c r="AR59" s="43">
        <v>425683158</v>
      </c>
      <c r="AS59" s="52">
        <f t="shared" si="6"/>
        <v>0.95412844036697253</v>
      </c>
    </row>
    <row r="60" spans="1:45" x14ac:dyDescent="0.3">
      <c r="A60" s="1" t="str">
        <f t="shared" si="1"/>
        <v>DWDJ9A046IVD</v>
      </c>
      <c r="B60" s="32" t="s">
        <v>212</v>
      </c>
      <c r="C60" s="10" t="str">
        <f t="shared" si="4"/>
        <v>DJ9A0</v>
      </c>
      <c r="D60" s="10" t="s">
        <v>55</v>
      </c>
      <c r="E60" s="10" t="str">
        <f t="shared" si="2"/>
        <v>W</v>
      </c>
      <c r="F60" s="10" t="str">
        <f t="shared" si="3"/>
        <v>DJ</v>
      </c>
      <c r="G60" s="10" t="s">
        <v>56</v>
      </c>
      <c r="H60" s="4" t="s">
        <v>213</v>
      </c>
      <c r="I60" s="10" t="s">
        <v>105</v>
      </c>
      <c r="J60" s="4">
        <f t="shared" si="5"/>
        <v>1</v>
      </c>
      <c r="K60" s="4">
        <v>1</v>
      </c>
      <c r="L60" s="43">
        <v>570000</v>
      </c>
      <c r="M60" s="78" t="s">
        <v>202</v>
      </c>
      <c r="N60" s="98" t="s">
        <v>203</v>
      </c>
      <c r="O60" s="10" t="s">
        <v>61</v>
      </c>
      <c r="P60" s="63">
        <v>100</v>
      </c>
      <c r="Q60" s="94" t="s">
        <v>204</v>
      </c>
      <c r="R60" s="63" t="s">
        <v>205</v>
      </c>
      <c r="S60" s="96" t="s">
        <v>206</v>
      </c>
      <c r="T60" s="10" t="s">
        <v>122</v>
      </c>
      <c r="U60" s="10" t="s">
        <v>207</v>
      </c>
      <c r="V60" s="10" t="s">
        <v>66</v>
      </c>
      <c r="W60" s="10"/>
      <c r="X60" s="9" t="s">
        <v>67</v>
      </c>
      <c r="Y60" s="10" t="s">
        <v>68</v>
      </c>
      <c r="Z60" s="94" t="s">
        <v>125</v>
      </c>
      <c r="AA60" s="94" t="s">
        <v>90</v>
      </c>
      <c r="AB60" s="9" t="s">
        <v>71</v>
      </c>
      <c r="AC60" s="10" t="s">
        <v>85</v>
      </c>
      <c r="AD60" s="10" t="s">
        <v>208</v>
      </c>
      <c r="AE60" s="65" t="s">
        <v>73</v>
      </c>
      <c r="AF60" s="39" t="s">
        <v>214</v>
      </c>
      <c r="AG60" s="10" t="s">
        <v>127</v>
      </c>
      <c r="AH60" s="4">
        <v>650</v>
      </c>
      <c r="AI60" s="11" t="s">
        <v>107</v>
      </c>
      <c r="AJ60" s="4" t="s">
        <v>108</v>
      </c>
      <c r="AK60" s="50">
        <v>3968</v>
      </c>
      <c r="AL60" s="43">
        <v>2261760000</v>
      </c>
      <c r="AM60" s="43">
        <v>238</v>
      </c>
      <c r="AN60" s="43">
        <v>133593921</v>
      </c>
      <c r="AO60" s="43">
        <v>838</v>
      </c>
      <c r="AP60" s="43">
        <v>468889573</v>
      </c>
      <c r="AQ60" s="43">
        <v>2160</v>
      </c>
      <c r="AR60" s="43">
        <v>1189059049</v>
      </c>
      <c r="AS60" s="52">
        <f t="shared" si="6"/>
        <v>0.54435483870967738</v>
      </c>
    </row>
    <row r="61" spans="1:45" x14ac:dyDescent="0.3">
      <c r="A61" s="1" t="str">
        <f t="shared" si="1"/>
        <v>DWDJ9A046BKS</v>
      </c>
      <c r="B61" s="32" t="s">
        <v>212</v>
      </c>
      <c r="C61" s="10" t="str">
        <f t="shared" si="4"/>
        <v>DJ9A0</v>
      </c>
      <c r="D61" s="10" t="s">
        <v>55</v>
      </c>
      <c r="E61" s="10" t="str">
        <f t="shared" si="2"/>
        <v>W</v>
      </c>
      <c r="F61" s="10" t="str">
        <f t="shared" si="3"/>
        <v>DJ</v>
      </c>
      <c r="G61" s="10" t="s">
        <v>56</v>
      </c>
      <c r="H61" s="4" t="s">
        <v>213</v>
      </c>
      <c r="I61" s="10" t="s">
        <v>78</v>
      </c>
      <c r="J61" s="4" t="str">
        <f t="shared" si="5"/>
        <v/>
      </c>
      <c r="K61" s="4">
        <v>1</v>
      </c>
      <c r="L61" s="43">
        <v>570000</v>
      </c>
      <c r="M61" s="78" t="s">
        <v>202</v>
      </c>
      <c r="N61" s="98" t="s">
        <v>203</v>
      </c>
      <c r="O61" s="10" t="s">
        <v>61</v>
      </c>
      <c r="P61" s="63">
        <v>100</v>
      </c>
      <c r="Q61" s="94" t="s">
        <v>204</v>
      </c>
      <c r="R61" s="63" t="s">
        <v>205</v>
      </c>
      <c r="S61" s="96" t="s">
        <v>206</v>
      </c>
      <c r="T61" s="10" t="s">
        <v>122</v>
      </c>
      <c r="U61" s="10" t="s">
        <v>207</v>
      </c>
      <c r="V61" s="10" t="s">
        <v>66</v>
      </c>
      <c r="W61" s="10"/>
      <c r="X61" s="9" t="s">
        <v>67</v>
      </c>
      <c r="Y61" s="10" t="s">
        <v>68</v>
      </c>
      <c r="Z61" s="94" t="s">
        <v>125</v>
      </c>
      <c r="AA61" s="94" t="s">
        <v>90</v>
      </c>
      <c r="AB61" s="9" t="s">
        <v>71</v>
      </c>
      <c r="AC61" s="10" t="s">
        <v>85</v>
      </c>
      <c r="AD61" s="10" t="s">
        <v>208</v>
      </c>
      <c r="AE61" s="65" t="s">
        <v>73</v>
      </c>
      <c r="AF61" s="39" t="s">
        <v>214</v>
      </c>
      <c r="AG61" s="10" t="s">
        <v>127</v>
      </c>
      <c r="AH61" s="4">
        <v>650</v>
      </c>
      <c r="AI61" s="11" t="s">
        <v>107</v>
      </c>
      <c r="AJ61" s="4" t="s">
        <v>108</v>
      </c>
      <c r="AK61" s="50">
        <v>9538</v>
      </c>
      <c r="AL61" s="43">
        <v>5436660000</v>
      </c>
      <c r="AM61" s="43">
        <v>669</v>
      </c>
      <c r="AN61" s="43">
        <v>375870002</v>
      </c>
      <c r="AO61" s="43">
        <v>2327</v>
      </c>
      <c r="AP61" s="43">
        <v>1301285153</v>
      </c>
      <c r="AQ61" s="43">
        <v>6117</v>
      </c>
      <c r="AR61" s="43">
        <v>3382216511</v>
      </c>
      <c r="AS61" s="52">
        <f t="shared" si="6"/>
        <v>0.6413294191654435</v>
      </c>
    </row>
    <row r="62" spans="1:45" x14ac:dyDescent="0.3">
      <c r="A62" s="1" t="str">
        <f t="shared" si="1"/>
        <v>DWDJ9A046BGS</v>
      </c>
      <c r="B62" s="32" t="s">
        <v>212</v>
      </c>
      <c r="C62" s="10" t="str">
        <f t="shared" si="4"/>
        <v>DJ9A0</v>
      </c>
      <c r="D62" s="10" t="s">
        <v>55</v>
      </c>
      <c r="E62" s="10" t="str">
        <f t="shared" si="2"/>
        <v>W</v>
      </c>
      <c r="F62" s="10" t="str">
        <f t="shared" si="3"/>
        <v>DJ</v>
      </c>
      <c r="G62" s="10" t="s">
        <v>56</v>
      </c>
      <c r="H62" s="4" t="s">
        <v>213</v>
      </c>
      <c r="I62" s="10" t="s">
        <v>82</v>
      </c>
      <c r="J62" s="4" t="str">
        <f t="shared" si="5"/>
        <v/>
      </c>
      <c r="K62" s="4">
        <v>1</v>
      </c>
      <c r="L62" s="43">
        <v>570000</v>
      </c>
      <c r="M62" s="78" t="s">
        <v>202</v>
      </c>
      <c r="N62" s="98" t="s">
        <v>203</v>
      </c>
      <c r="O62" s="10" t="s">
        <v>61</v>
      </c>
      <c r="P62" s="63">
        <v>100</v>
      </c>
      <c r="Q62" s="94" t="s">
        <v>204</v>
      </c>
      <c r="R62" s="63" t="s">
        <v>205</v>
      </c>
      <c r="S62" s="96" t="s">
        <v>206</v>
      </c>
      <c r="T62" s="10" t="s">
        <v>122</v>
      </c>
      <c r="U62" s="10" t="s">
        <v>207</v>
      </c>
      <c r="V62" s="10" t="s">
        <v>66</v>
      </c>
      <c r="W62" s="10"/>
      <c r="X62" s="9" t="s">
        <v>67</v>
      </c>
      <c r="Y62" s="10" t="s">
        <v>68</v>
      </c>
      <c r="Z62" s="94" t="s">
        <v>125</v>
      </c>
      <c r="AA62" s="94" t="s">
        <v>90</v>
      </c>
      <c r="AB62" s="9" t="s">
        <v>71</v>
      </c>
      <c r="AC62" s="10" t="s">
        <v>85</v>
      </c>
      <c r="AD62" s="10" t="s">
        <v>208</v>
      </c>
      <c r="AE62" s="65" t="s">
        <v>73</v>
      </c>
      <c r="AF62" s="39" t="s">
        <v>214</v>
      </c>
      <c r="AG62" s="10" t="s">
        <v>127</v>
      </c>
      <c r="AH62" s="4">
        <v>650</v>
      </c>
      <c r="AI62" s="11" t="s">
        <v>107</v>
      </c>
      <c r="AJ62" s="4" t="s">
        <v>108</v>
      </c>
      <c r="AK62" s="50">
        <v>1998</v>
      </c>
      <c r="AL62" s="43">
        <v>1138860000</v>
      </c>
      <c r="AM62" s="43">
        <v>18</v>
      </c>
      <c r="AN62" s="43">
        <v>10163000</v>
      </c>
      <c r="AO62" s="43">
        <v>129</v>
      </c>
      <c r="AP62" s="43">
        <v>70856559</v>
      </c>
      <c r="AQ62" s="43">
        <v>370</v>
      </c>
      <c r="AR62" s="43">
        <v>203460418</v>
      </c>
      <c r="AS62" s="52">
        <f t="shared" si="6"/>
        <v>0.18518518518518517</v>
      </c>
    </row>
    <row r="63" spans="1:45" x14ac:dyDescent="0.3">
      <c r="A63" s="1" t="str">
        <f t="shared" si="1"/>
        <v>DWDJ9A046GRD</v>
      </c>
      <c r="B63" s="32" t="s">
        <v>212</v>
      </c>
      <c r="C63" s="10" t="str">
        <f t="shared" si="4"/>
        <v>DJ9A0</v>
      </c>
      <c r="D63" s="10" t="s">
        <v>55</v>
      </c>
      <c r="E63" s="10" t="str">
        <f t="shared" si="2"/>
        <v>W</v>
      </c>
      <c r="F63" s="10" t="str">
        <f t="shared" si="3"/>
        <v>DJ</v>
      </c>
      <c r="G63" s="10" t="s">
        <v>56</v>
      </c>
      <c r="H63" s="4" t="s">
        <v>213</v>
      </c>
      <c r="I63" s="10" t="s">
        <v>215</v>
      </c>
      <c r="J63" s="4" t="str">
        <f t="shared" si="5"/>
        <v/>
      </c>
      <c r="K63" s="4">
        <v>1</v>
      </c>
      <c r="L63" s="43">
        <v>570000</v>
      </c>
      <c r="M63" s="78" t="s">
        <v>202</v>
      </c>
      <c r="N63" s="98" t="s">
        <v>203</v>
      </c>
      <c r="O63" s="10" t="s">
        <v>61</v>
      </c>
      <c r="P63" s="63">
        <v>100</v>
      </c>
      <c r="Q63" s="94" t="s">
        <v>204</v>
      </c>
      <c r="R63" s="63" t="s">
        <v>205</v>
      </c>
      <c r="S63" s="96" t="s">
        <v>206</v>
      </c>
      <c r="T63" s="10" t="s">
        <v>122</v>
      </c>
      <c r="U63" s="10" t="s">
        <v>207</v>
      </c>
      <c r="V63" s="10" t="s">
        <v>66</v>
      </c>
      <c r="W63" s="10"/>
      <c r="X63" s="9" t="s">
        <v>67</v>
      </c>
      <c r="Y63" s="10" t="s">
        <v>68</v>
      </c>
      <c r="Z63" s="94" t="s">
        <v>125</v>
      </c>
      <c r="AA63" s="94" t="s">
        <v>90</v>
      </c>
      <c r="AB63" s="9" t="s">
        <v>71</v>
      </c>
      <c r="AC63" s="10" t="s">
        <v>85</v>
      </c>
      <c r="AD63" s="10" t="s">
        <v>208</v>
      </c>
      <c r="AE63" s="65" t="s">
        <v>73</v>
      </c>
      <c r="AF63" s="39" t="s">
        <v>214</v>
      </c>
      <c r="AG63" s="10" t="s">
        <v>127</v>
      </c>
      <c r="AH63" s="4">
        <v>650</v>
      </c>
      <c r="AI63" s="11" t="s">
        <v>107</v>
      </c>
      <c r="AJ63" s="4" t="s">
        <v>108</v>
      </c>
      <c r="AK63" s="50">
        <v>3581</v>
      </c>
      <c r="AL63" s="43">
        <v>2041170000</v>
      </c>
      <c r="AM63" s="43">
        <v>111</v>
      </c>
      <c r="AN63" s="43">
        <v>62308288</v>
      </c>
      <c r="AO63" s="43">
        <v>381</v>
      </c>
      <c r="AP63" s="43">
        <v>213710843</v>
      </c>
      <c r="AQ63" s="43">
        <v>1106</v>
      </c>
      <c r="AR63" s="43">
        <v>609394863</v>
      </c>
      <c r="AS63" s="52">
        <f t="shared" si="6"/>
        <v>0.30885227590058645</v>
      </c>
    </row>
    <row r="64" spans="1:45" x14ac:dyDescent="0.3">
      <c r="A64" s="1" t="str">
        <f t="shared" si="1"/>
        <v>DWDJ9A046LDS</v>
      </c>
      <c r="B64" s="32" t="s">
        <v>212</v>
      </c>
      <c r="C64" s="10" t="str">
        <f t="shared" si="4"/>
        <v>DJ9A0</v>
      </c>
      <c r="D64" s="10" t="s">
        <v>55</v>
      </c>
      <c r="E64" s="10" t="str">
        <f t="shared" si="2"/>
        <v>W</v>
      </c>
      <c r="F64" s="10" t="str">
        <f t="shared" si="3"/>
        <v>DJ</v>
      </c>
      <c r="G64" s="10" t="s">
        <v>56</v>
      </c>
      <c r="H64" s="4" t="s">
        <v>213</v>
      </c>
      <c r="I64" s="10" t="s">
        <v>139</v>
      </c>
      <c r="J64" s="4" t="str">
        <f t="shared" si="5"/>
        <v/>
      </c>
      <c r="K64" s="4">
        <v>1</v>
      </c>
      <c r="L64" s="43">
        <v>570000</v>
      </c>
      <c r="M64" s="78" t="s">
        <v>202</v>
      </c>
      <c r="N64" s="98" t="s">
        <v>203</v>
      </c>
      <c r="O64" s="10" t="s">
        <v>61</v>
      </c>
      <c r="P64" s="63">
        <v>100</v>
      </c>
      <c r="Q64" s="94" t="s">
        <v>204</v>
      </c>
      <c r="R64" s="63" t="s">
        <v>205</v>
      </c>
      <c r="S64" s="96" t="s">
        <v>206</v>
      </c>
      <c r="T64" s="10" t="s">
        <v>122</v>
      </c>
      <c r="U64" s="10" t="s">
        <v>207</v>
      </c>
      <c r="V64" s="10" t="s">
        <v>66</v>
      </c>
      <c r="W64" s="10"/>
      <c r="X64" s="9" t="s">
        <v>67</v>
      </c>
      <c r="Y64" s="10" t="s">
        <v>68</v>
      </c>
      <c r="Z64" s="94" t="s">
        <v>125</v>
      </c>
      <c r="AA64" s="94" t="s">
        <v>90</v>
      </c>
      <c r="AB64" s="9" t="s">
        <v>71</v>
      </c>
      <c r="AC64" s="10" t="s">
        <v>85</v>
      </c>
      <c r="AD64" s="10" t="s">
        <v>208</v>
      </c>
      <c r="AE64" s="65" t="s">
        <v>73</v>
      </c>
      <c r="AF64" s="39" t="s">
        <v>214</v>
      </c>
      <c r="AG64" s="10" t="s">
        <v>127</v>
      </c>
      <c r="AH64" s="4">
        <v>650</v>
      </c>
      <c r="AI64" s="11" t="s">
        <v>107</v>
      </c>
      <c r="AJ64" s="4" t="s">
        <v>108</v>
      </c>
      <c r="AK64" s="50">
        <v>970</v>
      </c>
      <c r="AL64" s="43">
        <v>552900000</v>
      </c>
      <c r="AM64" s="43">
        <v>14</v>
      </c>
      <c r="AN64" s="43">
        <v>7970000</v>
      </c>
      <c r="AO64" s="43">
        <v>52</v>
      </c>
      <c r="AP64" s="43">
        <v>29524286</v>
      </c>
      <c r="AQ64" s="43">
        <v>118</v>
      </c>
      <c r="AR64" s="43">
        <v>65745096</v>
      </c>
      <c r="AS64" s="52">
        <f t="shared" si="6"/>
        <v>0.12164948453608247</v>
      </c>
    </row>
    <row r="65" spans="1:45" x14ac:dyDescent="0.3">
      <c r="A65" s="1" t="str">
        <f t="shared" si="1"/>
        <v>DWDJ9A046BKN</v>
      </c>
      <c r="B65" s="32" t="s">
        <v>212</v>
      </c>
      <c r="C65" s="10" t="str">
        <f t="shared" si="4"/>
        <v>DJ9A0</v>
      </c>
      <c r="D65" s="10" t="s">
        <v>148</v>
      </c>
      <c r="E65" s="10" t="str">
        <f t="shared" si="2"/>
        <v>W</v>
      </c>
      <c r="F65" s="10" t="str">
        <f t="shared" si="3"/>
        <v>DJ</v>
      </c>
      <c r="G65" s="10" t="s">
        <v>56</v>
      </c>
      <c r="H65" s="4" t="s">
        <v>216</v>
      </c>
      <c r="I65" s="10" t="s">
        <v>140</v>
      </c>
      <c r="J65" s="4" t="str">
        <f t="shared" si="5"/>
        <v/>
      </c>
      <c r="K65" s="4">
        <v>1</v>
      </c>
      <c r="L65" s="43">
        <v>570000</v>
      </c>
      <c r="M65" s="78" t="s">
        <v>217</v>
      </c>
      <c r="N65" s="98" t="s">
        <v>218</v>
      </c>
      <c r="O65" s="10" t="s">
        <v>61</v>
      </c>
      <c r="P65" s="63">
        <v>100</v>
      </c>
      <c r="Q65" s="94" t="s">
        <v>219</v>
      </c>
      <c r="R65" s="63" t="s">
        <v>220</v>
      </c>
      <c r="S65" s="96" t="s">
        <v>221</v>
      </c>
      <c r="T65" s="10" t="s">
        <v>65</v>
      </c>
      <c r="U65" s="10"/>
      <c r="V65" s="10" t="s">
        <v>222</v>
      </c>
      <c r="W65" s="10"/>
      <c r="X65" s="9" t="s">
        <v>67</v>
      </c>
      <c r="Y65" s="10" t="s">
        <v>68</v>
      </c>
      <c r="Z65" s="94" t="s">
        <v>154</v>
      </c>
      <c r="AA65" s="94" t="s">
        <v>185</v>
      </c>
      <c r="AB65" s="9" t="s">
        <v>71</v>
      </c>
      <c r="AC65" s="10" t="s">
        <v>85</v>
      </c>
      <c r="AD65" s="10" t="s">
        <v>208</v>
      </c>
      <c r="AE65" s="65" t="s">
        <v>73</v>
      </c>
      <c r="AF65" s="39" t="s">
        <v>214</v>
      </c>
      <c r="AG65" s="10" t="s">
        <v>127</v>
      </c>
      <c r="AH65" s="4">
        <v>650</v>
      </c>
      <c r="AI65" s="11" t="s">
        <v>107</v>
      </c>
      <c r="AJ65" s="4" t="s">
        <v>108</v>
      </c>
      <c r="AK65" s="50">
        <v>400</v>
      </c>
      <c r="AL65" s="43">
        <v>228000000</v>
      </c>
      <c r="AM65" s="43">
        <v>16</v>
      </c>
      <c r="AN65" s="43">
        <v>9091760</v>
      </c>
      <c r="AO65" s="43">
        <v>72</v>
      </c>
      <c r="AP65" s="43">
        <v>40405980</v>
      </c>
      <c r="AQ65" s="43">
        <v>154</v>
      </c>
      <c r="AR65" s="43">
        <v>85658720</v>
      </c>
      <c r="AS65" s="52">
        <f t="shared" si="6"/>
        <v>0.38500000000000001</v>
      </c>
    </row>
    <row r="66" spans="1:45" x14ac:dyDescent="0.3">
      <c r="A66" s="1" t="str">
        <f t="shared" si="1"/>
        <v>DWDJ9A046LKS</v>
      </c>
      <c r="B66" s="32" t="s">
        <v>212</v>
      </c>
      <c r="C66" s="10" t="str">
        <f t="shared" si="4"/>
        <v>DJ9A0</v>
      </c>
      <c r="D66" s="10" t="s">
        <v>148</v>
      </c>
      <c r="E66" s="10" t="str">
        <f t="shared" si="2"/>
        <v>W</v>
      </c>
      <c r="F66" s="10" t="str">
        <f t="shared" si="3"/>
        <v>DJ</v>
      </c>
      <c r="G66" s="10" t="s">
        <v>56</v>
      </c>
      <c r="H66" s="4" t="s">
        <v>213</v>
      </c>
      <c r="I66" s="10" t="s">
        <v>179</v>
      </c>
      <c r="J66" s="4" t="str">
        <f t="shared" si="5"/>
        <v/>
      </c>
      <c r="K66" s="4">
        <v>1</v>
      </c>
      <c r="L66" s="43">
        <v>570000</v>
      </c>
      <c r="M66" s="78" t="s">
        <v>202</v>
      </c>
      <c r="N66" s="98" t="s">
        <v>203</v>
      </c>
      <c r="O66" s="10" t="s">
        <v>61</v>
      </c>
      <c r="P66" s="63">
        <v>100</v>
      </c>
      <c r="Q66" s="94" t="s">
        <v>204</v>
      </c>
      <c r="R66" s="63" t="s">
        <v>205</v>
      </c>
      <c r="S66" s="96" t="s">
        <v>206</v>
      </c>
      <c r="T66" s="10" t="s">
        <v>122</v>
      </c>
      <c r="U66" s="10" t="s">
        <v>207</v>
      </c>
      <c r="V66" s="10" t="s">
        <v>66</v>
      </c>
      <c r="W66" s="10"/>
      <c r="X66" s="9" t="s">
        <v>67</v>
      </c>
      <c r="Y66" s="10" t="s">
        <v>68</v>
      </c>
      <c r="Z66" s="94" t="s">
        <v>125</v>
      </c>
      <c r="AA66" s="94" t="s">
        <v>90</v>
      </c>
      <c r="AB66" s="9" t="s">
        <v>71</v>
      </c>
      <c r="AC66" s="10" t="s">
        <v>85</v>
      </c>
      <c r="AD66" s="10" t="s">
        <v>208</v>
      </c>
      <c r="AE66" s="65" t="s">
        <v>73</v>
      </c>
      <c r="AF66" s="39" t="s">
        <v>214</v>
      </c>
      <c r="AG66" s="10" t="s">
        <v>127</v>
      </c>
      <c r="AH66" s="4">
        <v>650</v>
      </c>
      <c r="AI66" s="11" t="s">
        <v>107</v>
      </c>
      <c r="AJ66" s="4" t="s">
        <v>108</v>
      </c>
      <c r="AK66" s="50">
        <v>1498</v>
      </c>
      <c r="AL66" s="43">
        <v>853860000</v>
      </c>
      <c r="AM66" s="43">
        <v>34</v>
      </c>
      <c r="AN66" s="43">
        <v>19225000</v>
      </c>
      <c r="AO66" s="43">
        <v>55</v>
      </c>
      <c r="AP66" s="43">
        <v>31078000</v>
      </c>
      <c r="AQ66" s="43">
        <v>284</v>
      </c>
      <c r="AR66" s="43">
        <v>156506632</v>
      </c>
      <c r="AS66" s="52">
        <f t="shared" si="6"/>
        <v>0.18958611481975968</v>
      </c>
    </row>
    <row r="67" spans="1:45" x14ac:dyDescent="0.3">
      <c r="A67" s="1" t="str">
        <f t="shared" si="1"/>
        <v>DWDJ9B046IVD</v>
      </c>
      <c r="B67" s="32" t="s">
        <v>223</v>
      </c>
      <c r="C67" s="10" t="str">
        <f t="shared" si="4"/>
        <v>DJ9B0</v>
      </c>
      <c r="D67" s="10" t="s">
        <v>55</v>
      </c>
      <c r="E67" s="10" t="str">
        <f t="shared" si="2"/>
        <v>W</v>
      </c>
      <c r="F67" s="10" t="str">
        <f t="shared" si="3"/>
        <v>DJ</v>
      </c>
      <c r="G67" s="10" t="s">
        <v>56</v>
      </c>
      <c r="H67" s="4" t="s">
        <v>224</v>
      </c>
      <c r="I67" s="10" t="s">
        <v>105</v>
      </c>
      <c r="J67" s="4">
        <f t="shared" si="5"/>
        <v>1</v>
      </c>
      <c r="K67" s="4">
        <v>1</v>
      </c>
      <c r="L67" s="43">
        <v>590000</v>
      </c>
      <c r="M67" s="78" t="s">
        <v>225</v>
      </c>
      <c r="N67" s="98" t="s">
        <v>226</v>
      </c>
      <c r="O67" s="10" t="s">
        <v>61</v>
      </c>
      <c r="P67" s="63">
        <v>100</v>
      </c>
      <c r="Q67" s="94" t="s">
        <v>119</v>
      </c>
      <c r="R67" s="63" t="s">
        <v>126</v>
      </c>
      <c r="S67" s="96" t="s">
        <v>227</v>
      </c>
      <c r="T67" s="10" t="s">
        <v>228</v>
      </c>
      <c r="U67" s="10" t="s">
        <v>198</v>
      </c>
      <c r="V67" s="10" t="s">
        <v>66</v>
      </c>
      <c r="W67" s="10" t="s">
        <v>229</v>
      </c>
      <c r="X67" s="9" t="s">
        <v>67</v>
      </c>
      <c r="Y67" s="10" t="s">
        <v>68</v>
      </c>
      <c r="Z67" s="94" t="s">
        <v>125</v>
      </c>
      <c r="AA67" s="94" t="s">
        <v>90</v>
      </c>
      <c r="AB67" s="9" t="s">
        <v>71</v>
      </c>
      <c r="AC67" s="10" t="s">
        <v>85</v>
      </c>
      <c r="AD67" s="10" t="s">
        <v>208</v>
      </c>
      <c r="AE67" s="65" t="s">
        <v>73</v>
      </c>
      <c r="AF67" s="39" t="s">
        <v>230</v>
      </c>
      <c r="AG67" s="10" t="s">
        <v>127</v>
      </c>
      <c r="AH67" s="4">
        <v>650</v>
      </c>
      <c r="AI67" s="11" t="s">
        <v>107</v>
      </c>
      <c r="AJ67" s="4" t="s">
        <v>108</v>
      </c>
      <c r="AK67" s="50">
        <v>1776</v>
      </c>
      <c r="AL67" s="43">
        <v>1047840000</v>
      </c>
      <c r="AM67" s="43">
        <v>103</v>
      </c>
      <c r="AN67" s="43">
        <v>60193941</v>
      </c>
      <c r="AO67" s="43">
        <v>323</v>
      </c>
      <c r="AP67" s="43">
        <v>187226546</v>
      </c>
      <c r="AQ67" s="43">
        <v>915</v>
      </c>
      <c r="AR67" s="43">
        <v>518537328</v>
      </c>
      <c r="AS67" s="52">
        <f t="shared" si="6"/>
        <v>0.51520270270270274</v>
      </c>
    </row>
    <row r="68" spans="1:45" x14ac:dyDescent="0.3">
      <c r="A68" s="1" t="str">
        <f t="shared" si="1"/>
        <v>DWDJ9B046GRD</v>
      </c>
      <c r="B68" s="32" t="s">
        <v>223</v>
      </c>
      <c r="C68" s="10" t="str">
        <f t="shared" si="4"/>
        <v>DJ9B0</v>
      </c>
      <c r="D68" s="10" t="s">
        <v>55</v>
      </c>
      <c r="E68" s="10" t="str">
        <f t="shared" si="2"/>
        <v>W</v>
      </c>
      <c r="F68" s="10" t="str">
        <f t="shared" si="3"/>
        <v>DJ</v>
      </c>
      <c r="G68" s="10" t="s">
        <v>56</v>
      </c>
      <c r="H68" s="4" t="s">
        <v>224</v>
      </c>
      <c r="I68" s="10" t="s">
        <v>215</v>
      </c>
      <c r="J68" s="4" t="str">
        <f t="shared" si="5"/>
        <v/>
      </c>
      <c r="K68" s="4">
        <v>1</v>
      </c>
      <c r="L68" s="43">
        <v>590000</v>
      </c>
      <c r="M68" s="78" t="s">
        <v>225</v>
      </c>
      <c r="N68" s="98" t="s">
        <v>226</v>
      </c>
      <c r="O68" s="10" t="s">
        <v>61</v>
      </c>
      <c r="P68" s="63">
        <v>100</v>
      </c>
      <c r="Q68" s="94" t="s">
        <v>119</v>
      </c>
      <c r="R68" s="63" t="s">
        <v>126</v>
      </c>
      <c r="S68" s="96" t="s">
        <v>227</v>
      </c>
      <c r="T68" s="10" t="s">
        <v>228</v>
      </c>
      <c r="U68" s="10" t="s">
        <v>198</v>
      </c>
      <c r="V68" s="10" t="s">
        <v>66</v>
      </c>
      <c r="W68" s="10" t="s">
        <v>229</v>
      </c>
      <c r="X68" s="9" t="s">
        <v>67</v>
      </c>
      <c r="Y68" s="10" t="s">
        <v>68</v>
      </c>
      <c r="Z68" s="94" t="s">
        <v>125</v>
      </c>
      <c r="AA68" s="94" t="s">
        <v>90</v>
      </c>
      <c r="AB68" s="9" t="s">
        <v>71</v>
      </c>
      <c r="AC68" s="10" t="s">
        <v>85</v>
      </c>
      <c r="AD68" s="10" t="s">
        <v>208</v>
      </c>
      <c r="AE68" s="65" t="s">
        <v>73</v>
      </c>
      <c r="AF68" s="39" t="s">
        <v>230</v>
      </c>
      <c r="AG68" s="10" t="s">
        <v>127</v>
      </c>
      <c r="AH68" s="4">
        <v>650</v>
      </c>
      <c r="AI68" s="11" t="s">
        <v>107</v>
      </c>
      <c r="AJ68" s="4" t="s">
        <v>108</v>
      </c>
      <c r="AK68" s="50">
        <v>1199</v>
      </c>
      <c r="AL68" s="43">
        <v>707410000</v>
      </c>
      <c r="AM68" s="43">
        <v>44</v>
      </c>
      <c r="AN68" s="43">
        <v>25667000</v>
      </c>
      <c r="AO68" s="43">
        <v>169</v>
      </c>
      <c r="AP68" s="43">
        <v>98568749</v>
      </c>
      <c r="AQ68" s="43">
        <v>512</v>
      </c>
      <c r="AR68" s="43">
        <v>291714854</v>
      </c>
      <c r="AS68" s="52">
        <f t="shared" si="6"/>
        <v>0.42702251876563802</v>
      </c>
    </row>
    <row r="69" spans="1:45" x14ac:dyDescent="0.3">
      <c r="A69" s="1" t="str">
        <f t="shared" ref="A69:A132" si="8">B69&amp;I69</f>
        <v>DWDJ9B046BKS</v>
      </c>
      <c r="B69" s="32" t="s">
        <v>223</v>
      </c>
      <c r="C69" s="10" t="str">
        <f t="shared" si="4"/>
        <v>DJ9B0</v>
      </c>
      <c r="D69" s="10" t="s">
        <v>55</v>
      </c>
      <c r="E69" s="10" t="str">
        <f t="shared" ref="E69:E132" si="9">MID($B69,2,1)</f>
        <v>W</v>
      </c>
      <c r="F69" s="10" t="str">
        <f t="shared" ref="F69:F132" si="10">MID($B69,3,2)</f>
        <v>DJ</v>
      </c>
      <c r="G69" s="10" t="s">
        <v>56</v>
      </c>
      <c r="H69" s="4" t="s">
        <v>224</v>
      </c>
      <c r="I69" s="10" t="s">
        <v>78</v>
      </c>
      <c r="J69" s="4" t="str">
        <f t="shared" si="5"/>
        <v/>
      </c>
      <c r="K69" s="4">
        <v>1</v>
      </c>
      <c r="L69" s="43">
        <v>590000</v>
      </c>
      <c r="M69" s="78" t="s">
        <v>225</v>
      </c>
      <c r="N69" s="98" t="s">
        <v>226</v>
      </c>
      <c r="O69" s="10" t="s">
        <v>61</v>
      </c>
      <c r="P69" s="63">
        <v>100</v>
      </c>
      <c r="Q69" s="94" t="s">
        <v>119</v>
      </c>
      <c r="R69" s="63" t="s">
        <v>126</v>
      </c>
      <c r="S69" s="96" t="s">
        <v>227</v>
      </c>
      <c r="T69" s="10" t="s">
        <v>228</v>
      </c>
      <c r="U69" s="10" t="s">
        <v>198</v>
      </c>
      <c r="V69" s="10" t="s">
        <v>66</v>
      </c>
      <c r="W69" s="10" t="s">
        <v>229</v>
      </c>
      <c r="X69" s="9" t="s">
        <v>67</v>
      </c>
      <c r="Y69" s="10" t="s">
        <v>68</v>
      </c>
      <c r="Z69" s="94" t="s">
        <v>125</v>
      </c>
      <c r="AA69" s="94" t="s">
        <v>90</v>
      </c>
      <c r="AB69" s="9" t="s">
        <v>71</v>
      </c>
      <c r="AC69" s="10" t="s">
        <v>85</v>
      </c>
      <c r="AD69" s="10" t="s">
        <v>208</v>
      </c>
      <c r="AE69" s="65" t="s">
        <v>73</v>
      </c>
      <c r="AF69" s="39" t="s">
        <v>230</v>
      </c>
      <c r="AG69" s="10" t="s">
        <v>127</v>
      </c>
      <c r="AH69" s="4">
        <v>650</v>
      </c>
      <c r="AI69" s="11" t="s">
        <v>107</v>
      </c>
      <c r="AJ69" s="4" t="s">
        <v>108</v>
      </c>
      <c r="AK69" s="50">
        <v>2963</v>
      </c>
      <c r="AL69" s="43">
        <v>1748170000</v>
      </c>
      <c r="AM69" s="43">
        <v>281</v>
      </c>
      <c r="AN69" s="43">
        <v>163110194</v>
      </c>
      <c r="AO69" s="43">
        <v>909</v>
      </c>
      <c r="AP69" s="43">
        <v>524822343</v>
      </c>
      <c r="AQ69" s="43">
        <v>2705</v>
      </c>
      <c r="AR69" s="43">
        <v>1538516567</v>
      </c>
      <c r="AS69" s="52">
        <f t="shared" si="6"/>
        <v>0.91292608842389467</v>
      </c>
    </row>
    <row r="70" spans="1:45" x14ac:dyDescent="0.3">
      <c r="A70" s="1" t="str">
        <f t="shared" si="8"/>
        <v>DWDJ9J046BKS</v>
      </c>
      <c r="B70" s="32" t="s">
        <v>231</v>
      </c>
      <c r="C70" s="10" t="str">
        <f t="shared" ref="C70:C133" si="11">MID(B70,3,5)</f>
        <v>DJ9J0</v>
      </c>
      <c r="D70" s="10" t="s">
        <v>55</v>
      </c>
      <c r="E70" s="10" t="str">
        <f t="shared" si="9"/>
        <v>W</v>
      </c>
      <c r="F70" s="10" t="str">
        <f t="shared" si="10"/>
        <v>DJ</v>
      </c>
      <c r="G70" s="10" t="s">
        <v>56</v>
      </c>
      <c r="H70" s="4" t="s">
        <v>232</v>
      </c>
      <c r="I70" s="10" t="s">
        <v>78</v>
      </c>
      <c r="J70" s="4">
        <f t="shared" ref="J70:J133" si="12">IF(B70=B69,"",1)</f>
        <v>1</v>
      </c>
      <c r="K70" s="4">
        <v>1</v>
      </c>
      <c r="L70" s="43">
        <v>379000</v>
      </c>
      <c r="M70" s="78" t="s">
        <v>217</v>
      </c>
      <c r="N70" s="98" t="s">
        <v>218</v>
      </c>
      <c r="O70" s="10" t="s">
        <v>61</v>
      </c>
      <c r="P70" s="63">
        <v>100</v>
      </c>
      <c r="Q70" s="94" t="s">
        <v>219</v>
      </c>
      <c r="R70" s="63" t="s">
        <v>220</v>
      </c>
      <c r="S70" s="96" t="s">
        <v>221</v>
      </c>
      <c r="T70" s="10" t="s">
        <v>65</v>
      </c>
      <c r="U70" s="10"/>
      <c r="V70" s="10" t="s">
        <v>222</v>
      </c>
      <c r="W70" s="10"/>
      <c r="X70" s="9" t="s">
        <v>67</v>
      </c>
      <c r="Y70" s="10" t="s">
        <v>68</v>
      </c>
      <c r="Z70" s="94" t="s">
        <v>154</v>
      </c>
      <c r="AA70" s="94" t="s">
        <v>185</v>
      </c>
      <c r="AB70" s="9" t="s">
        <v>71</v>
      </c>
      <c r="AC70" s="10" t="s">
        <v>62</v>
      </c>
      <c r="AD70" s="10" t="s">
        <v>72</v>
      </c>
      <c r="AE70" s="65" t="s">
        <v>73</v>
      </c>
      <c r="AF70" s="39" t="s">
        <v>230</v>
      </c>
      <c r="AG70" s="10" t="s">
        <v>127</v>
      </c>
      <c r="AH70" s="4">
        <v>650</v>
      </c>
      <c r="AI70" s="11" t="s">
        <v>107</v>
      </c>
      <c r="AJ70" s="4" t="s">
        <v>108</v>
      </c>
      <c r="AK70" s="50">
        <v>3392</v>
      </c>
      <c r="AL70" s="43">
        <v>1285568000</v>
      </c>
      <c r="AM70" s="43">
        <v>37</v>
      </c>
      <c r="AN70" s="43">
        <v>13719534</v>
      </c>
      <c r="AO70" s="43">
        <v>138</v>
      </c>
      <c r="AP70" s="43">
        <v>51354404</v>
      </c>
      <c r="AQ70" s="43">
        <v>725</v>
      </c>
      <c r="AR70" s="43">
        <v>221913088</v>
      </c>
      <c r="AS70" s="52">
        <f t="shared" ref="AS70:AS133" si="13">AQ70/AK70</f>
        <v>0.21373820754716982</v>
      </c>
    </row>
    <row r="71" spans="1:45" x14ac:dyDescent="0.3">
      <c r="A71" s="1" t="str">
        <f t="shared" si="8"/>
        <v>DWDJ9J046WHS</v>
      </c>
      <c r="B71" s="32" t="s">
        <v>231</v>
      </c>
      <c r="C71" s="10" t="str">
        <f t="shared" si="11"/>
        <v>DJ9J0</v>
      </c>
      <c r="D71" s="10" t="s">
        <v>55</v>
      </c>
      <c r="E71" s="10" t="str">
        <f t="shared" si="9"/>
        <v>W</v>
      </c>
      <c r="F71" s="10" t="str">
        <f t="shared" si="10"/>
        <v>DJ</v>
      </c>
      <c r="G71" s="10" t="s">
        <v>56</v>
      </c>
      <c r="H71" s="4" t="s">
        <v>232</v>
      </c>
      <c r="I71" s="10" t="s">
        <v>101</v>
      </c>
      <c r="J71" s="4" t="str">
        <f t="shared" si="12"/>
        <v/>
      </c>
      <c r="K71" s="4">
        <v>1</v>
      </c>
      <c r="L71" s="43">
        <v>379000</v>
      </c>
      <c r="M71" s="78" t="s">
        <v>217</v>
      </c>
      <c r="N71" s="98" t="s">
        <v>218</v>
      </c>
      <c r="O71" s="10" t="s">
        <v>61</v>
      </c>
      <c r="P71" s="63">
        <v>100</v>
      </c>
      <c r="Q71" s="94" t="s">
        <v>219</v>
      </c>
      <c r="R71" s="63" t="s">
        <v>220</v>
      </c>
      <c r="S71" s="96" t="s">
        <v>221</v>
      </c>
      <c r="T71" s="10" t="s">
        <v>65</v>
      </c>
      <c r="U71" s="10"/>
      <c r="V71" s="10" t="s">
        <v>222</v>
      </c>
      <c r="W71" s="10"/>
      <c r="X71" s="9" t="s">
        <v>67</v>
      </c>
      <c r="Y71" s="10" t="s">
        <v>68</v>
      </c>
      <c r="Z71" s="94" t="s">
        <v>154</v>
      </c>
      <c r="AA71" s="94" t="s">
        <v>185</v>
      </c>
      <c r="AB71" s="9" t="s">
        <v>71</v>
      </c>
      <c r="AC71" s="10" t="s">
        <v>62</v>
      </c>
      <c r="AD71" s="10" t="s">
        <v>72</v>
      </c>
      <c r="AE71" s="65" t="s">
        <v>73</v>
      </c>
      <c r="AF71" s="39" t="s">
        <v>230</v>
      </c>
      <c r="AG71" s="10" t="s">
        <v>127</v>
      </c>
      <c r="AH71" s="4">
        <v>650</v>
      </c>
      <c r="AI71" s="11" t="s">
        <v>107</v>
      </c>
      <c r="AJ71" s="4" t="s">
        <v>108</v>
      </c>
      <c r="AK71" s="50">
        <v>1480</v>
      </c>
      <c r="AL71" s="43">
        <v>560920000</v>
      </c>
      <c r="AM71" s="43">
        <v>13</v>
      </c>
      <c r="AN71" s="43">
        <v>4887000</v>
      </c>
      <c r="AO71" s="43">
        <v>30</v>
      </c>
      <c r="AP71" s="43">
        <v>11309512</v>
      </c>
      <c r="AQ71" s="43">
        <v>136</v>
      </c>
      <c r="AR71" s="43">
        <v>42850212</v>
      </c>
      <c r="AS71" s="52">
        <f t="shared" si="13"/>
        <v>9.1891891891891897E-2</v>
      </c>
    </row>
    <row r="72" spans="1:45" x14ac:dyDescent="0.3">
      <c r="A72" s="1" t="str">
        <f t="shared" si="8"/>
        <v>DWDJ9J046GRS</v>
      </c>
      <c r="B72" s="32" t="s">
        <v>231</v>
      </c>
      <c r="C72" s="10" t="str">
        <f t="shared" si="11"/>
        <v>DJ9J0</v>
      </c>
      <c r="D72" s="10" t="s">
        <v>55</v>
      </c>
      <c r="E72" s="10" t="str">
        <f t="shared" si="9"/>
        <v>W</v>
      </c>
      <c r="F72" s="10" t="str">
        <f t="shared" si="10"/>
        <v>DJ</v>
      </c>
      <c r="G72" s="10" t="s">
        <v>56</v>
      </c>
      <c r="H72" s="4" t="s">
        <v>232</v>
      </c>
      <c r="I72" s="10" t="s">
        <v>233</v>
      </c>
      <c r="J72" s="4" t="str">
        <f t="shared" si="12"/>
        <v/>
      </c>
      <c r="K72" s="4">
        <v>1</v>
      </c>
      <c r="L72" s="43">
        <v>379000</v>
      </c>
      <c r="M72" s="78" t="s">
        <v>217</v>
      </c>
      <c r="N72" s="98" t="s">
        <v>218</v>
      </c>
      <c r="O72" s="10" t="s">
        <v>61</v>
      </c>
      <c r="P72" s="63">
        <v>100</v>
      </c>
      <c r="Q72" s="94" t="s">
        <v>219</v>
      </c>
      <c r="R72" s="63" t="s">
        <v>220</v>
      </c>
      <c r="S72" s="96" t="s">
        <v>221</v>
      </c>
      <c r="T72" s="10" t="s">
        <v>65</v>
      </c>
      <c r="U72" s="10"/>
      <c r="V72" s="10" t="s">
        <v>222</v>
      </c>
      <c r="W72" s="10"/>
      <c r="X72" s="9" t="s">
        <v>67</v>
      </c>
      <c r="Y72" s="10" t="s">
        <v>68</v>
      </c>
      <c r="Z72" s="94" t="s">
        <v>154</v>
      </c>
      <c r="AA72" s="94" t="s">
        <v>185</v>
      </c>
      <c r="AB72" s="9" t="s">
        <v>71</v>
      </c>
      <c r="AC72" s="10" t="s">
        <v>62</v>
      </c>
      <c r="AD72" s="10" t="s">
        <v>72</v>
      </c>
      <c r="AE72" s="65" t="s">
        <v>73</v>
      </c>
      <c r="AF72" s="39" t="s">
        <v>230</v>
      </c>
      <c r="AG72" s="10" t="s">
        <v>127</v>
      </c>
      <c r="AH72" s="4">
        <v>650</v>
      </c>
      <c r="AI72" s="11" t="s">
        <v>107</v>
      </c>
      <c r="AJ72" s="4" t="s">
        <v>108</v>
      </c>
      <c r="AK72" s="50">
        <v>962</v>
      </c>
      <c r="AL72" s="43">
        <v>364598000</v>
      </c>
      <c r="AM72" s="43">
        <v>11</v>
      </c>
      <c r="AN72" s="43">
        <v>4159000</v>
      </c>
      <c r="AO72" s="43">
        <v>31</v>
      </c>
      <c r="AP72" s="43">
        <v>11282370</v>
      </c>
      <c r="AQ72" s="43">
        <v>167</v>
      </c>
      <c r="AR72" s="43">
        <v>51660183</v>
      </c>
      <c r="AS72" s="52">
        <f t="shared" si="13"/>
        <v>0.17359667359667361</v>
      </c>
    </row>
    <row r="73" spans="1:45" x14ac:dyDescent="0.3">
      <c r="A73" s="1" t="str">
        <f t="shared" si="8"/>
        <v>DMDJ8O046BKS</v>
      </c>
      <c r="B73" s="32" t="s">
        <v>234</v>
      </c>
      <c r="C73" s="10" t="str">
        <f t="shared" si="11"/>
        <v>DJ8O0</v>
      </c>
      <c r="D73" s="10" t="s">
        <v>55</v>
      </c>
      <c r="E73" s="10" t="str">
        <f t="shared" si="9"/>
        <v>M</v>
      </c>
      <c r="F73" s="10" t="str">
        <f t="shared" si="10"/>
        <v>DJ</v>
      </c>
      <c r="G73" s="10" t="s">
        <v>56</v>
      </c>
      <c r="H73" s="4" t="s">
        <v>235</v>
      </c>
      <c r="I73" s="10" t="s">
        <v>78</v>
      </c>
      <c r="J73" s="4">
        <f t="shared" si="12"/>
        <v>1</v>
      </c>
      <c r="K73" s="4">
        <v>1</v>
      </c>
      <c r="L73" s="43">
        <v>169000</v>
      </c>
      <c r="M73" s="78" t="s">
        <v>132</v>
      </c>
      <c r="N73" s="98" t="s">
        <v>236</v>
      </c>
      <c r="O73" s="10" t="s">
        <v>143</v>
      </c>
      <c r="P73" s="63">
        <v>100</v>
      </c>
      <c r="Q73" s="94" t="s">
        <v>62</v>
      </c>
      <c r="R73" s="63" t="s">
        <v>220</v>
      </c>
      <c r="S73" s="96" t="s">
        <v>237</v>
      </c>
      <c r="T73" s="10" t="s">
        <v>65</v>
      </c>
      <c r="U73" s="10"/>
      <c r="V73" s="10" t="s">
        <v>66</v>
      </c>
      <c r="W73" s="10"/>
      <c r="X73" s="9" t="s">
        <v>67</v>
      </c>
      <c r="Y73" s="10" t="s">
        <v>68</v>
      </c>
      <c r="Z73" s="94" t="s">
        <v>238</v>
      </c>
      <c r="AA73" s="94" t="s">
        <v>90</v>
      </c>
      <c r="AB73" s="9" t="s">
        <v>71</v>
      </c>
      <c r="AC73" s="10" t="s">
        <v>85</v>
      </c>
      <c r="AD73" s="10" t="s">
        <v>208</v>
      </c>
      <c r="AE73" s="65" t="s">
        <v>73</v>
      </c>
      <c r="AF73" s="39" t="s">
        <v>239</v>
      </c>
      <c r="AG73" s="10" t="s">
        <v>240</v>
      </c>
      <c r="AH73" s="4">
        <v>650</v>
      </c>
      <c r="AI73" s="11" t="s">
        <v>76</v>
      </c>
      <c r="AJ73" s="4" t="s">
        <v>241</v>
      </c>
      <c r="AK73" s="50">
        <v>12017</v>
      </c>
      <c r="AL73" s="43">
        <v>2030873000</v>
      </c>
      <c r="AM73" s="43">
        <v>1022</v>
      </c>
      <c r="AN73" s="43">
        <v>130048987</v>
      </c>
      <c r="AO73" s="43">
        <v>5331</v>
      </c>
      <c r="AP73" s="43">
        <v>788891194</v>
      </c>
      <c r="AQ73" s="43">
        <v>8290</v>
      </c>
      <c r="AR73" s="43">
        <v>1250495945</v>
      </c>
      <c r="AS73" s="52">
        <f t="shared" si="13"/>
        <v>0.68985603728051925</v>
      </c>
    </row>
    <row r="74" spans="1:45" x14ac:dyDescent="0.3">
      <c r="A74" s="1" t="str">
        <f t="shared" si="8"/>
        <v>DMDJ8O046IVD</v>
      </c>
      <c r="B74" s="32" t="s">
        <v>234</v>
      </c>
      <c r="C74" s="10" t="str">
        <f t="shared" si="11"/>
        <v>DJ8O0</v>
      </c>
      <c r="D74" s="10" t="s">
        <v>55</v>
      </c>
      <c r="E74" s="10" t="str">
        <f t="shared" si="9"/>
        <v>M</v>
      </c>
      <c r="F74" s="10" t="str">
        <f t="shared" si="10"/>
        <v>DJ</v>
      </c>
      <c r="G74" s="10" t="s">
        <v>56</v>
      </c>
      <c r="H74" s="4" t="s">
        <v>235</v>
      </c>
      <c r="I74" s="10" t="s">
        <v>105</v>
      </c>
      <c r="J74" s="4" t="str">
        <f t="shared" si="12"/>
        <v/>
      </c>
      <c r="K74" s="4">
        <v>1</v>
      </c>
      <c r="L74" s="43">
        <v>169000</v>
      </c>
      <c r="M74" s="78" t="s">
        <v>132</v>
      </c>
      <c r="N74" s="98" t="s">
        <v>236</v>
      </c>
      <c r="O74" s="10" t="s">
        <v>143</v>
      </c>
      <c r="P74" s="63">
        <v>100</v>
      </c>
      <c r="Q74" s="94" t="s">
        <v>62</v>
      </c>
      <c r="R74" s="63" t="s">
        <v>220</v>
      </c>
      <c r="S74" s="96" t="s">
        <v>237</v>
      </c>
      <c r="T74" s="10" t="s">
        <v>65</v>
      </c>
      <c r="U74" s="10"/>
      <c r="V74" s="10" t="s">
        <v>66</v>
      </c>
      <c r="W74" s="10"/>
      <c r="X74" s="9" t="s">
        <v>67</v>
      </c>
      <c r="Y74" s="10" t="s">
        <v>68</v>
      </c>
      <c r="Z74" s="94" t="s">
        <v>238</v>
      </c>
      <c r="AA74" s="94" t="s">
        <v>90</v>
      </c>
      <c r="AB74" s="9" t="s">
        <v>71</v>
      </c>
      <c r="AC74" s="10" t="s">
        <v>85</v>
      </c>
      <c r="AD74" s="10" t="s">
        <v>208</v>
      </c>
      <c r="AE74" s="65" t="s">
        <v>73</v>
      </c>
      <c r="AF74" s="39" t="s">
        <v>239</v>
      </c>
      <c r="AG74" s="10" t="s">
        <v>240</v>
      </c>
      <c r="AH74" s="4">
        <v>650</v>
      </c>
      <c r="AI74" s="11" t="s">
        <v>76</v>
      </c>
      <c r="AJ74" s="4" t="s">
        <v>241</v>
      </c>
      <c r="AK74" s="50">
        <v>4017</v>
      </c>
      <c r="AL74" s="43">
        <v>678873000</v>
      </c>
      <c r="AM74" s="43">
        <v>107</v>
      </c>
      <c r="AN74" s="43">
        <v>17060400</v>
      </c>
      <c r="AO74" s="43">
        <v>1038</v>
      </c>
      <c r="AP74" s="43">
        <v>160739812</v>
      </c>
      <c r="AQ74" s="43">
        <v>1788</v>
      </c>
      <c r="AR74" s="43">
        <v>280402448</v>
      </c>
      <c r="AS74" s="52">
        <f t="shared" si="13"/>
        <v>0.44510828976848393</v>
      </c>
    </row>
    <row r="75" spans="1:45" x14ac:dyDescent="0.3">
      <c r="A75" s="1" t="str">
        <f t="shared" si="8"/>
        <v>DMDJ8O046TQD</v>
      </c>
      <c r="B75" s="32" t="s">
        <v>234</v>
      </c>
      <c r="C75" s="10" t="str">
        <f t="shared" si="11"/>
        <v>DJ8O0</v>
      </c>
      <c r="D75" s="10" t="s">
        <v>55</v>
      </c>
      <c r="E75" s="10" t="str">
        <f t="shared" si="9"/>
        <v>M</v>
      </c>
      <c r="F75" s="10" t="str">
        <f t="shared" si="10"/>
        <v>DJ</v>
      </c>
      <c r="G75" s="10" t="s">
        <v>56</v>
      </c>
      <c r="H75" s="4" t="s">
        <v>235</v>
      </c>
      <c r="I75" s="10" t="s">
        <v>242</v>
      </c>
      <c r="J75" s="4" t="str">
        <f t="shared" si="12"/>
        <v/>
      </c>
      <c r="K75" s="4">
        <v>1</v>
      </c>
      <c r="L75" s="43">
        <v>169000</v>
      </c>
      <c r="M75" s="78" t="s">
        <v>132</v>
      </c>
      <c r="N75" s="98" t="s">
        <v>236</v>
      </c>
      <c r="O75" s="10" t="s">
        <v>143</v>
      </c>
      <c r="P75" s="63">
        <v>100</v>
      </c>
      <c r="Q75" s="94" t="s">
        <v>62</v>
      </c>
      <c r="R75" s="63" t="s">
        <v>220</v>
      </c>
      <c r="S75" s="96" t="s">
        <v>237</v>
      </c>
      <c r="T75" s="10" t="s">
        <v>65</v>
      </c>
      <c r="U75" s="10"/>
      <c r="V75" s="10" t="s">
        <v>66</v>
      </c>
      <c r="W75" s="10"/>
      <c r="X75" s="9" t="s">
        <v>67</v>
      </c>
      <c r="Y75" s="10" t="s">
        <v>68</v>
      </c>
      <c r="Z75" s="94" t="s">
        <v>238</v>
      </c>
      <c r="AA75" s="94" t="s">
        <v>90</v>
      </c>
      <c r="AB75" s="9" t="s">
        <v>71</v>
      </c>
      <c r="AC75" s="10" t="s">
        <v>85</v>
      </c>
      <c r="AD75" s="10" t="s">
        <v>208</v>
      </c>
      <c r="AE75" s="65" t="s">
        <v>73</v>
      </c>
      <c r="AF75" s="39" t="s">
        <v>239</v>
      </c>
      <c r="AG75" s="10" t="s">
        <v>240</v>
      </c>
      <c r="AH75" s="4">
        <v>650</v>
      </c>
      <c r="AI75" s="11" t="s">
        <v>76</v>
      </c>
      <c r="AJ75" s="4" t="s">
        <v>241</v>
      </c>
      <c r="AK75" s="50">
        <v>1002</v>
      </c>
      <c r="AL75" s="43">
        <v>169338000</v>
      </c>
      <c r="AM75" s="43">
        <v>14</v>
      </c>
      <c r="AN75" s="43">
        <v>2346000</v>
      </c>
      <c r="AO75" s="43">
        <v>152</v>
      </c>
      <c r="AP75" s="43">
        <v>23736405</v>
      </c>
      <c r="AQ75" s="43">
        <v>244</v>
      </c>
      <c r="AR75" s="43">
        <v>38433638</v>
      </c>
      <c r="AS75" s="52">
        <f t="shared" si="13"/>
        <v>0.2435129740518962</v>
      </c>
    </row>
    <row r="76" spans="1:45" x14ac:dyDescent="0.3">
      <c r="A76" s="1" t="str">
        <f t="shared" si="8"/>
        <v>DMDJ8O046SIL</v>
      </c>
      <c r="B76" s="32" t="s">
        <v>234</v>
      </c>
      <c r="C76" s="10" t="str">
        <f t="shared" si="11"/>
        <v>DJ8O0</v>
      </c>
      <c r="D76" s="10" t="s">
        <v>55</v>
      </c>
      <c r="E76" s="10" t="str">
        <f t="shared" si="9"/>
        <v>M</v>
      </c>
      <c r="F76" s="10" t="str">
        <f t="shared" si="10"/>
        <v>DJ</v>
      </c>
      <c r="G76" s="10" t="s">
        <v>56</v>
      </c>
      <c r="H76" s="4" t="s">
        <v>235</v>
      </c>
      <c r="I76" s="10" t="s">
        <v>178</v>
      </c>
      <c r="J76" s="4" t="str">
        <f t="shared" si="12"/>
        <v/>
      </c>
      <c r="K76" s="4">
        <v>1</v>
      </c>
      <c r="L76" s="43">
        <v>169000</v>
      </c>
      <c r="M76" s="78" t="s">
        <v>132</v>
      </c>
      <c r="N76" s="98" t="s">
        <v>236</v>
      </c>
      <c r="O76" s="10" t="s">
        <v>143</v>
      </c>
      <c r="P76" s="63">
        <v>100</v>
      </c>
      <c r="Q76" s="94" t="s">
        <v>62</v>
      </c>
      <c r="R76" s="63" t="s">
        <v>220</v>
      </c>
      <c r="S76" s="96" t="s">
        <v>237</v>
      </c>
      <c r="T76" s="10" t="s">
        <v>65</v>
      </c>
      <c r="U76" s="10"/>
      <c r="V76" s="10" t="s">
        <v>66</v>
      </c>
      <c r="W76" s="10"/>
      <c r="X76" s="9" t="s">
        <v>67</v>
      </c>
      <c r="Y76" s="10" t="s">
        <v>68</v>
      </c>
      <c r="Z76" s="94" t="s">
        <v>238</v>
      </c>
      <c r="AA76" s="94" t="s">
        <v>90</v>
      </c>
      <c r="AB76" s="9" t="s">
        <v>71</v>
      </c>
      <c r="AC76" s="10" t="s">
        <v>85</v>
      </c>
      <c r="AD76" s="10" t="s">
        <v>208</v>
      </c>
      <c r="AE76" s="65" t="s">
        <v>73</v>
      </c>
      <c r="AF76" s="39" t="s">
        <v>239</v>
      </c>
      <c r="AG76" s="10" t="s">
        <v>240</v>
      </c>
      <c r="AH76" s="4">
        <v>650</v>
      </c>
      <c r="AI76" s="11" t="s">
        <v>76</v>
      </c>
      <c r="AJ76" s="4" t="s">
        <v>241</v>
      </c>
      <c r="AK76" s="50">
        <v>2010</v>
      </c>
      <c r="AL76" s="43">
        <v>339690000</v>
      </c>
      <c r="AM76" s="43">
        <v>39</v>
      </c>
      <c r="AN76" s="43">
        <v>6282094</v>
      </c>
      <c r="AO76" s="43">
        <v>347</v>
      </c>
      <c r="AP76" s="43">
        <v>54431462</v>
      </c>
      <c r="AQ76" s="43">
        <v>769</v>
      </c>
      <c r="AR76" s="43">
        <v>114484935</v>
      </c>
      <c r="AS76" s="52">
        <f t="shared" si="13"/>
        <v>0.38258706467661691</v>
      </c>
    </row>
    <row r="77" spans="1:45" x14ac:dyDescent="0.3">
      <c r="A77" s="1" t="str">
        <f t="shared" si="8"/>
        <v>DMDJ8O046SAD</v>
      </c>
      <c r="B77" s="32" t="s">
        <v>234</v>
      </c>
      <c r="C77" s="10" t="str">
        <f t="shared" si="11"/>
        <v>DJ8O0</v>
      </c>
      <c r="D77" s="10" t="s">
        <v>55</v>
      </c>
      <c r="E77" s="10" t="str">
        <f t="shared" si="9"/>
        <v>M</v>
      </c>
      <c r="F77" s="10" t="str">
        <f t="shared" si="10"/>
        <v>DJ</v>
      </c>
      <c r="G77" s="10" t="s">
        <v>56</v>
      </c>
      <c r="H77" s="4" t="s">
        <v>235</v>
      </c>
      <c r="I77" s="10" t="s">
        <v>243</v>
      </c>
      <c r="J77" s="4" t="str">
        <f t="shared" si="12"/>
        <v/>
      </c>
      <c r="K77" s="4">
        <v>1</v>
      </c>
      <c r="L77" s="43">
        <v>169000</v>
      </c>
      <c r="M77" s="78" t="s">
        <v>132</v>
      </c>
      <c r="N77" s="98" t="s">
        <v>236</v>
      </c>
      <c r="O77" s="10" t="s">
        <v>143</v>
      </c>
      <c r="P77" s="63">
        <v>100</v>
      </c>
      <c r="Q77" s="94" t="s">
        <v>62</v>
      </c>
      <c r="R77" s="63" t="s">
        <v>220</v>
      </c>
      <c r="S77" s="96" t="s">
        <v>237</v>
      </c>
      <c r="T77" s="10" t="s">
        <v>65</v>
      </c>
      <c r="U77" s="10"/>
      <c r="V77" s="10" t="s">
        <v>66</v>
      </c>
      <c r="W77" s="10"/>
      <c r="X77" s="9" t="s">
        <v>67</v>
      </c>
      <c r="Y77" s="10" t="s">
        <v>68</v>
      </c>
      <c r="Z77" s="94" t="s">
        <v>238</v>
      </c>
      <c r="AA77" s="94" t="s">
        <v>90</v>
      </c>
      <c r="AB77" s="9" t="s">
        <v>71</v>
      </c>
      <c r="AC77" s="10" t="s">
        <v>85</v>
      </c>
      <c r="AD77" s="10" t="s">
        <v>208</v>
      </c>
      <c r="AE77" s="65" t="s">
        <v>73</v>
      </c>
      <c r="AF77" s="39" t="s">
        <v>239</v>
      </c>
      <c r="AG77" s="10" t="s">
        <v>240</v>
      </c>
      <c r="AH77" s="4">
        <v>650</v>
      </c>
      <c r="AI77" s="11" t="s">
        <v>76</v>
      </c>
      <c r="AJ77" s="4" t="s">
        <v>241</v>
      </c>
      <c r="AK77" s="50">
        <v>2010</v>
      </c>
      <c r="AL77" s="43">
        <v>339690000</v>
      </c>
      <c r="AM77" s="43">
        <v>238</v>
      </c>
      <c r="AN77" s="43">
        <v>27115498</v>
      </c>
      <c r="AO77" s="43">
        <v>1203</v>
      </c>
      <c r="AP77" s="43">
        <v>175843722</v>
      </c>
      <c r="AQ77" s="43">
        <v>1555</v>
      </c>
      <c r="AR77" s="43">
        <v>228969291</v>
      </c>
      <c r="AS77" s="52">
        <f t="shared" si="13"/>
        <v>0.77363184079601988</v>
      </c>
    </row>
    <row r="78" spans="1:45" x14ac:dyDescent="0.3">
      <c r="A78" s="1" t="str">
        <f t="shared" si="8"/>
        <v>DWDJ8P046BKS</v>
      </c>
      <c r="B78" s="32" t="s">
        <v>244</v>
      </c>
      <c r="C78" s="10" t="str">
        <f t="shared" si="11"/>
        <v>DJ8P0</v>
      </c>
      <c r="D78" s="10" t="s">
        <v>55</v>
      </c>
      <c r="E78" s="10" t="str">
        <f t="shared" si="9"/>
        <v>W</v>
      </c>
      <c r="F78" s="10" t="str">
        <f t="shared" si="10"/>
        <v>DJ</v>
      </c>
      <c r="G78" s="10" t="s">
        <v>56</v>
      </c>
      <c r="H78" s="4" t="s">
        <v>245</v>
      </c>
      <c r="I78" s="10" t="s">
        <v>78</v>
      </c>
      <c r="J78" s="4">
        <f t="shared" si="12"/>
        <v>1</v>
      </c>
      <c r="K78" s="4">
        <v>1</v>
      </c>
      <c r="L78" s="43">
        <v>169000</v>
      </c>
      <c r="M78" s="78" t="s">
        <v>132</v>
      </c>
      <c r="N78" s="98" t="s">
        <v>236</v>
      </c>
      <c r="O78" s="10" t="s">
        <v>143</v>
      </c>
      <c r="P78" s="63">
        <v>100</v>
      </c>
      <c r="Q78" s="94" t="s">
        <v>62</v>
      </c>
      <c r="R78" s="63" t="s">
        <v>220</v>
      </c>
      <c r="S78" s="96" t="s">
        <v>237</v>
      </c>
      <c r="T78" s="10" t="s">
        <v>65</v>
      </c>
      <c r="U78" s="10"/>
      <c r="V78" s="10" t="s">
        <v>66</v>
      </c>
      <c r="W78" s="10"/>
      <c r="X78" s="9" t="s">
        <v>67</v>
      </c>
      <c r="Y78" s="10" t="s">
        <v>68</v>
      </c>
      <c r="Z78" s="94" t="s">
        <v>238</v>
      </c>
      <c r="AA78" s="94" t="s">
        <v>90</v>
      </c>
      <c r="AB78" s="9" t="s">
        <v>71</v>
      </c>
      <c r="AC78" s="10" t="s">
        <v>85</v>
      </c>
      <c r="AD78" s="10" t="s">
        <v>208</v>
      </c>
      <c r="AE78" s="65" t="s">
        <v>73</v>
      </c>
      <c r="AF78" s="39" t="s">
        <v>246</v>
      </c>
      <c r="AG78" s="10" t="s">
        <v>240</v>
      </c>
      <c r="AH78" s="4">
        <v>650</v>
      </c>
      <c r="AI78" s="11" t="s">
        <v>76</v>
      </c>
      <c r="AJ78" s="4" t="s">
        <v>94</v>
      </c>
      <c r="AK78" s="50">
        <v>8017</v>
      </c>
      <c r="AL78" s="43">
        <v>1354873000</v>
      </c>
      <c r="AM78" s="43">
        <v>279</v>
      </c>
      <c r="AN78" s="43">
        <v>41935760</v>
      </c>
      <c r="AO78" s="43">
        <v>3633</v>
      </c>
      <c r="AP78" s="43">
        <v>557039046</v>
      </c>
      <c r="AQ78" s="43">
        <v>5195</v>
      </c>
      <c r="AR78" s="43">
        <v>803661088</v>
      </c>
      <c r="AS78" s="52">
        <f t="shared" si="13"/>
        <v>0.64799800424098786</v>
      </c>
    </row>
    <row r="79" spans="1:45" x14ac:dyDescent="0.3">
      <c r="A79" s="1" t="str">
        <f t="shared" si="8"/>
        <v>DWDJ8P046IVS</v>
      </c>
      <c r="B79" s="32" t="s">
        <v>244</v>
      </c>
      <c r="C79" s="10" t="str">
        <f t="shared" si="11"/>
        <v>DJ8P0</v>
      </c>
      <c r="D79" s="10" t="s">
        <v>55</v>
      </c>
      <c r="E79" s="10" t="str">
        <f t="shared" si="9"/>
        <v>W</v>
      </c>
      <c r="F79" s="10" t="str">
        <f t="shared" si="10"/>
        <v>DJ</v>
      </c>
      <c r="G79" s="10" t="s">
        <v>56</v>
      </c>
      <c r="H79" s="4" t="s">
        <v>245</v>
      </c>
      <c r="I79" s="10" t="s">
        <v>111</v>
      </c>
      <c r="J79" s="4" t="str">
        <f t="shared" si="12"/>
        <v/>
      </c>
      <c r="K79" s="4">
        <v>1</v>
      </c>
      <c r="L79" s="43">
        <v>169000</v>
      </c>
      <c r="M79" s="78" t="s">
        <v>132</v>
      </c>
      <c r="N79" s="98" t="s">
        <v>236</v>
      </c>
      <c r="O79" s="10" t="s">
        <v>143</v>
      </c>
      <c r="P79" s="63">
        <v>100</v>
      </c>
      <c r="Q79" s="94" t="s">
        <v>62</v>
      </c>
      <c r="R79" s="63" t="s">
        <v>220</v>
      </c>
      <c r="S79" s="96" t="s">
        <v>237</v>
      </c>
      <c r="T79" s="10" t="s">
        <v>65</v>
      </c>
      <c r="U79" s="10"/>
      <c r="V79" s="10" t="s">
        <v>66</v>
      </c>
      <c r="W79" s="10"/>
      <c r="X79" s="9" t="s">
        <v>67</v>
      </c>
      <c r="Y79" s="10" t="s">
        <v>68</v>
      </c>
      <c r="Z79" s="94" t="s">
        <v>238</v>
      </c>
      <c r="AA79" s="94" t="s">
        <v>90</v>
      </c>
      <c r="AB79" s="9" t="s">
        <v>71</v>
      </c>
      <c r="AC79" s="10" t="s">
        <v>85</v>
      </c>
      <c r="AD79" s="10" t="s">
        <v>208</v>
      </c>
      <c r="AE79" s="65" t="s">
        <v>73</v>
      </c>
      <c r="AF79" s="39" t="s">
        <v>246</v>
      </c>
      <c r="AG79" s="10" t="s">
        <v>240</v>
      </c>
      <c r="AH79" s="4">
        <v>650</v>
      </c>
      <c r="AI79" s="11" t="s">
        <v>76</v>
      </c>
      <c r="AJ79" s="4" t="s">
        <v>94</v>
      </c>
      <c r="AK79" s="50">
        <v>9009</v>
      </c>
      <c r="AL79" s="43">
        <v>1522521000</v>
      </c>
      <c r="AM79" s="43">
        <v>180</v>
      </c>
      <c r="AN79" s="43">
        <v>29663905</v>
      </c>
      <c r="AO79" s="43">
        <v>3307</v>
      </c>
      <c r="AP79" s="43">
        <v>531999486</v>
      </c>
      <c r="AQ79" s="43">
        <v>4998</v>
      </c>
      <c r="AR79" s="43">
        <v>794585977</v>
      </c>
      <c r="AS79" s="52">
        <f t="shared" si="13"/>
        <v>0.55477855477855476</v>
      </c>
    </row>
    <row r="80" spans="1:45" x14ac:dyDescent="0.3">
      <c r="A80" s="1" t="str">
        <f t="shared" si="8"/>
        <v>DWDJ8P046BGL</v>
      </c>
      <c r="B80" s="32" t="s">
        <v>244</v>
      </c>
      <c r="C80" s="10" t="str">
        <f t="shared" si="11"/>
        <v>DJ8P0</v>
      </c>
      <c r="D80" s="10" t="s">
        <v>55</v>
      </c>
      <c r="E80" s="10" t="str">
        <f t="shared" si="9"/>
        <v>W</v>
      </c>
      <c r="F80" s="10" t="str">
        <f t="shared" si="10"/>
        <v>DJ</v>
      </c>
      <c r="G80" s="10" t="s">
        <v>56</v>
      </c>
      <c r="H80" s="4" t="s">
        <v>245</v>
      </c>
      <c r="I80" s="10" t="s">
        <v>163</v>
      </c>
      <c r="J80" s="4" t="str">
        <f t="shared" si="12"/>
        <v/>
      </c>
      <c r="K80" s="4">
        <v>1</v>
      </c>
      <c r="L80" s="43">
        <v>169000</v>
      </c>
      <c r="M80" s="78" t="s">
        <v>132</v>
      </c>
      <c r="N80" s="98" t="s">
        <v>236</v>
      </c>
      <c r="O80" s="10" t="s">
        <v>143</v>
      </c>
      <c r="P80" s="63">
        <v>100</v>
      </c>
      <c r="Q80" s="94" t="s">
        <v>62</v>
      </c>
      <c r="R80" s="63" t="s">
        <v>220</v>
      </c>
      <c r="S80" s="96" t="s">
        <v>237</v>
      </c>
      <c r="T80" s="10" t="s">
        <v>65</v>
      </c>
      <c r="U80" s="10"/>
      <c r="V80" s="10" t="s">
        <v>66</v>
      </c>
      <c r="W80" s="10"/>
      <c r="X80" s="9" t="s">
        <v>67</v>
      </c>
      <c r="Y80" s="10" t="s">
        <v>68</v>
      </c>
      <c r="Z80" s="94" t="s">
        <v>238</v>
      </c>
      <c r="AA80" s="94" t="s">
        <v>90</v>
      </c>
      <c r="AB80" s="9" t="s">
        <v>71</v>
      </c>
      <c r="AC80" s="10" t="s">
        <v>85</v>
      </c>
      <c r="AD80" s="10" t="s">
        <v>208</v>
      </c>
      <c r="AE80" s="65" t="s">
        <v>73</v>
      </c>
      <c r="AF80" s="39" t="s">
        <v>246</v>
      </c>
      <c r="AG80" s="10" t="s">
        <v>240</v>
      </c>
      <c r="AH80" s="4">
        <v>650</v>
      </c>
      <c r="AI80" s="11" t="s">
        <v>76</v>
      </c>
      <c r="AJ80" s="4" t="s">
        <v>94</v>
      </c>
      <c r="AK80" s="50">
        <v>6000</v>
      </c>
      <c r="AL80" s="43">
        <v>1014000000</v>
      </c>
      <c r="AM80" s="43">
        <v>200</v>
      </c>
      <c r="AN80" s="43">
        <v>27507891</v>
      </c>
      <c r="AO80" s="43">
        <v>1936</v>
      </c>
      <c r="AP80" s="43">
        <v>296643581</v>
      </c>
      <c r="AQ80" s="43">
        <v>2854</v>
      </c>
      <c r="AR80" s="43">
        <v>439374390</v>
      </c>
      <c r="AS80" s="52">
        <f t="shared" si="13"/>
        <v>0.47566666666666668</v>
      </c>
    </row>
    <row r="81" spans="1:45" x14ac:dyDescent="0.3">
      <c r="A81" s="1" t="str">
        <f t="shared" si="8"/>
        <v>DWDJ8P046VOS</v>
      </c>
      <c r="B81" s="32" t="s">
        <v>244</v>
      </c>
      <c r="C81" s="10" t="str">
        <f t="shared" si="11"/>
        <v>DJ8P0</v>
      </c>
      <c r="D81" s="10" t="s">
        <v>55</v>
      </c>
      <c r="E81" s="10" t="str">
        <f t="shared" si="9"/>
        <v>W</v>
      </c>
      <c r="F81" s="10" t="str">
        <f t="shared" si="10"/>
        <v>DJ</v>
      </c>
      <c r="G81" s="10" t="s">
        <v>56</v>
      </c>
      <c r="H81" s="4" t="s">
        <v>245</v>
      </c>
      <c r="I81" s="10" t="s">
        <v>58</v>
      </c>
      <c r="J81" s="4" t="str">
        <f t="shared" si="12"/>
        <v/>
      </c>
      <c r="K81" s="4">
        <v>1</v>
      </c>
      <c r="L81" s="43">
        <v>169000</v>
      </c>
      <c r="M81" s="78" t="s">
        <v>132</v>
      </c>
      <c r="N81" s="98" t="s">
        <v>236</v>
      </c>
      <c r="O81" s="10" t="s">
        <v>143</v>
      </c>
      <c r="P81" s="63">
        <v>100</v>
      </c>
      <c r="Q81" s="94" t="s">
        <v>62</v>
      </c>
      <c r="R81" s="63" t="s">
        <v>220</v>
      </c>
      <c r="S81" s="96" t="s">
        <v>237</v>
      </c>
      <c r="T81" s="10" t="s">
        <v>65</v>
      </c>
      <c r="U81" s="10"/>
      <c r="V81" s="10" t="s">
        <v>66</v>
      </c>
      <c r="W81" s="10"/>
      <c r="X81" s="9" t="s">
        <v>67</v>
      </c>
      <c r="Y81" s="10" t="s">
        <v>68</v>
      </c>
      <c r="Z81" s="94" t="s">
        <v>238</v>
      </c>
      <c r="AA81" s="94" t="s">
        <v>90</v>
      </c>
      <c r="AB81" s="9" t="s">
        <v>71</v>
      </c>
      <c r="AC81" s="10" t="s">
        <v>85</v>
      </c>
      <c r="AD81" s="10" t="s">
        <v>208</v>
      </c>
      <c r="AE81" s="65" t="s">
        <v>73</v>
      </c>
      <c r="AF81" s="39" t="s">
        <v>246</v>
      </c>
      <c r="AG81" s="10" t="s">
        <v>240</v>
      </c>
      <c r="AH81" s="4">
        <v>650</v>
      </c>
      <c r="AI81" s="11" t="s">
        <v>76</v>
      </c>
      <c r="AJ81" s="4" t="s">
        <v>94</v>
      </c>
      <c r="AK81" s="50">
        <v>989</v>
      </c>
      <c r="AL81" s="43">
        <v>167141000</v>
      </c>
      <c r="AM81" s="43">
        <v>13</v>
      </c>
      <c r="AN81" s="43">
        <v>2163030</v>
      </c>
      <c r="AO81" s="43">
        <v>161</v>
      </c>
      <c r="AP81" s="43">
        <v>24571067</v>
      </c>
      <c r="AQ81" s="43">
        <v>246</v>
      </c>
      <c r="AR81" s="43">
        <v>38229185</v>
      </c>
      <c r="AS81" s="52">
        <f t="shared" si="13"/>
        <v>0.24873609706774519</v>
      </c>
    </row>
    <row r="82" spans="1:45" x14ac:dyDescent="0.3">
      <c r="A82" s="1" t="str">
        <f t="shared" si="8"/>
        <v>DWDJ8P046SIL</v>
      </c>
      <c r="B82" s="32" t="s">
        <v>244</v>
      </c>
      <c r="C82" s="10" t="str">
        <f t="shared" si="11"/>
        <v>DJ8P0</v>
      </c>
      <c r="D82" s="10" t="s">
        <v>55</v>
      </c>
      <c r="E82" s="10" t="str">
        <f t="shared" si="9"/>
        <v>W</v>
      </c>
      <c r="F82" s="10" t="str">
        <f t="shared" si="10"/>
        <v>DJ</v>
      </c>
      <c r="G82" s="10" t="s">
        <v>56</v>
      </c>
      <c r="H82" s="4" t="s">
        <v>245</v>
      </c>
      <c r="I82" s="10" t="s">
        <v>178</v>
      </c>
      <c r="J82" s="4" t="str">
        <f t="shared" si="12"/>
        <v/>
      </c>
      <c r="K82" s="4">
        <v>1</v>
      </c>
      <c r="L82" s="43">
        <v>169000</v>
      </c>
      <c r="M82" s="78" t="s">
        <v>132</v>
      </c>
      <c r="N82" s="98" t="s">
        <v>236</v>
      </c>
      <c r="O82" s="10" t="s">
        <v>143</v>
      </c>
      <c r="P82" s="63">
        <v>100</v>
      </c>
      <c r="Q82" s="94" t="s">
        <v>62</v>
      </c>
      <c r="R82" s="63" t="s">
        <v>220</v>
      </c>
      <c r="S82" s="96" t="s">
        <v>237</v>
      </c>
      <c r="T82" s="10" t="s">
        <v>65</v>
      </c>
      <c r="U82" s="10"/>
      <c r="V82" s="10" t="s">
        <v>66</v>
      </c>
      <c r="W82" s="10"/>
      <c r="X82" s="9" t="s">
        <v>67</v>
      </c>
      <c r="Y82" s="10" t="s">
        <v>68</v>
      </c>
      <c r="Z82" s="94" t="s">
        <v>238</v>
      </c>
      <c r="AA82" s="94" t="s">
        <v>90</v>
      </c>
      <c r="AB82" s="9" t="s">
        <v>71</v>
      </c>
      <c r="AC82" s="10" t="s">
        <v>85</v>
      </c>
      <c r="AD82" s="10" t="s">
        <v>208</v>
      </c>
      <c r="AE82" s="65" t="s">
        <v>73</v>
      </c>
      <c r="AF82" s="39" t="s">
        <v>246</v>
      </c>
      <c r="AG82" s="10" t="s">
        <v>240</v>
      </c>
      <c r="AH82" s="4">
        <v>650</v>
      </c>
      <c r="AI82" s="11" t="s">
        <v>76</v>
      </c>
      <c r="AJ82" s="4" t="s">
        <v>94</v>
      </c>
      <c r="AK82" s="50">
        <v>1506</v>
      </c>
      <c r="AL82" s="43">
        <v>254514000</v>
      </c>
      <c r="AM82" s="43">
        <v>12</v>
      </c>
      <c r="AN82" s="43">
        <v>2018000</v>
      </c>
      <c r="AO82" s="43">
        <v>472</v>
      </c>
      <c r="AP82" s="43">
        <v>73628089</v>
      </c>
      <c r="AQ82" s="43">
        <v>768</v>
      </c>
      <c r="AR82" s="43">
        <v>117655297</v>
      </c>
      <c r="AS82" s="52">
        <f t="shared" si="13"/>
        <v>0.50996015936254979</v>
      </c>
    </row>
    <row r="83" spans="1:45" x14ac:dyDescent="0.3">
      <c r="A83" s="1" t="str">
        <f t="shared" si="8"/>
        <v>DXDJ8Q046BKS</v>
      </c>
      <c r="B83" s="32" t="s">
        <v>247</v>
      </c>
      <c r="C83" s="10" t="str">
        <f t="shared" si="11"/>
        <v>DJ8Q0</v>
      </c>
      <c r="D83" s="10" t="s">
        <v>55</v>
      </c>
      <c r="E83" s="10" t="str">
        <f t="shared" si="9"/>
        <v>X</v>
      </c>
      <c r="F83" s="10" t="str">
        <f t="shared" si="10"/>
        <v>DJ</v>
      </c>
      <c r="G83" s="10" t="s">
        <v>56</v>
      </c>
      <c r="H83" s="4" t="s">
        <v>248</v>
      </c>
      <c r="I83" s="10" t="s">
        <v>78</v>
      </c>
      <c r="J83" s="4">
        <f t="shared" si="12"/>
        <v>1</v>
      </c>
      <c r="K83" s="4">
        <v>1</v>
      </c>
      <c r="L83" s="43">
        <v>179000</v>
      </c>
      <c r="M83" s="78" t="s">
        <v>217</v>
      </c>
      <c r="N83" s="98" t="s">
        <v>249</v>
      </c>
      <c r="O83" s="10" t="s">
        <v>61</v>
      </c>
      <c r="P83" s="63">
        <v>100</v>
      </c>
      <c r="Q83" s="94" t="s">
        <v>119</v>
      </c>
      <c r="R83" s="63" t="s">
        <v>246</v>
      </c>
      <c r="S83" s="96" t="s">
        <v>121</v>
      </c>
      <c r="T83" s="10" t="s">
        <v>122</v>
      </c>
      <c r="U83" s="10" t="s">
        <v>250</v>
      </c>
      <c r="V83" s="10" t="s">
        <v>66</v>
      </c>
      <c r="W83" s="10"/>
      <c r="X83" s="9" t="s">
        <v>67</v>
      </c>
      <c r="Y83" s="10" t="s">
        <v>68</v>
      </c>
      <c r="Z83" s="94" t="s">
        <v>125</v>
      </c>
      <c r="AA83" s="94" t="s">
        <v>90</v>
      </c>
      <c r="AB83" s="9" t="s">
        <v>71</v>
      </c>
      <c r="AC83" s="10" t="s">
        <v>85</v>
      </c>
      <c r="AD83" s="10" t="s">
        <v>208</v>
      </c>
      <c r="AE83" s="65" t="s">
        <v>73</v>
      </c>
      <c r="AF83" s="39" t="s">
        <v>239</v>
      </c>
      <c r="AG83" s="10" t="s">
        <v>240</v>
      </c>
      <c r="AH83" s="4">
        <v>650</v>
      </c>
      <c r="AI83" s="11" t="s">
        <v>76</v>
      </c>
      <c r="AJ83" s="4" t="s">
        <v>241</v>
      </c>
      <c r="AK83" s="50">
        <v>4418</v>
      </c>
      <c r="AL83" s="43">
        <v>790822000</v>
      </c>
      <c r="AM83" s="43">
        <v>62</v>
      </c>
      <c r="AN83" s="43">
        <v>11019010</v>
      </c>
      <c r="AO83" s="43">
        <v>2294</v>
      </c>
      <c r="AP83" s="43">
        <v>376988606</v>
      </c>
      <c r="AQ83" s="43">
        <v>3054</v>
      </c>
      <c r="AR83" s="43">
        <v>506291744</v>
      </c>
      <c r="AS83" s="52">
        <f t="shared" si="13"/>
        <v>0.69126301493888642</v>
      </c>
    </row>
    <row r="84" spans="1:45" x14ac:dyDescent="0.3">
      <c r="A84" s="1" t="str">
        <f t="shared" si="8"/>
        <v>DXDJ8Q046IVD</v>
      </c>
      <c r="B84" s="32" t="s">
        <v>247</v>
      </c>
      <c r="C84" s="10" t="str">
        <f t="shared" si="11"/>
        <v>DJ8Q0</v>
      </c>
      <c r="D84" s="10" t="s">
        <v>55</v>
      </c>
      <c r="E84" s="10" t="str">
        <f t="shared" si="9"/>
        <v>X</v>
      </c>
      <c r="F84" s="10" t="str">
        <f t="shared" si="10"/>
        <v>DJ</v>
      </c>
      <c r="G84" s="10" t="s">
        <v>56</v>
      </c>
      <c r="H84" s="4" t="s">
        <v>248</v>
      </c>
      <c r="I84" s="10" t="s">
        <v>105</v>
      </c>
      <c r="J84" s="4" t="str">
        <f t="shared" si="12"/>
        <v/>
      </c>
      <c r="K84" s="4">
        <v>1</v>
      </c>
      <c r="L84" s="43">
        <v>179000</v>
      </c>
      <c r="M84" s="78" t="s">
        <v>217</v>
      </c>
      <c r="N84" s="98" t="s">
        <v>249</v>
      </c>
      <c r="O84" s="10" t="s">
        <v>61</v>
      </c>
      <c r="P84" s="63">
        <v>100</v>
      </c>
      <c r="Q84" s="94" t="s">
        <v>119</v>
      </c>
      <c r="R84" s="63" t="s">
        <v>246</v>
      </c>
      <c r="S84" s="96" t="s">
        <v>121</v>
      </c>
      <c r="T84" s="10" t="s">
        <v>122</v>
      </c>
      <c r="U84" s="10" t="s">
        <v>250</v>
      </c>
      <c r="V84" s="10" t="s">
        <v>66</v>
      </c>
      <c r="W84" s="10"/>
      <c r="X84" s="9" t="s">
        <v>67</v>
      </c>
      <c r="Y84" s="10" t="s">
        <v>68</v>
      </c>
      <c r="Z84" s="94" t="s">
        <v>125</v>
      </c>
      <c r="AA84" s="94" t="s">
        <v>90</v>
      </c>
      <c r="AB84" s="9" t="s">
        <v>71</v>
      </c>
      <c r="AC84" s="10" t="s">
        <v>85</v>
      </c>
      <c r="AD84" s="10" t="s">
        <v>208</v>
      </c>
      <c r="AE84" s="65" t="s">
        <v>73</v>
      </c>
      <c r="AF84" s="39" t="s">
        <v>239</v>
      </c>
      <c r="AG84" s="10" t="s">
        <v>240</v>
      </c>
      <c r="AH84" s="4">
        <v>650</v>
      </c>
      <c r="AI84" s="11" t="s">
        <v>76</v>
      </c>
      <c r="AJ84" s="4" t="s">
        <v>241</v>
      </c>
      <c r="AK84" s="50">
        <v>1495</v>
      </c>
      <c r="AL84" s="43">
        <v>267605000</v>
      </c>
      <c r="AM84" s="43">
        <v>31</v>
      </c>
      <c r="AN84" s="43">
        <v>5223812</v>
      </c>
      <c r="AO84" s="43">
        <v>667</v>
      </c>
      <c r="AP84" s="43">
        <v>111123510</v>
      </c>
      <c r="AQ84" s="43">
        <v>934</v>
      </c>
      <c r="AR84" s="43">
        <v>156879717</v>
      </c>
      <c r="AS84" s="52">
        <f t="shared" si="13"/>
        <v>0.62474916387959867</v>
      </c>
    </row>
    <row r="85" spans="1:45" x14ac:dyDescent="0.3">
      <c r="A85" s="1" t="str">
        <f t="shared" si="8"/>
        <v>DXDJ8Q046OLD</v>
      </c>
      <c r="B85" s="32" t="s">
        <v>247</v>
      </c>
      <c r="C85" s="10" t="str">
        <f t="shared" si="11"/>
        <v>DJ8Q0</v>
      </c>
      <c r="D85" s="10" t="s">
        <v>55</v>
      </c>
      <c r="E85" s="10" t="str">
        <f t="shared" si="9"/>
        <v>X</v>
      </c>
      <c r="F85" s="10" t="str">
        <f t="shared" si="10"/>
        <v>DJ</v>
      </c>
      <c r="G85" s="10" t="s">
        <v>56</v>
      </c>
      <c r="H85" s="4" t="s">
        <v>248</v>
      </c>
      <c r="I85" s="10" t="s">
        <v>209</v>
      </c>
      <c r="J85" s="4" t="str">
        <f t="shared" si="12"/>
        <v/>
      </c>
      <c r="K85" s="4">
        <v>1</v>
      </c>
      <c r="L85" s="43">
        <v>179000</v>
      </c>
      <c r="M85" s="78" t="s">
        <v>217</v>
      </c>
      <c r="N85" s="98" t="s">
        <v>249</v>
      </c>
      <c r="O85" s="10" t="s">
        <v>61</v>
      </c>
      <c r="P85" s="63">
        <v>100</v>
      </c>
      <c r="Q85" s="94" t="s">
        <v>119</v>
      </c>
      <c r="R85" s="63" t="s">
        <v>246</v>
      </c>
      <c r="S85" s="96" t="s">
        <v>121</v>
      </c>
      <c r="T85" s="10" t="s">
        <v>122</v>
      </c>
      <c r="U85" s="10" t="s">
        <v>250</v>
      </c>
      <c r="V85" s="10" t="s">
        <v>66</v>
      </c>
      <c r="W85" s="10"/>
      <c r="X85" s="9" t="s">
        <v>67</v>
      </c>
      <c r="Y85" s="10" t="s">
        <v>68</v>
      </c>
      <c r="Z85" s="94" t="s">
        <v>125</v>
      </c>
      <c r="AA85" s="94" t="s">
        <v>90</v>
      </c>
      <c r="AB85" s="9" t="s">
        <v>71</v>
      </c>
      <c r="AC85" s="10" t="s">
        <v>85</v>
      </c>
      <c r="AD85" s="10" t="s">
        <v>208</v>
      </c>
      <c r="AE85" s="65" t="s">
        <v>73</v>
      </c>
      <c r="AF85" s="39" t="s">
        <v>239</v>
      </c>
      <c r="AG85" s="10" t="s">
        <v>240</v>
      </c>
      <c r="AH85" s="4">
        <v>650</v>
      </c>
      <c r="AI85" s="11" t="s">
        <v>76</v>
      </c>
      <c r="AJ85" s="4" t="s">
        <v>241</v>
      </c>
      <c r="AK85" s="50">
        <v>990</v>
      </c>
      <c r="AL85" s="43">
        <v>177210000</v>
      </c>
      <c r="AM85" s="43">
        <v>39</v>
      </c>
      <c r="AN85" s="43">
        <v>6853978</v>
      </c>
      <c r="AO85" s="43">
        <v>479</v>
      </c>
      <c r="AP85" s="43">
        <v>80945140</v>
      </c>
      <c r="AQ85" s="43">
        <v>685</v>
      </c>
      <c r="AR85" s="43">
        <v>116698257</v>
      </c>
      <c r="AS85" s="52">
        <f t="shared" si="13"/>
        <v>0.69191919191919193</v>
      </c>
    </row>
    <row r="86" spans="1:45" x14ac:dyDescent="0.3">
      <c r="A86" s="1" t="str">
        <f t="shared" si="8"/>
        <v>DXDJGE046CRS</v>
      </c>
      <c r="B86" s="32" t="s">
        <v>251</v>
      </c>
      <c r="C86" s="10" t="str">
        <f t="shared" si="11"/>
        <v>DJGE0</v>
      </c>
      <c r="D86" s="10" t="s">
        <v>55</v>
      </c>
      <c r="E86" s="10" t="str">
        <f t="shared" si="9"/>
        <v>X</v>
      </c>
      <c r="F86" s="10" t="str">
        <f t="shared" si="10"/>
        <v>DJ</v>
      </c>
      <c r="G86" s="10" t="s">
        <v>56</v>
      </c>
      <c r="H86" s="4" t="s">
        <v>252</v>
      </c>
      <c r="I86" s="10" t="s">
        <v>79</v>
      </c>
      <c r="J86" s="4">
        <f t="shared" si="12"/>
        <v>1</v>
      </c>
      <c r="K86" s="4">
        <v>1</v>
      </c>
      <c r="L86" s="43">
        <v>299000</v>
      </c>
      <c r="M86" s="78" t="s">
        <v>202</v>
      </c>
      <c r="N86" s="98" t="s">
        <v>203</v>
      </c>
      <c r="O86" s="10" t="s">
        <v>61</v>
      </c>
      <c r="P86" s="63">
        <v>100</v>
      </c>
      <c r="Q86" s="94" t="s">
        <v>204</v>
      </c>
      <c r="R86" s="63" t="s">
        <v>205</v>
      </c>
      <c r="S86" s="96" t="s">
        <v>206</v>
      </c>
      <c r="T86" s="10" t="s">
        <v>122</v>
      </c>
      <c r="U86" s="10" t="s">
        <v>207</v>
      </c>
      <c r="V86" s="10" t="s">
        <v>66</v>
      </c>
      <c r="W86" s="10"/>
      <c r="X86" s="9" t="s">
        <v>67</v>
      </c>
      <c r="Y86" s="10" t="s">
        <v>68</v>
      </c>
      <c r="Z86" s="94" t="s">
        <v>125</v>
      </c>
      <c r="AA86" s="94" t="s">
        <v>90</v>
      </c>
      <c r="AB86" s="9" t="s">
        <v>71</v>
      </c>
      <c r="AC86" s="10" t="s">
        <v>85</v>
      </c>
      <c r="AD86" s="10" t="s">
        <v>208</v>
      </c>
      <c r="AE86" s="65" t="s">
        <v>137</v>
      </c>
      <c r="AF86" s="39" t="s">
        <v>93</v>
      </c>
      <c r="AG86" s="10" t="s">
        <v>75</v>
      </c>
      <c r="AH86" s="4">
        <v>650</v>
      </c>
      <c r="AI86" s="11" t="s">
        <v>76</v>
      </c>
      <c r="AJ86" s="4" t="s">
        <v>241</v>
      </c>
      <c r="AK86" s="50">
        <v>2200</v>
      </c>
      <c r="AL86" s="43">
        <v>657800000</v>
      </c>
      <c r="AM86" s="43">
        <v>94</v>
      </c>
      <c r="AN86" s="43">
        <v>19688200</v>
      </c>
      <c r="AO86" s="43">
        <v>920</v>
      </c>
      <c r="AP86" s="43">
        <v>210660709</v>
      </c>
      <c r="AQ86" s="43">
        <v>1439</v>
      </c>
      <c r="AR86" s="43">
        <v>318873329</v>
      </c>
      <c r="AS86" s="52">
        <f t="shared" si="13"/>
        <v>0.65409090909090906</v>
      </c>
    </row>
    <row r="87" spans="1:45" x14ac:dyDescent="0.3">
      <c r="A87" s="1" t="str">
        <f t="shared" si="8"/>
        <v>DXDJGE046BKS</v>
      </c>
      <c r="B87" s="32" t="s">
        <v>251</v>
      </c>
      <c r="C87" s="10" t="str">
        <f t="shared" si="11"/>
        <v>DJGE0</v>
      </c>
      <c r="D87" s="10" t="s">
        <v>55</v>
      </c>
      <c r="E87" s="10" t="str">
        <f t="shared" si="9"/>
        <v>X</v>
      </c>
      <c r="F87" s="10" t="str">
        <f t="shared" si="10"/>
        <v>DJ</v>
      </c>
      <c r="G87" s="10" t="s">
        <v>56</v>
      </c>
      <c r="H87" s="4" t="s">
        <v>252</v>
      </c>
      <c r="I87" s="10" t="s">
        <v>78</v>
      </c>
      <c r="J87" s="4" t="str">
        <f t="shared" si="12"/>
        <v/>
      </c>
      <c r="K87" s="4">
        <v>1</v>
      </c>
      <c r="L87" s="43">
        <v>299000</v>
      </c>
      <c r="M87" s="78" t="s">
        <v>202</v>
      </c>
      <c r="N87" s="98" t="s">
        <v>253</v>
      </c>
      <c r="O87" s="10" t="s">
        <v>254</v>
      </c>
      <c r="P87" s="63" t="s">
        <v>255</v>
      </c>
      <c r="Q87" s="94" t="s">
        <v>144</v>
      </c>
      <c r="R87" s="63" t="s">
        <v>256</v>
      </c>
      <c r="S87" s="96" t="s">
        <v>257</v>
      </c>
      <c r="T87" s="10" t="s">
        <v>122</v>
      </c>
      <c r="U87" s="10" t="s">
        <v>207</v>
      </c>
      <c r="V87" s="10" t="s">
        <v>66</v>
      </c>
      <c r="W87" s="10"/>
      <c r="X87" s="9" t="s">
        <v>67</v>
      </c>
      <c r="Y87" s="10" t="s">
        <v>68</v>
      </c>
      <c r="Z87" s="94" t="s">
        <v>125</v>
      </c>
      <c r="AA87" s="94" t="s">
        <v>90</v>
      </c>
      <c r="AB87" s="9" t="s">
        <v>71</v>
      </c>
      <c r="AC87" s="10" t="s">
        <v>85</v>
      </c>
      <c r="AD87" s="10" t="s">
        <v>208</v>
      </c>
      <c r="AE87" s="65" t="s">
        <v>137</v>
      </c>
      <c r="AF87" s="39" t="s">
        <v>93</v>
      </c>
      <c r="AG87" s="10" t="s">
        <v>75</v>
      </c>
      <c r="AH87" s="4">
        <v>650</v>
      </c>
      <c r="AI87" s="11" t="s">
        <v>76</v>
      </c>
      <c r="AJ87" s="4" t="s">
        <v>241</v>
      </c>
      <c r="AK87" s="50">
        <v>1800</v>
      </c>
      <c r="AL87" s="43">
        <v>538200000</v>
      </c>
      <c r="AM87" s="43">
        <v>94</v>
      </c>
      <c r="AN87" s="43">
        <v>19594170</v>
      </c>
      <c r="AO87" s="43">
        <v>1026</v>
      </c>
      <c r="AP87" s="43">
        <v>231967125</v>
      </c>
      <c r="AQ87" s="43">
        <v>1504</v>
      </c>
      <c r="AR87" s="43">
        <v>331412405</v>
      </c>
      <c r="AS87" s="52">
        <f t="shared" si="13"/>
        <v>0.83555555555555561</v>
      </c>
    </row>
    <row r="88" spans="1:45" x14ac:dyDescent="0.3">
      <c r="A88" s="1" t="str">
        <f t="shared" si="8"/>
        <v>DMDJ61046BGD</v>
      </c>
      <c r="B88" s="32" t="s">
        <v>258</v>
      </c>
      <c r="C88" s="10" t="str">
        <f t="shared" si="11"/>
        <v>DJ610</v>
      </c>
      <c r="D88" s="10" t="s">
        <v>55</v>
      </c>
      <c r="E88" s="10" t="str">
        <f t="shared" si="9"/>
        <v>M</v>
      </c>
      <c r="F88" s="10" t="str">
        <f t="shared" si="10"/>
        <v>DJ</v>
      </c>
      <c r="G88" s="10" t="s">
        <v>56</v>
      </c>
      <c r="H88" s="4" t="s">
        <v>259</v>
      </c>
      <c r="I88" s="10" t="s">
        <v>260</v>
      </c>
      <c r="J88" s="4">
        <f t="shared" si="12"/>
        <v>1</v>
      </c>
      <c r="K88" s="4">
        <v>1</v>
      </c>
      <c r="L88" s="43">
        <v>359000</v>
      </c>
      <c r="M88" s="78" t="s">
        <v>194</v>
      </c>
      <c r="N88" s="98" t="s">
        <v>261</v>
      </c>
      <c r="O88" s="10" t="s">
        <v>61</v>
      </c>
      <c r="P88" s="63">
        <v>100</v>
      </c>
      <c r="Q88" s="94" t="s">
        <v>119</v>
      </c>
      <c r="R88" s="63" t="s">
        <v>262</v>
      </c>
      <c r="S88" s="96" t="s">
        <v>263</v>
      </c>
      <c r="T88" s="10" t="s">
        <v>122</v>
      </c>
      <c r="U88" s="10" t="s">
        <v>207</v>
      </c>
      <c r="V88" s="10" t="s">
        <v>66</v>
      </c>
      <c r="W88" s="10"/>
      <c r="X88" s="9" t="s">
        <v>67</v>
      </c>
      <c r="Y88" s="10" t="s">
        <v>68</v>
      </c>
      <c r="Z88" s="94" t="s">
        <v>125</v>
      </c>
      <c r="AA88" s="94" t="s">
        <v>90</v>
      </c>
      <c r="AB88" s="9" t="s">
        <v>71</v>
      </c>
      <c r="AC88" s="10" t="s">
        <v>85</v>
      </c>
      <c r="AD88" s="10" t="s">
        <v>208</v>
      </c>
      <c r="AE88" s="65" t="s">
        <v>73</v>
      </c>
      <c r="AF88" s="39" t="s">
        <v>214</v>
      </c>
      <c r="AG88" s="10" t="s">
        <v>127</v>
      </c>
      <c r="AH88" s="4">
        <v>650</v>
      </c>
      <c r="AI88" s="11" t="s">
        <v>264</v>
      </c>
      <c r="AJ88" s="4" t="s">
        <v>241</v>
      </c>
      <c r="AK88" s="50">
        <v>1506</v>
      </c>
      <c r="AL88" s="43">
        <v>540654000</v>
      </c>
      <c r="AM88" s="43">
        <v>62</v>
      </c>
      <c r="AN88" s="43">
        <v>20307290</v>
      </c>
      <c r="AO88" s="43">
        <v>297</v>
      </c>
      <c r="AP88" s="43">
        <v>98508259</v>
      </c>
      <c r="AQ88" s="43">
        <v>752</v>
      </c>
      <c r="AR88" s="43">
        <v>255786928</v>
      </c>
      <c r="AS88" s="52">
        <f t="shared" si="13"/>
        <v>0.49933598937583001</v>
      </c>
    </row>
    <row r="89" spans="1:45" x14ac:dyDescent="0.3">
      <c r="A89" s="1" t="str">
        <f t="shared" si="8"/>
        <v>DMDJ61046GRL</v>
      </c>
      <c r="B89" s="32" t="s">
        <v>258</v>
      </c>
      <c r="C89" s="10" t="str">
        <f t="shared" si="11"/>
        <v>DJ610</v>
      </c>
      <c r="D89" s="10" t="s">
        <v>55</v>
      </c>
      <c r="E89" s="10" t="str">
        <f t="shared" si="9"/>
        <v>M</v>
      </c>
      <c r="F89" s="10" t="str">
        <f t="shared" si="10"/>
        <v>DJ</v>
      </c>
      <c r="G89" s="10" t="s">
        <v>56</v>
      </c>
      <c r="H89" s="4" t="s">
        <v>259</v>
      </c>
      <c r="I89" s="10" t="s">
        <v>113</v>
      </c>
      <c r="J89" s="4" t="str">
        <f t="shared" si="12"/>
        <v/>
      </c>
      <c r="K89" s="4">
        <v>1</v>
      </c>
      <c r="L89" s="43">
        <v>359000</v>
      </c>
      <c r="M89" s="78" t="s">
        <v>194</v>
      </c>
      <c r="N89" s="98" t="s">
        <v>261</v>
      </c>
      <c r="O89" s="10" t="s">
        <v>61</v>
      </c>
      <c r="P89" s="63">
        <v>100</v>
      </c>
      <c r="Q89" s="94" t="s">
        <v>119</v>
      </c>
      <c r="R89" s="63" t="s">
        <v>262</v>
      </c>
      <c r="S89" s="96" t="s">
        <v>263</v>
      </c>
      <c r="T89" s="10" t="s">
        <v>122</v>
      </c>
      <c r="U89" s="10" t="s">
        <v>207</v>
      </c>
      <c r="V89" s="10" t="s">
        <v>66</v>
      </c>
      <c r="W89" s="10"/>
      <c r="X89" s="9" t="s">
        <v>67</v>
      </c>
      <c r="Y89" s="10" t="s">
        <v>68</v>
      </c>
      <c r="Z89" s="94" t="s">
        <v>125</v>
      </c>
      <c r="AA89" s="94" t="s">
        <v>90</v>
      </c>
      <c r="AB89" s="9" t="s">
        <v>71</v>
      </c>
      <c r="AC89" s="10" t="s">
        <v>85</v>
      </c>
      <c r="AD89" s="10" t="s">
        <v>208</v>
      </c>
      <c r="AE89" s="65" t="s">
        <v>73</v>
      </c>
      <c r="AF89" s="39" t="s">
        <v>214</v>
      </c>
      <c r="AG89" s="10" t="s">
        <v>127</v>
      </c>
      <c r="AH89" s="4">
        <v>650</v>
      </c>
      <c r="AI89" s="11" t="s">
        <v>264</v>
      </c>
      <c r="AJ89" s="4" t="s">
        <v>241</v>
      </c>
      <c r="AK89" s="50">
        <v>2011</v>
      </c>
      <c r="AL89" s="43">
        <v>721949000</v>
      </c>
      <c r="AM89" s="43">
        <v>119</v>
      </c>
      <c r="AN89" s="43">
        <v>41739616</v>
      </c>
      <c r="AO89" s="43">
        <v>656</v>
      </c>
      <c r="AP89" s="43">
        <v>223609123</v>
      </c>
      <c r="AQ89" s="43">
        <v>1449</v>
      </c>
      <c r="AR89" s="43">
        <v>482729545</v>
      </c>
      <c r="AS89" s="52">
        <f t="shared" si="13"/>
        <v>0.72053704624564896</v>
      </c>
    </row>
    <row r="90" spans="1:45" x14ac:dyDescent="0.3">
      <c r="A90" s="1" t="str">
        <f t="shared" si="8"/>
        <v>DMDJ61046BKS</v>
      </c>
      <c r="B90" s="32" t="s">
        <v>258</v>
      </c>
      <c r="C90" s="10" t="str">
        <f t="shared" si="11"/>
        <v>DJ610</v>
      </c>
      <c r="D90" s="10" t="s">
        <v>55</v>
      </c>
      <c r="E90" s="10" t="str">
        <f t="shared" si="9"/>
        <v>M</v>
      </c>
      <c r="F90" s="10" t="str">
        <f t="shared" si="10"/>
        <v>DJ</v>
      </c>
      <c r="G90" s="10" t="s">
        <v>56</v>
      </c>
      <c r="H90" s="4" t="s">
        <v>259</v>
      </c>
      <c r="I90" s="10" t="s">
        <v>78</v>
      </c>
      <c r="J90" s="4" t="str">
        <f t="shared" si="12"/>
        <v/>
      </c>
      <c r="K90" s="4">
        <v>1</v>
      </c>
      <c r="L90" s="43">
        <v>359000</v>
      </c>
      <c r="M90" s="78" t="s">
        <v>194</v>
      </c>
      <c r="N90" s="98" t="s">
        <v>261</v>
      </c>
      <c r="O90" s="10" t="s">
        <v>61</v>
      </c>
      <c r="P90" s="63">
        <v>100</v>
      </c>
      <c r="Q90" s="94" t="s">
        <v>119</v>
      </c>
      <c r="R90" s="63" t="s">
        <v>262</v>
      </c>
      <c r="S90" s="96" t="s">
        <v>263</v>
      </c>
      <c r="T90" s="10" t="s">
        <v>122</v>
      </c>
      <c r="U90" s="10" t="s">
        <v>207</v>
      </c>
      <c r="V90" s="10" t="s">
        <v>66</v>
      </c>
      <c r="W90" s="10"/>
      <c r="X90" s="9" t="s">
        <v>67</v>
      </c>
      <c r="Y90" s="10" t="s">
        <v>68</v>
      </c>
      <c r="Z90" s="94" t="s">
        <v>125</v>
      </c>
      <c r="AA90" s="94" t="s">
        <v>90</v>
      </c>
      <c r="AB90" s="9" t="s">
        <v>71</v>
      </c>
      <c r="AC90" s="10" t="s">
        <v>85</v>
      </c>
      <c r="AD90" s="10" t="s">
        <v>208</v>
      </c>
      <c r="AE90" s="65" t="s">
        <v>73</v>
      </c>
      <c r="AF90" s="39" t="s">
        <v>214</v>
      </c>
      <c r="AG90" s="10" t="s">
        <v>127</v>
      </c>
      <c r="AH90" s="4">
        <v>650</v>
      </c>
      <c r="AI90" s="11" t="s">
        <v>264</v>
      </c>
      <c r="AJ90" s="4" t="s">
        <v>241</v>
      </c>
      <c r="AK90" s="50">
        <v>15813</v>
      </c>
      <c r="AL90" s="43">
        <v>5676867000</v>
      </c>
      <c r="AM90" s="43">
        <v>1030</v>
      </c>
      <c r="AN90" s="43">
        <v>348782150</v>
      </c>
      <c r="AO90" s="43">
        <v>4914</v>
      </c>
      <c r="AP90" s="43">
        <v>1685687109</v>
      </c>
      <c r="AQ90" s="43">
        <v>13008</v>
      </c>
      <c r="AR90" s="43">
        <v>4435633808</v>
      </c>
      <c r="AS90" s="52">
        <f t="shared" si="13"/>
        <v>0.82261430468601782</v>
      </c>
    </row>
    <row r="91" spans="1:45" x14ac:dyDescent="0.3">
      <c r="A91" s="1" t="str">
        <f t="shared" si="8"/>
        <v>DMDJ61046CRS</v>
      </c>
      <c r="B91" s="32" t="s">
        <v>258</v>
      </c>
      <c r="C91" s="10" t="str">
        <f t="shared" si="11"/>
        <v>DJ610</v>
      </c>
      <c r="D91" s="10" t="s">
        <v>55</v>
      </c>
      <c r="E91" s="10" t="str">
        <f t="shared" si="9"/>
        <v>M</v>
      </c>
      <c r="F91" s="10" t="str">
        <f t="shared" si="10"/>
        <v>DJ</v>
      </c>
      <c r="G91" s="10" t="s">
        <v>56</v>
      </c>
      <c r="H91" s="4" t="s">
        <v>259</v>
      </c>
      <c r="I91" s="10" t="s">
        <v>79</v>
      </c>
      <c r="J91" s="4" t="str">
        <f t="shared" si="12"/>
        <v/>
      </c>
      <c r="K91" s="4">
        <v>1</v>
      </c>
      <c r="L91" s="43">
        <v>359000</v>
      </c>
      <c r="M91" s="78" t="s">
        <v>194</v>
      </c>
      <c r="N91" s="98" t="s">
        <v>261</v>
      </c>
      <c r="O91" s="10" t="s">
        <v>61</v>
      </c>
      <c r="P91" s="63">
        <v>100</v>
      </c>
      <c r="Q91" s="94" t="s">
        <v>119</v>
      </c>
      <c r="R91" s="63" t="s">
        <v>262</v>
      </c>
      <c r="S91" s="96" t="s">
        <v>263</v>
      </c>
      <c r="T91" s="10" t="s">
        <v>122</v>
      </c>
      <c r="U91" s="10" t="s">
        <v>207</v>
      </c>
      <c r="V91" s="10" t="s">
        <v>66</v>
      </c>
      <c r="W91" s="10"/>
      <c r="X91" s="9" t="s">
        <v>67</v>
      </c>
      <c r="Y91" s="10" t="s">
        <v>68</v>
      </c>
      <c r="Z91" s="94" t="s">
        <v>125</v>
      </c>
      <c r="AA91" s="94" t="s">
        <v>90</v>
      </c>
      <c r="AB91" s="9" t="s">
        <v>71</v>
      </c>
      <c r="AC91" s="10" t="s">
        <v>85</v>
      </c>
      <c r="AD91" s="10" t="s">
        <v>208</v>
      </c>
      <c r="AE91" s="65" t="s">
        <v>73</v>
      </c>
      <c r="AF91" s="39" t="s">
        <v>214</v>
      </c>
      <c r="AG91" s="10" t="s">
        <v>127</v>
      </c>
      <c r="AH91" s="4">
        <v>650</v>
      </c>
      <c r="AI91" s="11" t="s">
        <v>264</v>
      </c>
      <c r="AJ91" s="4" t="s">
        <v>241</v>
      </c>
      <c r="AK91" s="50">
        <v>1005</v>
      </c>
      <c r="AL91" s="43">
        <v>360795000</v>
      </c>
      <c r="AM91" s="43">
        <v>64</v>
      </c>
      <c r="AN91" s="43">
        <v>22860789</v>
      </c>
      <c r="AO91" s="43">
        <v>272</v>
      </c>
      <c r="AP91" s="43">
        <v>94154449</v>
      </c>
      <c r="AQ91" s="43">
        <v>564</v>
      </c>
      <c r="AR91" s="43">
        <v>194477164</v>
      </c>
      <c r="AS91" s="52">
        <f t="shared" si="13"/>
        <v>0.56119402985074629</v>
      </c>
    </row>
    <row r="92" spans="1:45" x14ac:dyDescent="0.3">
      <c r="A92" s="1" t="str">
        <f t="shared" si="8"/>
        <v>DMDJ61046MTS</v>
      </c>
      <c r="B92" s="32" t="s">
        <v>258</v>
      </c>
      <c r="C92" s="10" t="str">
        <f t="shared" si="11"/>
        <v>DJ610</v>
      </c>
      <c r="D92" s="10" t="s">
        <v>55</v>
      </c>
      <c r="E92" s="10" t="str">
        <f t="shared" si="9"/>
        <v>M</v>
      </c>
      <c r="F92" s="10" t="str">
        <f t="shared" si="10"/>
        <v>DJ</v>
      </c>
      <c r="G92" s="10" t="s">
        <v>56</v>
      </c>
      <c r="H92" s="4" t="s">
        <v>259</v>
      </c>
      <c r="I92" s="10" t="s">
        <v>265</v>
      </c>
      <c r="J92" s="4" t="str">
        <f t="shared" si="12"/>
        <v/>
      </c>
      <c r="K92" s="4">
        <v>1</v>
      </c>
      <c r="L92" s="43">
        <v>359000</v>
      </c>
      <c r="M92" s="78" t="s">
        <v>194</v>
      </c>
      <c r="N92" s="98" t="s">
        <v>261</v>
      </c>
      <c r="O92" s="10" t="s">
        <v>61</v>
      </c>
      <c r="P92" s="63">
        <v>100</v>
      </c>
      <c r="Q92" s="94" t="s">
        <v>119</v>
      </c>
      <c r="R92" s="63" t="s">
        <v>262</v>
      </c>
      <c r="S92" s="96" t="s">
        <v>263</v>
      </c>
      <c r="T92" s="10" t="s">
        <v>122</v>
      </c>
      <c r="U92" s="10" t="s">
        <v>207</v>
      </c>
      <c r="V92" s="10" t="s">
        <v>66</v>
      </c>
      <c r="W92" s="10"/>
      <c r="X92" s="9" t="s">
        <v>67</v>
      </c>
      <c r="Y92" s="10" t="s">
        <v>68</v>
      </c>
      <c r="Z92" s="94" t="s">
        <v>125</v>
      </c>
      <c r="AA92" s="94" t="s">
        <v>90</v>
      </c>
      <c r="AB92" s="9" t="s">
        <v>71</v>
      </c>
      <c r="AC92" s="10" t="s">
        <v>85</v>
      </c>
      <c r="AD92" s="10" t="s">
        <v>208</v>
      </c>
      <c r="AE92" s="65" t="s">
        <v>73</v>
      </c>
      <c r="AF92" s="39" t="s">
        <v>214</v>
      </c>
      <c r="AG92" s="10" t="s">
        <v>127</v>
      </c>
      <c r="AH92" s="4">
        <v>650</v>
      </c>
      <c r="AI92" s="11" t="s">
        <v>264</v>
      </c>
      <c r="AJ92" s="4" t="s">
        <v>241</v>
      </c>
      <c r="AK92" s="50">
        <v>1006</v>
      </c>
      <c r="AL92" s="43">
        <v>361154000</v>
      </c>
      <c r="AM92" s="43">
        <v>13</v>
      </c>
      <c r="AN92" s="43">
        <v>4513400</v>
      </c>
      <c r="AO92" s="43">
        <v>72</v>
      </c>
      <c r="AP92" s="43">
        <v>25242368</v>
      </c>
      <c r="AQ92" s="43">
        <v>178</v>
      </c>
      <c r="AR92" s="43">
        <v>61323414</v>
      </c>
      <c r="AS92" s="52">
        <f t="shared" si="13"/>
        <v>0.17693836978131214</v>
      </c>
    </row>
    <row r="93" spans="1:45" x14ac:dyDescent="0.3">
      <c r="A93" s="1" t="str">
        <f t="shared" si="8"/>
        <v>DMDJ61046BRD</v>
      </c>
      <c r="B93" s="32" t="s">
        <v>258</v>
      </c>
      <c r="C93" s="10" t="str">
        <f t="shared" si="11"/>
        <v>DJ610</v>
      </c>
      <c r="D93" s="10" t="s">
        <v>148</v>
      </c>
      <c r="E93" s="10" t="str">
        <f t="shared" si="9"/>
        <v>M</v>
      </c>
      <c r="F93" s="10" t="str">
        <f t="shared" si="10"/>
        <v>DJ</v>
      </c>
      <c r="G93" s="10" t="s">
        <v>56</v>
      </c>
      <c r="H93" s="4" t="s">
        <v>259</v>
      </c>
      <c r="I93" s="10" t="s">
        <v>159</v>
      </c>
      <c r="J93" s="4" t="str">
        <f t="shared" si="12"/>
        <v/>
      </c>
      <c r="K93" s="4">
        <v>1</v>
      </c>
      <c r="L93" s="43">
        <v>359000</v>
      </c>
      <c r="M93" s="78" t="s">
        <v>194</v>
      </c>
      <c r="N93" s="98" t="s">
        <v>261</v>
      </c>
      <c r="O93" s="10" t="s">
        <v>61</v>
      </c>
      <c r="P93" s="63">
        <v>100</v>
      </c>
      <c r="Q93" s="94" t="s">
        <v>119</v>
      </c>
      <c r="R93" s="63" t="s">
        <v>262</v>
      </c>
      <c r="S93" s="96" t="s">
        <v>263</v>
      </c>
      <c r="T93" s="10" t="s">
        <v>122</v>
      </c>
      <c r="U93" s="10" t="s">
        <v>207</v>
      </c>
      <c r="V93" s="10" t="s">
        <v>66</v>
      </c>
      <c r="W93" s="10"/>
      <c r="X93" s="9" t="s">
        <v>67</v>
      </c>
      <c r="Y93" s="10" t="s">
        <v>68</v>
      </c>
      <c r="Z93" s="94" t="s">
        <v>125</v>
      </c>
      <c r="AA93" s="94" t="s">
        <v>90</v>
      </c>
      <c r="AB93" s="9" t="s">
        <v>71</v>
      </c>
      <c r="AC93" s="10" t="s">
        <v>85</v>
      </c>
      <c r="AD93" s="10" t="s">
        <v>208</v>
      </c>
      <c r="AE93" s="65" t="s">
        <v>73</v>
      </c>
      <c r="AF93" s="39" t="s">
        <v>214</v>
      </c>
      <c r="AG93" s="10" t="s">
        <v>127</v>
      </c>
      <c r="AH93" s="4">
        <v>650</v>
      </c>
      <c r="AI93" s="11" t="s">
        <v>264</v>
      </c>
      <c r="AJ93" s="4" t="s">
        <v>241</v>
      </c>
      <c r="AK93" s="50">
        <v>1500</v>
      </c>
      <c r="AL93" s="43">
        <v>538500000</v>
      </c>
      <c r="AM93" s="43">
        <v>62</v>
      </c>
      <c r="AN93" s="43">
        <v>22149000</v>
      </c>
      <c r="AO93" s="43">
        <v>124</v>
      </c>
      <c r="AP93" s="43">
        <v>43965182</v>
      </c>
      <c r="AQ93" s="43">
        <v>671</v>
      </c>
      <c r="AR93" s="43">
        <v>228756387</v>
      </c>
      <c r="AS93" s="52">
        <f t="shared" si="13"/>
        <v>0.44733333333333336</v>
      </c>
    </row>
    <row r="94" spans="1:45" x14ac:dyDescent="0.3">
      <c r="A94" s="1" t="str">
        <f t="shared" si="8"/>
        <v>DWDJ62046GRL</v>
      </c>
      <c r="B94" s="32" t="s">
        <v>266</v>
      </c>
      <c r="C94" s="10" t="str">
        <f t="shared" si="11"/>
        <v>DJ620</v>
      </c>
      <c r="D94" s="10" t="s">
        <v>55</v>
      </c>
      <c r="E94" s="10" t="str">
        <f t="shared" si="9"/>
        <v>W</v>
      </c>
      <c r="F94" s="10" t="str">
        <f t="shared" si="10"/>
        <v>DJ</v>
      </c>
      <c r="G94" s="10" t="s">
        <v>56</v>
      </c>
      <c r="H94" s="4" t="s">
        <v>267</v>
      </c>
      <c r="I94" s="10" t="s">
        <v>113</v>
      </c>
      <c r="J94" s="4">
        <f t="shared" si="12"/>
        <v>1</v>
      </c>
      <c r="K94" s="4">
        <v>1</v>
      </c>
      <c r="L94" s="43">
        <v>359000</v>
      </c>
      <c r="M94" s="78" t="s">
        <v>194</v>
      </c>
      <c r="N94" s="98" t="s">
        <v>261</v>
      </c>
      <c r="O94" s="10" t="s">
        <v>61</v>
      </c>
      <c r="P94" s="63">
        <v>100</v>
      </c>
      <c r="Q94" s="94" t="s">
        <v>119</v>
      </c>
      <c r="R94" s="63" t="s">
        <v>262</v>
      </c>
      <c r="S94" s="96" t="s">
        <v>263</v>
      </c>
      <c r="T94" s="10" t="s">
        <v>122</v>
      </c>
      <c r="U94" s="10" t="s">
        <v>207</v>
      </c>
      <c r="V94" s="10" t="s">
        <v>66</v>
      </c>
      <c r="W94" s="10"/>
      <c r="X94" s="9" t="s">
        <v>67</v>
      </c>
      <c r="Y94" s="10" t="s">
        <v>68</v>
      </c>
      <c r="Z94" s="94" t="s">
        <v>125</v>
      </c>
      <c r="AA94" s="94" t="s">
        <v>90</v>
      </c>
      <c r="AB94" s="9" t="s">
        <v>71</v>
      </c>
      <c r="AC94" s="10" t="s">
        <v>85</v>
      </c>
      <c r="AD94" s="10" t="s">
        <v>208</v>
      </c>
      <c r="AE94" s="65" t="s">
        <v>73</v>
      </c>
      <c r="AF94" s="39" t="s">
        <v>268</v>
      </c>
      <c r="AG94" s="10" t="s">
        <v>127</v>
      </c>
      <c r="AH94" s="4">
        <v>650</v>
      </c>
      <c r="AI94" s="11" t="s">
        <v>264</v>
      </c>
      <c r="AJ94" s="4" t="s">
        <v>241</v>
      </c>
      <c r="AK94" s="50">
        <v>1507</v>
      </c>
      <c r="AL94" s="43">
        <v>541013000</v>
      </c>
      <c r="AM94" s="43">
        <v>88</v>
      </c>
      <c r="AN94" s="43">
        <v>30745191</v>
      </c>
      <c r="AO94" s="43">
        <v>525</v>
      </c>
      <c r="AP94" s="43">
        <v>184057710</v>
      </c>
      <c r="AQ94" s="43">
        <v>1112</v>
      </c>
      <c r="AR94" s="43">
        <v>385805661</v>
      </c>
      <c r="AS94" s="52">
        <f t="shared" si="13"/>
        <v>0.73788984737889851</v>
      </c>
    </row>
    <row r="95" spans="1:45" x14ac:dyDescent="0.3">
      <c r="A95" s="1" t="str">
        <f t="shared" si="8"/>
        <v>DWDJ62046BKS</v>
      </c>
      <c r="B95" s="32" t="s">
        <v>269</v>
      </c>
      <c r="C95" s="10" t="str">
        <f t="shared" si="11"/>
        <v>DJ620</v>
      </c>
      <c r="D95" s="10" t="s">
        <v>55</v>
      </c>
      <c r="E95" s="10" t="str">
        <f t="shared" si="9"/>
        <v>W</v>
      </c>
      <c r="F95" s="10" t="str">
        <f t="shared" si="10"/>
        <v>DJ</v>
      </c>
      <c r="G95" s="10" t="s">
        <v>56</v>
      </c>
      <c r="H95" s="4" t="s">
        <v>267</v>
      </c>
      <c r="I95" s="10" t="s">
        <v>78</v>
      </c>
      <c r="J95" s="4" t="str">
        <f t="shared" si="12"/>
        <v/>
      </c>
      <c r="K95" s="4">
        <v>1</v>
      </c>
      <c r="L95" s="43">
        <v>359000</v>
      </c>
      <c r="M95" s="78" t="s">
        <v>194</v>
      </c>
      <c r="N95" s="98" t="s">
        <v>261</v>
      </c>
      <c r="O95" s="10" t="s">
        <v>61</v>
      </c>
      <c r="P95" s="63">
        <v>100</v>
      </c>
      <c r="Q95" s="94" t="s">
        <v>119</v>
      </c>
      <c r="R95" s="63" t="s">
        <v>262</v>
      </c>
      <c r="S95" s="96" t="s">
        <v>263</v>
      </c>
      <c r="T95" s="10" t="s">
        <v>122</v>
      </c>
      <c r="U95" s="10" t="s">
        <v>207</v>
      </c>
      <c r="V95" s="10" t="s">
        <v>66</v>
      </c>
      <c r="W95" s="10"/>
      <c r="X95" s="9" t="s">
        <v>67</v>
      </c>
      <c r="Y95" s="10" t="s">
        <v>68</v>
      </c>
      <c r="Z95" s="94" t="s">
        <v>125</v>
      </c>
      <c r="AA95" s="94" t="s">
        <v>90</v>
      </c>
      <c r="AB95" s="9" t="s">
        <v>71</v>
      </c>
      <c r="AC95" s="10" t="s">
        <v>85</v>
      </c>
      <c r="AD95" s="10" t="s">
        <v>208</v>
      </c>
      <c r="AE95" s="65" t="s">
        <v>73</v>
      </c>
      <c r="AF95" s="39" t="s">
        <v>268</v>
      </c>
      <c r="AG95" s="10" t="s">
        <v>127</v>
      </c>
      <c r="AH95" s="4">
        <v>650</v>
      </c>
      <c r="AI95" s="11" t="s">
        <v>264</v>
      </c>
      <c r="AJ95" s="4" t="s">
        <v>241</v>
      </c>
      <c r="AK95" s="50">
        <v>11048</v>
      </c>
      <c r="AL95" s="43">
        <v>3966232000</v>
      </c>
      <c r="AM95" s="43">
        <v>756</v>
      </c>
      <c r="AN95" s="43">
        <v>258298273</v>
      </c>
      <c r="AO95" s="43">
        <v>3295</v>
      </c>
      <c r="AP95" s="43">
        <v>1147465870</v>
      </c>
      <c r="AQ95" s="43">
        <v>7955</v>
      </c>
      <c r="AR95" s="43">
        <v>2742808305</v>
      </c>
      <c r="AS95" s="52">
        <f t="shared" si="13"/>
        <v>0.7200398262128892</v>
      </c>
    </row>
    <row r="96" spans="1:45" x14ac:dyDescent="0.3">
      <c r="A96" s="1" t="str">
        <f t="shared" si="8"/>
        <v>DWDJ62046CRS</v>
      </c>
      <c r="B96" s="32" t="s">
        <v>269</v>
      </c>
      <c r="C96" s="10" t="str">
        <f t="shared" si="11"/>
        <v>DJ620</v>
      </c>
      <c r="D96" s="10" t="s">
        <v>55</v>
      </c>
      <c r="E96" s="10" t="str">
        <f t="shared" si="9"/>
        <v>W</v>
      </c>
      <c r="F96" s="10" t="str">
        <f t="shared" si="10"/>
        <v>DJ</v>
      </c>
      <c r="G96" s="10" t="s">
        <v>56</v>
      </c>
      <c r="H96" s="4" t="s">
        <v>267</v>
      </c>
      <c r="I96" s="10" t="s">
        <v>79</v>
      </c>
      <c r="J96" s="4" t="str">
        <f t="shared" si="12"/>
        <v/>
      </c>
      <c r="K96" s="4">
        <v>1</v>
      </c>
      <c r="L96" s="43">
        <v>359000</v>
      </c>
      <c r="M96" s="78" t="s">
        <v>194</v>
      </c>
      <c r="N96" s="98" t="s">
        <v>261</v>
      </c>
      <c r="O96" s="10" t="s">
        <v>61</v>
      </c>
      <c r="P96" s="63">
        <v>100</v>
      </c>
      <c r="Q96" s="94" t="s">
        <v>119</v>
      </c>
      <c r="R96" s="63" t="s">
        <v>262</v>
      </c>
      <c r="S96" s="96" t="s">
        <v>263</v>
      </c>
      <c r="T96" s="10" t="s">
        <v>122</v>
      </c>
      <c r="U96" s="10" t="s">
        <v>207</v>
      </c>
      <c r="V96" s="10" t="s">
        <v>66</v>
      </c>
      <c r="W96" s="10"/>
      <c r="X96" s="9" t="s">
        <v>67</v>
      </c>
      <c r="Y96" s="10" t="s">
        <v>68</v>
      </c>
      <c r="Z96" s="94" t="s">
        <v>125</v>
      </c>
      <c r="AA96" s="94" t="s">
        <v>90</v>
      </c>
      <c r="AB96" s="9" t="s">
        <v>71</v>
      </c>
      <c r="AC96" s="10" t="s">
        <v>85</v>
      </c>
      <c r="AD96" s="10" t="s">
        <v>208</v>
      </c>
      <c r="AE96" s="65" t="s">
        <v>73</v>
      </c>
      <c r="AF96" s="39" t="s">
        <v>268</v>
      </c>
      <c r="AG96" s="10" t="s">
        <v>127</v>
      </c>
      <c r="AH96" s="4">
        <v>650</v>
      </c>
      <c r="AI96" s="11" t="s">
        <v>264</v>
      </c>
      <c r="AJ96" s="4" t="s">
        <v>241</v>
      </c>
      <c r="AK96" s="50">
        <v>3019</v>
      </c>
      <c r="AL96" s="43">
        <v>1083821000</v>
      </c>
      <c r="AM96" s="43">
        <v>147</v>
      </c>
      <c r="AN96" s="43">
        <v>51865755</v>
      </c>
      <c r="AO96" s="43">
        <v>730</v>
      </c>
      <c r="AP96" s="43">
        <v>253678288</v>
      </c>
      <c r="AQ96" s="43">
        <v>1608</v>
      </c>
      <c r="AR96" s="43">
        <v>542438837</v>
      </c>
      <c r="AS96" s="52">
        <f t="shared" si="13"/>
        <v>0.53262669758198078</v>
      </c>
    </row>
    <row r="97" spans="1:45" x14ac:dyDescent="0.3">
      <c r="A97" s="1" t="str">
        <f t="shared" si="8"/>
        <v>DWDJ62046BGD</v>
      </c>
      <c r="B97" s="32" t="s">
        <v>269</v>
      </c>
      <c r="C97" s="10" t="str">
        <f t="shared" si="11"/>
        <v>DJ620</v>
      </c>
      <c r="D97" s="10" t="s">
        <v>55</v>
      </c>
      <c r="E97" s="10" t="str">
        <f t="shared" si="9"/>
        <v>W</v>
      </c>
      <c r="F97" s="10" t="str">
        <f t="shared" si="10"/>
        <v>DJ</v>
      </c>
      <c r="G97" s="10" t="s">
        <v>56</v>
      </c>
      <c r="H97" s="4" t="s">
        <v>267</v>
      </c>
      <c r="I97" s="10" t="s">
        <v>260</v>
      </c>
      <c r="J97" s="4" t="str">
        <f t="shared" si="12"/>
        <v/>
      </c>
      <c r="K97" s="4">
        <v>1</v>
      </c>
      <c r="L97" s="43">
        <v>359000</v>
      </c>
      <c r="M97" s="78" t="s">
        <v>194</v>
      </c>
      <c r="N97" s="98" t="s">
        <v>261</v>
      </c>
      <c r="O97" s="10" t="s">
        <v>61</v>
      </c>
      <c r="P97" s="63">
        <v>100</v>
      </c>
      <c r="Q97" s="94" t="s">
        <v>119</v>
      </c>
      <c r="R97" s="63" t="s">
        <v>262</v>
      </c>
      <c r="S97" s="96" t="s">
        <v>263</v>
      </c>
      <c r="T97" s="10" t="s">
        <v>122</v>
      </c>
      <c r="U97" s="10" t="s">
        <v>207</v>
      </c>
      <c r="V97" s="10" t="s">
        <v>66</v>
      </c>
      <c r="W97" s="10"/>
      <c r="X97" s="9" t="s">
        <v>67</v>
      </c>
      <c r="Y97" s="10" t="s">
        <v>68</v>
      </c>
      <c r="Z97" s="94" t="s">
        <v>125</v>
      </c>
      <c r="AA97" s="94" t="s">
        <v>90</v>
      </c>
      <c r="AB97" s="9" t="s">
        <v>71</v>
      </c>
      <c r="AC97" s="10" t="s">
        <v>85</v>
      </c>
      <c r="AD97" s="10" t="s">
        <v>208</v>
      </c>
      <c r="AE97" s="65" t="s">
        <v>73</v>
      </c>
      <c r="AF97" s="39" t="s">
        <v>268</v>
      </c>
      <c r="AG97" s="10" t="s">
        <v>127</v>
      </c>
      <c r="AH97" s="4">
        <v>650</v>
      </c>
      <c r="AI97" s="11" t="s">
        <v>264</v>
      </c>
      <c r="AJ97" s="4" t="s">
        <v>241</v>
      </c>
      <c r="AK97" s="50">
        <v>1504</v>
      </c>
      <c r="AL97" s="43">
        <v>539936000</v>
      </c>
      <c r="AM97" s="43">
        <v>35</v>
      </c>
      <c r="AN97" s="43">
        <v>12482594</v>
      </c>
      <c r="AO97" s="43">
        <v>175</v>
      </c>
      <c r="AP97" s="43">
        <v>61919437</v>
      </c>
      <c r="AQ97" s="43">
        <v>494</v>
      </c>
      <c r="AR97" s="43">
        <v>171664769</v>
      </c>
      <c r="AS97" s="52">
        <f t="shared" si="13"/>
        <v>0.32845744680851063</v>
      </c>
    </row>
    <row r="98" spans="1:45" x14ac:dyDescent="0.3">
      <c r="A98" s="1" t="str">
        <f t="shared" si="8"/>
        <v>DWDJ62046BRL</v>
      </c>
      <c r="B98" s="32" t="s">
        <v>269</v>
      </c>
      <c r="C98" s="10" t="str">
        <f t="shared" si="11"/>
        <v>DJ620</v>
      </c>
      <c r="D98" s="10" t="s">
        <v>55</v>
      </c>
      <c r="E98" s="10" t="str">
        <f t="shared" si="9"/>
        <v>W</v>
      </c>
      <c r="F98" s="10" t="str">
        <f t="shared" si="10"/>
        <v>DJ</v>
      </c>
      <c r="G98" s="10" t="s">
        <v>56</v>
      </c>
      <c r="H98" s="4" t="s">
        <v>267</v>
      </c>
      <c r="I98" s="10" t="s">
        <v>138</v>
      </c>
      <c r="J98" s="4" t="str">
        <f t="shared" si="12"/>
        <v/>
      </c>
      <c r="K98" s="4">
        <v>1</v>
      </c>
      <c r="L98" s="43">
        <v>359000</v>
      </c>
      <c r="M98" s="78" t="s">
        <v>194</v>
      </c>
      <c r="N98" s="98" t="s">
        <v>261</v>
      </c>
      <c r="O98" s="10" t="s">
        <v>61</v>
      </c>
      <c r="P98" s="63">
        <v>100</v>
      </c>
      <c r="Q98" s="94" t="s">
        <v>119</v>
      </c>
      <c r="R98" s="63" t="s">
        <v>262</v>
      </c>
      <c r="S98" s="96" t="s">
        <v>263</v>
      </c>
      <c r="T98" s="10" t="s">
        <v>122</v>
      </c>
      <c r="U98" s="10" t="s">
        <v>207</v>
      </c>
      <c r="V98" s="10" t="s">
        <v>66</v>
      </c>
      <c r="W98" s="10"/>
      <c r="X98" s="9" t="s">
        <v>67</v>
      </c>
      <c r="Y98" s="10" t="s">
        <v>68</v>
      </c>
      <c r="Z98" s="94" t="s">
        <v>125</v>
      </c>
      <c r="AA98" s="94" t="s">
        <v>90</v>
      </c>
      <c r="AB98" s="9" t="s">
        <v>71</v>
      </c>
      <c r="AC98" s="10" t="s">
        <v>85</v>
      </c>
      <c r="AD98" s="10" t="s">
        <v>208</v>
      </c>
      <c r="AE98" s="65" t="s">
        <v>73</v>
      </c>
      <c r="AF98" s="39" t="s">
        <v>268</v>
      </c>
      <c r="AG98" s="10" t="s">
        <v>127</v>
      </c>
      <c r="AH98" s="4">
        <v>650</v>
      </c>
      <c r="AI98" s="11" t="s">
        <v>264</v>
      </c>
      <c r="AJ98" s="4" t="s">
        <v>241</v>
      </c>
      <c r="AK98" s="50">
        <v>1005</v>
      </c>
      <c r="AL98" s="43">
        <v>360795000</v>
      </c>
      <c r="AM98" s="43">
        <v>56</v>
      </c>
      <c r="AN98" s="43">
        <v>19786600</v>
      </c>
      <c r="AO98" s="43">
        <v>330</v>
      </c>
      <c r="AP98" s="43">
        <v>116101679</v>
      </c>
      <c r="AQ98" s="43">
        <v>666</v>
      </c>
      <c r="AR98" s="43">
        <v>230482615</v>
      </c>
      <c r="AS98" s="52">
        <f t="shared" si="13"/>
        <v>0.66268656716417906</v>
      </c>
    </row>
    <row r="99" spans="1:45" x14ac:dyDescent="0.3">
      <c r="A99" s="1" t="str">
        <f t="shared" si="8"/>
        <v>DWDJ62046BRD</v>
      </c>
      <c r="B99" s="32" t="s">
        <v>269</v>
      </c>
      <c r="C99" s="10" t="str">
        <f t="shared" si="11"/>
        <v>DJ620</v>
      </c>
      <c r="D99" s="10" t="s">
        <v>148</v>
      </c>
      <c r="E99" s="10" t="str">
        <f t="shared" si="9"/>
        <v>W</v>
      </c>
      <c r="F99" s="10" t="str">
        <f t="shared" si="10"/>
        <v>DJ</v>
      </c>
      <c r="G99" s="10" t="s">
        <v>56</v>
      </c>
      <c r="H99" s="4" t="s">
        <v>267</v>
      </c>
      <c r="I99" s="10" t="s">
        <v>159</v>
      </c>
      <c r="J99" s="4" t="str">
        <f t="shared" si="12"/>
        <v/>
      </c>
      <c r="K99" s="4">
        <v>1</v>
      </c>
      <c r="L99" s="43">
        <v>359000</v>
      </c>
      <c r="M99" s="78" t="s">
        <v>194</v>
      </c>
      <c r="N99" s="98" t="s">
        <v>261</v>
      </c>
      <c r="O99" s="10" t="s">
        <v>61</v>
      </c>
      <c r="P99" s="63">
        <v>100</v>
      </c>
      <c r="Q99" s="94" t="s">
        <v>119</v>
      </c>
      <c r="R99" s="63" t="s">
        <v>262</v>
      </c>
      <c r="S99" s="96" t="s">
        <v>263</v>
      </c>
      <c r="T99" s="10" t="s">
        <v>122</v>
      </c>
      <c r="U99" s="10" t="s">
        <v>207</v>
      </c>
      <c r="V99" s="10" t="s">
        <v>66</v>
      </c>
      <c r="W99" s="10"/>
      <c r="X99" s="9" t="s">
        <v>67</v>
      </c>
      <c r="Y99" s="10" t="s">
        <v>68</v>
      </c>
      <c r="Z99" s="94" t="s">
        <v>125</v>
      </c>
      <c r="AA99" s="94" t="s">
        <v>90</v>
      </c>
      <c r="AB99" s="9" t="s">
        <v>71</v>
      </c>
      <c r="AC99" s="10" t="s">
        <v>85</v>
      </c>
      <c r="AD99" s="10" t="s">
        <v>208</v>
      </c>
      <c r="AE99" s="65" t="s">
        <v>73</v>
      </c>
      <c r="AF99" s="39" t="s">
        <v>268</v>
      </c>
      <c r="AG99" s="10" t="s">
        <v>127</v>
      </c>
      <c r="AH99" s="4">
        <v>650</v>
      </c>
      <c r="AI99" s="11" t="s">
        <v>264</v>
      </c>
      <c r="AJ99" s="4" t="s">
        <v>241</v>
      </c>
      <c r="AK99" s="50">
        <v>1000</v>
      </c>
      <c r="AL99" s="43">
        <v>359000000</v>
      </c>
      <c r="AM99" s="43">
        <v>43</v>
      </c>
      <c r="AN99" s="43">
        <v>15192200</v>
      </c>
      <c r="AO99" s="43">
        <v>95</v>
      </c>
      <c r="AP99" s="43">
        <v>33573556</v>
      </c>
      <c r="AQ99" s="43">
        <v>414</v>
      </c>
      <c r="AR99" s="43">
        <v>144377892</v>
      </c>
      <c r="AS99" s="52">
        <f t="shared" si="13"/>
        <v>0.41399999999999998</v>
      </c>
    </row>
    <row r="100" spans="1:45" x14ac:dyDescent="0.3">
      <c r="A100" s="1" t="str">
        <f t="shared" si="8"/>
        <v>DMDJ63046OLD</v>
      </c>
      <c r="B100" s="32" t="s">
        <v>270</v>
      </c>
      <c r="C100" s="10" t="str">
        <f t="shared" si="11"/>
        <v>DJ630</v>
      </c>
      <c r="D100" s="10" t="s">
        <v>55</v>
      </c>
      <c r="E100" s="10" t="str">
        <f t="shared" si="9"/>
        <v>M</v>
      </c>
      <c r="F100" s="10" t="str">
        <f t="shared" si="10"/>
        <v>DJ</v>
      </c>
      <c r="G100" s="10" t="s">
        <v>56</v>
      </c>
      <c r="H100" s="4" t="s">
        <v>271</v>
      </c>
      <c r="I100" s="10" t="s">
        <v>209</v>
      </c>
      <c r="J100" s="4">
        <f t="shared" si="12"/>
        <v>1</v>
      </c>
      <c r="K100" s="4">
        <v>1</v>
      </c>
      <c r="L100" s="43">
        <v>349000</v>
      </c>
      <c r="M100" s="78" t="s">
        <v>194</v>
      </c>
      <c r="N100" s="98" t="s">
        <v>272</v>
      </c>
      <c r="O100" s="10" t="s">
        <v>61</v>
      </c>
      <c r="P100" s="63">
        <v>100</v>
      </c>
      <c r="Q100" s="94" t="s">
        <v>119</v>
      </c>
      <c r="R100" s="63" t="s">
        <v>205</v>
      </c>
      <c r="S100" s="96" t="s">
        <v>263</v>
      </c>
      <c r="T100" s="10" t="s">
        <v>122</v>
      </c>
      <c r="U100" s="10" t="s">
        <v>207</v>
      </c>
      <c r="V100" s="10" t="s">
        <v>66</v>
      </c>
      <c r="W100" s="10"/>
      <c r="X100" s="9" t="s">
        <v>67</v>
      </c>
      <c r="Y100" s="10" t="s">
        <v>68</v>
      </c>
      <c r="Z100" s="94" t="s">
        <v>125</v>
      </c>
      <c r="AA100" s="94" t="s">
        <v>90</v>
      </c>
      <c r="AB100" s="9" t="s">
        <v>71</v>
      </c>
      <c r="AC100" s="10" t="s">
        <v>85</v>
      </c>
      <c r="AD100" s="10" t="s">
        <v>208</v>
      </c>
      <c r="AE100" s="65" t="s">
        <v>73</v>
      </c>
      <c r="AF100" s="39" t="s">
        <v>273</v>
      </c>
      <c r="AG100" s="10" t="s">
        <v>127</v>
      </c>
      <c r="AH100" s="4">
        <v>650</v>
      </c>
      <c r="AI100" s="11" t="s">
        <v>264</v>
      </c>
      <c r="AJ100" s="4" t="s">
        <v>241</v>
      </c>
      <c r="AK100" s="50">
        <v>1005</v>
      </c>
      <c r="AL100" s="43">
        <v>350745000</v>
      </c>
      <c r="AM100" s="43">
        <v>35</v>
      </c>
      <c r="AN100" s="43">
        <v>12073805</v>
      </c>
      <c r="AO100" s="43">
        <v>188</v>
      </c>
      <c r="AP100" s="43">
        <v>64401555</v>
      </c>
      <c r="AQ100" s="43">
        <v>403</v>
      </c>
      <c r="AR100" s="43">
        <v>135571792</v>
      </c>
      <c r="AS100" s="52">
        <f t="shared" si="13"/>
        <v>0.40099502487562189</v>
      </c>
    </row>
    <row r="101" spans="1:45" x14ac:dyDescent="0.3">
      <c r="A101" s="1" t="str">
        <f t="shared" si="8"/>
        <v>DMDJ63046GRL</v>
      </c>
      <c r="B101" s="32" t="s">
        <v>270</v>
      </c>
      <c r="C101" s="10" t="str">
        <f t="shared" si="11"/>
        <v>DJ630</v>
      </c>
      <c r="D101" s="10" t="s">
        <v>55</v>
      </c>
      <c r="E101" s="10" t="str">
        <f t="shared" si="9"/>
        <v>M</v>
      </c>
      <c r="F101" s="10" t="str">
        <f t="shared" si="10"/>
        <v>DJ</v>
      </c>
      <c r="G101" s="10" t="s">
        <v>56</v>
      </c>
      <c r="H101" s="4" t="s">
        <v>271</v>
      </c>
      <c r="I101" s="10" t="s">
        <v>113</v>
      </c>
      <c r="J101" s="4" t="str">
        <f t="shared" si="12"/>
        <v/>
      </c>
      <c r="K101" s="4">
        <v>1</v>
      </c>
      <c r="L101" s="43">
        <v>349000</v>
      </c>
      <c r="M101" s="78" t="s">
        <v>194</v>
      </c>
      <c r="N101" s="98" t="s">
        <v>272</v>
      </c>
      <c r="O101" s="10" t="s">
        <v>61</v>
      </c>
      <c r="P101" s="63">
        <v>100</v>
      </c>
      <c r="Q101" s="94" t="s">
        <v>119</v>
      </c>
      <c r="R101" s="63" t="s">
        <v>205</v>
      </c>
      <c r="S101" s="96" t="s">
        <v>263</v>
      </c>
      <c r="T101" s="10" t="s">
        <v>122</v>
      </c>
      <c r="U101" s="10" t="s">
        <v>207</v>
      </c>
      <c r="V101" s="10" t="s">
        <v>66</v>
      </c>
      <c r="W101" s="10"/>
      <c r="X101" s="9" t="s">
        <v>67</v>
      </c>
      <c r="Y101" s="10" t="s">
        <v>68</v>
      </c>
      <c r="Z101" s="94" t="s">
        <v>125</v>
      </c>
      <c r="AA101" s="94" t="s">
        <v>90</v>
      </c>
      <c r="AB101" s="9" t="s">
        <v>71</v>
      </c>
      <c r="AC101" s="10" t="s">
        <v>85</v>
      </c>
      <c r="AD101" s="10" t="s">
        <v>208</v>
      </c>
      <c r="AE101" s="65" t="s">
        <v>73</v>
      </c>
      <c r="AF101" s="39" t="s">
        <v>273</v>
      </c>
      <c r="AG101" s="10" t="s">
        <v>127</v>
      </c>
      <c r="AH101" s="4">
        <v>650</v>
      </c>
      <c r="AI101" s="11" t="s">
        <v>264</v>
      </c>
      <c r="AJ101" s="4" t="s">
        <v>241</v>
      </c>
      <c r="AK101" s="50">
        <v>3020</v>
      </c>
      <c r="AL101" s="43">
        <v>1053980000</v>
      </c>
      <c r="AM101" s="43">
        <v>125</v>
      </c>
      <c r="AN101" s="43">
        <v>43370128</v>
      </c>
      <c r="AO101" s="43">
        <v>541</v>
      </c>
      <c r="AP101" s="43">
        <v>185095596</v>
      </c>
      <c r="AQ101" s="43">
        <v>1374</v>
      </c>
      <c r="AR101" s="43">
        <v>462501424</v>
      </c>
      <c r="AS101" s="52">
        <f t="shared" si="13"/>
        <v>0.45496688741721852</v>
      </c>
    </row>
    <row r="102" spans="1:45" x14ac:dyDescent="0.3">
      <c r="A102" s="1" t="str">
        <f t="shared" si="8"/>
        <v>DMDJ63046IVD</v>
      </c>
      <c r="B102" s="32" t="s">
        <v>270</v>
      </c>
      <c r="C102" s="10" t="str">
        <f t="shared" si="11"/>
        <v>DJ630</v>
      </c>
      <c r="D102" s="10" t="s">
        <v>55</v>
      </c>
      <c r="E102" s="10" t="str">
        <f t="shared" si="9"/>
        <v>M</v>
      </c>
      <c r="F102" s="10" t="str">
        <f t="shared" si="10"/>
        <v>DJ</v>
      </c>
      <c r="G102" s="10" t="s">
        <v>56</v>
      </c>
      <c r="H102" s="4" t="s">
        <v>271</v>
      </c>
      <c r="I102" s="10" t="s">
        <v>105</v>
      </c>
      <c r="J102" s="4" t="str">
        <f t="shared" si="12"/>
        <v/>
      </c>
      <c r="K102" s="4">
        <v>1</v>
      </c>
      <c r="L102" s="43">
        <v>349000</v>
      </c>
      <c r="M102" s="78" t="s">
        <v>194</v>
      </c>
      <c r="N102" s="98" t="s">
        <v>272</v>
      </c>
      <c r="O102" s="10" t="s">
        <v>61</v>
      </c>
      <c r="P102" s="63">
        <v>100</v>
      </c>
      <c r="Q102" s="94" t="s">
        <v>119</v>
      </c>
      <c r="R102" s="63" t="s">
        <v>205</v>
      </c>
      <c r="S102" s="96" t="s">
        <v>263</v>
      </c>
      <c r="T102" s="10" t="s">
        <v>122</v>
      </c>
      <c r="U102" s="10" t="s">
        <v>207</v>
      </c>
      <c r="V102" s="10" t="s">
        <v>66</v>
      </c>
      <c r="W102" s="10"/>
      <c r="X102" s="9" t="s">
        <v>67</v>
      </c>
      <c r="Y102" s="10" t="s">
        <v>68</v>
      </c>
      <c r="Z102" s="94" t="s">
        <v>125</v>
      </c>
      <c r="AA102" s="94" t="s">
        <v>90</v>
      </c>
      <c r="AB102" s="9" t="s">
        <v>71</v>
      </c>
      <c r="AC102" s="10" t="s">
        <v>85</v>
      </c>
      <c r="AD102" s="10" t="s">
        <v>208</v>
      </c>
      <c r="AE102" s="65" t="s">
        <v>73</v>
      </c>
      <c r="AF102" s="39" t="s">
        <v>273</v>
      </c>
      <c r="AG102" s="10" t="s">
        <v>127</v>
      </c>
      <c r="AH102" s="4">
        <v>650</v>
      </c>
      <c r="AI102" s="11" t="s">
        <v>264</v>
      </c>
      <c r="AJ102" s="4" t="s">
        <v>241</v>
      </c>
      <c r="AK102" s="50">
        <v>3018</v>
      </c>
      <c r="AL102" s="43">
        <v>1053282000</v>
      </c>
      <c r="AM102" s="43">
        <v>76</v>
      </c>
      <c r="AN102" s="43">
        <v>26434070</v>
      </c>
      <c r="AO102" s="43">
        <v>282</v>
      </c>
      <c r="AP102" s="43">
        <v>97204164</v>
      </c>
      <c r="AQ102" s="43">
        <v>788</v>
      </c>
      <c r="AR102" s="43">
        <v>266818448</v>
      </c>
      <c r="AS102" s="52">
        <f t="shared" si="13"/>
        <v>0.26110006626905236</v>
      </c>
    </row>
    <row r="103" spans="1:45" x14ac:dyDescent="0.3">
      <c r="A103" s="1" t="str">
        <f t="shared" si="8"/>
        <v>DMDJ63046BGS</v>
      </c>
      <c r="B103" s="32" t="s">
        <v>270</v>
      </c>
      <c r="C103" s="10" t="str">
        <f t="shared" si="11"/>
        <v>DJ630</v>
      </c>
      <c r="D103" s="10" t="s">
        <v>55</v>
      </c>
      <c r="E103" s="10" t="str">
        <f t="shared" si="9"/>
        <v>M</v>
      </c>
      <c r="F103" s="10" t="str">
        <f t="shared" si="10"/>
        <v>DJ</v>
      </c>
      <c r="G103" s="10" t="s">
        <v>56</v>
      </c>
      <c r="H103" s="4" t="s">
        <v>271</v>
      </c>
      <c r="I103" s="10" t="s">
        <v>82</v>
      </c>
      <c r="J103" s="4" t="str">
        <f t="shared" si="12"/>
        <v/>
      </c>
      <c r="K103" s="4">
        <v>1</v>
      </c>
      <c r="L103" s="43">
        <v>349000</v>
      </c>
      <c r="M103" s="78" t="s">
        <v>194</v>
      </c>
      <c r="N103" s="98" t="s">
        <v>272</v>
      </c>
      <c r="O103" s="10" t="s">
        <v>61</v>
      </c>
      <c r="P103" s="63">
        <v>100</v>
      </c>
      <c r="Q103" s="94" t="s">
        <v>119</v>
      </c>
      <c r="R103" s="63" t="s">
        <v>205</v>
      </c>
      <c r="S103" s="96" t="s">
        <v>263</v>
      </c>
      <c r="T103" s="10" t="s">
        <v>122</v>
      </c>
      <c r="U103" s="10" t="s">
        <v>207</v>
      </c>
      <c r="V103" s="10" t="s">
        <v>66</v>
      </c>
      <c r="W103" s="10"/>
      <c r="X103" s="9" t="s">
        <v>67</v>
      </c>
      <c r="Y103" s="10" t="s">
        <v>68</v>
      </c>
      <c r="Z103" s="94" t="s">
        <v>125</v>
      </c>
      <c r="AA103" s="94" t="s">
        <v>90</v>
      </c>
      <c r="AB103" s="9" t="s">
        <v>71</v>
      </c>
      <c r="AC103" s="10" t="s">
        <v>85</v>
      </c>
      <c r="AD103" s="10" t="s">
        <v>208</v>
      </c>
      <c r="AE103" s="65" t="s">
        <v>73</v>
      </c>
      <c r="AF103" s="39" t="s">
        <v>273</v>
      </c>
      <c r="AG103" s="10" t="s">
        <v>127</v>
      </c>
      <c r="AH103" s="4">
        <v>650</v>
      </c>
      <c r="AI103" s="11" t="s">
        <v>264</v>
      </c>
      <c r="AJ103" s="4" t="s">
        <v>241</v>
      </c>
      <c r="AK103" s="50">
        <v>2012</v>
      </c>
      <c r="AL103" s="43">
        <v>702188000</v>
      </c>
      <c r="AM103" s="43">
        <v>59</v>
      </c>
      <c r="AN103" s="43">
        <v>20258015</v>
      </c>
      <c r="AO103" s="43">
        <v>266</v>
      </c>
      <c r="AP103" s="43">
        <v>86611848</v>
      </c>
      <c r="AQ103" s="43">
        <v>697</v>
      </c>
      <c r="AR103" s="43">
        <v>229900298</v>
      </c>
      <c r="AS103" s="52">
        <f t="shared" si="13"/>
        <v>0.34642147117296224</v>
      </c>
    </row>
    <row r="104" spans="1:45" x14ac:dyDescent="0.3">
      <c r="A104" s="1" t="str">
        <f t="shared" si="8"/>
        <v>DMDJ63046BKS</v>
      </c>
      <c r="B104" s="32" t="s">
        <v>270</v>
      </c>
      <c r="C104" s="10" t="str">
        <f t="shared" si="11"/>
        <v>DJ630</v>
      </c>
      <c r="D104" s="10" t="s">
        <v>55</v>
      </c>
      <c r="E104" s="10" t="str">
        <f t="shared" si="9"/>
        <v>M</v>
      </c>
      <c r="F104" s="10" t="str">
        <f t="shared" si="10"/>
        <v>DJ</v>
      </c>
      <c r="G104" s="10" t="s">
        <v>56</v>
      </c>
      <c r="H104" s="4" t="s">
        <v>271</v>
      </c>
      <c r="I104" s="10" t="s">
        <v>78</v>
      </c>
      <c r="J104" s="4" t="str">
        <f t="shared" si="12"/>
        <v/>
      </c>
      <c r="K104" s="4">
        <v>1</v>
      </c>
      <c r="L104" s="43">
        <v>349000</v>
      </c>
      <c r="M104" s="78" t="s">
        <v>194</v>
      </c>
      <c r="N104" s="98" t="s">
        <v>272</v>
      </c>
      <c r="O104" s="10" t="s">
        <v>61</v>
      </c>
      <c r="P104" s="63">
        <v>100</v>
      </c>
      <c r="Q104" s="94" t="s">
        <v>119</v>
      </c>
      <c r="R104" s="63" t="s">
        <v>205</v>
      </c>
      <c r="S104" s="96" t="s">
        <v>263</v>
      </c>
      <c r="T104" s="10" t="s">
        <v>122</v>
      </c>
      <c r="U104" s="10" t="s">
        <v>207</v>
      </c>
      <c r="V104" s="10" t="s">
        <v>66</v>
      </c>
      <c r="W104" s="10"/>
      <c r="X104" s="9" t="s">
        <v>67</v>
      </c>
      <c r="Y104" s="10" t="s">
        <v>68</v>
      </c>
      <c r="Z104" s="94" t="s">
        <v>125</v>
      </c>
      <c r="AA104" s="94" t="s">
        <v>90</v>
      </c>
      <c r="AB104" s="9" t="s">
        <v>71</v>
      </c>
      <c r="AC104" s="10" t="s">
        <v>85</v>
      </c>
      <c r="AD104" s="10" t="s">
        <v>208</v>
      </c>
      <c r="AE104" s="65" t="s">
        <v>73</v>
      </c>
      <c r="AF104" s="39" t="s">
        <v>273</v>
      </c>
      <c r="AG104" s="10" t="s">
        <v>127</v>
      </c>
      <c r="AH104" s="4">
        <v>650</v>
      </c>
      <c r="AI104" s="11" t="s">
        <v>264</v>
      </c>
      <c r="AJ104" s="4" t="s">
        <v>241</v>
      </c>
      <c r="AK104" s="50">
        <v>11556</v>
      </c>
      <c r="AL104" s="43">
        <v>4033044000</v>
      </c>
      <c r="AM104" s="43">
        <v>920</v>
      </c>
      <c r="AN104" s="43">
        <v>312381064</v>
      </c>
      <c r="AO104" s="43">
        <v>3501</v>
      </c>
      <c r="AP104" s="43">
        <v>1185120051</v>
      </c>
      <c r="AQ104" s="43">
        <v>8930</v>
      </c>
      <c r="AR104" s="43">
        <v>2981769590</v>
      </c>
      <c r="AS104" s="52">
        <f t="shared" si="13"/>
        <v>0.77275874004845968</v>
      </c>
    </row>
    <row r="105" spans="1:45" x14ac:dyDescent="0.3">
      <c r="A105" s="1" t="str">
        <f t="shared" si="8"/>
        <v>DWDJ64046LDS</v>
      </c>
      <c r="B105" s="32" t="s">
        <v>274</v>
      </c>
      <c r="C105" s="10" t="str">
        <f t="shared" si="11"/>
        <v>DJ640</v>
      </c>
      <c r="D105" s="10" t="s">
        <v>55</v>
      </c>
      <c r="E105" s="10" t="str">
        <f t="shared" si="9"/>
        <v>W</v>
      </c>
      <c r="F105" s="10" t="str">
        <f t="shared" si="10"/>
        <v>DJ</v>
      </c>
      <c r="G105" s="10" t="s">
        <v>56</v>
      </c>
      <c r="H105" s="4" t="s">
        <v>275</v>
      </c>
      <c r="I105" s="10" t="s">
        <v>139</v>
      </c>
      <c r="J105" s="4">
        <f t="shared" si="12"/>
        <v>1</v>
      </c>
      <c r="K105" s="4">
        <v>1</v>
      </c>
      <c r="L105" s="43">
        <v>349000</v>
      </c>
      <c r="M105" s="78" t="s">
        <v>194</v>
      </c>
      <c r="N105" s="98" t="s">
        <v>272</v>
      </c>
      <c r="O105" s="10" t="s">
        <v>61</v>
      </c>
      <c r="P105" s="63">
        <v>100</v>
      </c>
      <c r="Q105" s="94" t="s">
        <v>119</v>
      </c>
      <c r="R105" s="63" t="s">
        <v>205</v>
      </c>
      <c r="S105" s="96" t="s">
        <v>263</v>
      </c>
      <c r="T105" s="10" t="s">
        <v>122</v>
      </c>
      <c r="U105" s="10" t="s">
        <v>207</v>
      </c>
      <c r="V105" s="10" t="s">
        <v>66</v>
      </c>
      <c r="W105" s="10"/>
      <c r="X105" s="9" t="s">
        <v>67</v>
      </c>
      <c r="Y105" s="10" t="s">
        <v>68</v>
      </c>
      <c r="Z105" s="94" t="s">
        <v>125</v>
      </c>
      <c r="AA105" s="94" t="s">
        <v>90</v>
      </c>
      <c r="AB105" s="9" t="s">
        <v>71</v>
      </c>
      <c r="AC105" s="10" t="s">
        <v>85</v>
      </c>
      <c r="AD105" s="10" t="s">
        <v>208</v>
      </c>
      <c r="AE105" s="65" t="s">
        <v>73</v>
      </c>
      <c r="AF105" s="39" t="s">
        <v>276</v>
      </c>
      <c r="AG105" s="10" t="s">
        <v>127</v>
      </c>
      <c r="AH105" s="4">
        <v>650</v>
      </c>
      <c r="AI105" s="11" t="s">
        <v>264</v>
      </c>
      <c r="AJ105" s="4" t="s">
        <v>241</v>
      </c>
      <c r="AK105" s="50">
        <v>1005</v>
      </c>
      <c r="AL105" s="43">
        <v>350745000</v>
      </c>
      <c r="AM105" s="43">
        <v>12</v>
      </c>
      <c r="AN105" s="43">
        <v>4178000</v>
      </c>
      <c r="AO105" s="43">
        <v>46</v>
      </c>
      <c r="AP105" s="43">
        <v>16035200</v>
      </c>
      <c r="AQ105" s="43">
        <v>107</v>
      </c>
      <c r="AR105" s="43">
        <v>36885000</v>
      </c>
      <c r="AS105" s="52">
        <f t="shared" si="13"/>
        <v>0.10646766169154229</v>
      </c>
    </row>
    <row r="106" spans="1:45" x14ac:dyDescent="0.3">
      <c r="A106" s="1" t="str">
        <f t="shared" si="8"/>
        <v>DWDJ64046BGS</v>
      </c>
      <c r="B106" s="32" t="s">
        <v>274</v>
      </c>
      <c r="C106" s="10" t="str">
        <f t="shared" si="11"/>
        <v>DJ640</v>
      </c>
      <c r="D106" s="10" t="s">
        <v>55</v>
      </c>
      <c r="E106" s="10" t="str">
        <f t="shared" si="9"/>
        <v>W</v>
      </c>
      <c r="F106" s="10" t="str">
        <f t="shared" si="10"/>
        <v>DJ</v>
      </c>
      <c r="G106" s="10" t="s">
        <v>56</v>
      </c>
      <c r="H106" s="4" t="s">
        <v>275</v>
      </c>
      <c r="I106" s="10" t="s">
        <v>82</v>
      </c>
      <c r="J106" s="4" t="str">
        <f t="shared" si="12"/>
        <v/>
      </c>
      <c r="K106" s="4">
        <v>1</v>
      </c>
      <c r="L106" s="43">
        <v>349000</v>
      </c>
      <c r="M106" s="78" t="s">
        <v>194</v>
      </c>
      <c r="N106" s="98" t="s">
        <v>272</v>
      </c>
      <c r="O106" s="10" t="s">
        <v>61</v>
      </c>
      <c r="P106" s="63">
        <v>100</v>
      </c>
      <c r="Q106" s="94" t="s">
        <v>119</v>
      </c>
      <c r="R106" s="63" t="s">
        <v>205</v>
      </c>
      <c r="S106" s="96" t="s">
        <v>263</v>
      </c>
      <c r="T106" s="10" t="s">
        <v>122</v>
      </c>
      <c r="U106" s="10" t="s">
        <v>207</v>
      </c>
      <c r="V106" s="10" t="s">
        <v>66</v>
      </c>
      <c r="W106" s="10"/>
      <c r="X106" s="9" t="s">
        <v>67</v>
      </c>
      <c r="Y106" s="10" t="s">
        <v>68</v>
      </c>
      <c r="Z106" s="94" t="s">
        <v>125</v>
      </c>
      <c r="AA106" s="94" t="s">
        <v>90</v>
      </c>
      <c r="AB106" s="9" t="s">
        <v>71</v>
      </c>
      <c r="AC106" s="10" t="s">
        <v>85</v>
      </c>
      <c r="AD106" s="10" t="s">
        <v>208</v>
      </c>
      <c r="AE106" s="65" t="s">
        <v>73</v>
      </c>
      <c r="AF106" s="39" t="s">
        <v>276</v>
      </c>
      <c r="AG106" s="10" t="s">
        <v>127</v>
      </c>
      <c r="AH106" s="4">
        <v>650</v>
      </c>
      <c r="AI106" s="11" t="s">
        <v>264</v>
      </c>
      <c r="AJ106" s="4" t="s">
        <v>241</v>
      </c>
      <c r="AK106" s="50">
        <v>1810</v>
      </c>
      <c r="AL106" s="43">
        <v>631690000</v>
      </c>
      <c r="AM106" s="43">
        <v>46</v>
      </c>
      <c r="AN106" s="43">
        <v>15935384</v>
      </c>
      <c r="AO106" s="43">
        <v>168</v>
      </c>
      <c r="AP106" s="43">
        <v>54969810</v>
      </c>
      <c r="AQ106" s="43">
        <v>387</v>
      </c>
      <c r="AR106" s="43">
        <v>128136496</v>
      </c>
      <c r="AS106" s="52">
        <f t="shared" si="13"/>
        <v>0.2138121546961326</v>
      </c>
    </row>
    <row r="107" spans="1:45" x14ac:dyDescent="0.3">
      <c r="A107" s="1" t="str">
        <f t="shared" si="8"/>
        <v>DWDJ64046IVD</v>
      </c>
      <c r="B107" s="32" t="s">
        <v>274</v>
      </c>
      <c r="C107" s="10" t="str">
        <f t="shared" si="11"/>
        <v>DJ640</v>
      </c>
      <c r="D107" s="10" t="s">
        <v>55</v>
      </c>
      <c r="E107" s="10" t="str">
        <f t="shared" si="9"/>
        <v>W</v>
      </c>
      <c r="F107" s="10" t="str">
        <f t="shared" si="10"/>
        <v>DJ</v>
      </c>
      <c r="G107" s="10" t="s">
        <v>56</v>
      </c>
      <c r="H107" s="4" t="s">
        <v>275</v>
      </c>
      <c r="I107" s="10" t="s">
        <v>105</v>
      </c>
      <c r="J107" s="4" t="str">
        <f t="shared" si="12"/>
        <v/>
      </c>
      <c r="K107" s="4">
        <v>1</v>
      </c>
      <c r="L107" s="43">
        <v>349000</v>
      </c>
      <c r="M107" s="78" t="s">
        <v>194</v>
      </c>
      <c r="N107" s="98" t="s">
        <v>272</v>
      </c>
      <c r="O107" s="10" t="s">
        <v>61</v>
      </c>
      <c r="P107" s="63">
        <v>100</v>
      </c>
      <c r="Q107" s="94" t="s">
        <v>119</v>
      </c>
      <c r="R107" s="63" t="s">
        <v>205</v>
      </c>
      <c r="S107" s="96" t="s">
        <v>263</v>
      </c>
      <c r="T107" s="10" t="s">
        <v>122</v>
      </c>
      <c r="U107" s="10" t="s">
        <v>207</v>
      </c>
      <c r="V107" s="10" t="s">
        <v>66</v>
      </c>
      <c r="W107" s="10"/>
      <c r="X107" s="9" t="s">
        <v>67</v>
      </c>
      <c r="Y107" s="10" t="s">
        <v>68</v>
      </c>
      <c r="Z107" s="94" t="s">
        <v>125</v>
      </c>
      <c r="AA107" s="94" t="s">
        <v>90</v>
      </c>
      <c r="AB107" s="9" t="s">
        <v>71</v>
      </c>
      <c r="AC107" s="10" t="s">
        <v>85</v>
      </c>
      <c r="AD107" s="10" t="s">
        <v>208</v>
      </c>
      <c r="AE107" s="65" t="s">
        <v>73</v>
      </c>
      <c r="AF107" s="39" t="s">
        <v>276</v>
      </c>
      <c r="AG107" s="10" t="s">
        <v>127</v>
      </c>
      <c r="AH107" s="4">
        <v>650</v>
      </c>
      <c r="AI107" s="11" t="s">
        <v>264</v>
      </c>
      <c r="AJ107" s="4" t="s">
        <v>241</v>
      </c>
      <c r="AK107" s="50">
        <v>2214</v>
      </c>
      <c r="AL107" s="43">
        <v>772686000</v>
      </c>
      <c r="AM107" s="43">
        <v>85</v>
      </c>
      <c r="AN107" s="43">
        <v>29073300</v>
      </c>
      <c r="AO107" s="43">
        <v>330</v>
      </c>
      <c r="AP107" s="43">
        <v>112899592</v>
      </c>
      <c r="AQ107" s="43">
        <v>735</v>
      </c>
      <c r="AR107" s="43">
        <v>246888942</v>
      </c>
      <c r="AS107" s="52">
        <f t="shared" si="13"/>
        <v>0.33197831978319781</v>
      </c>
    </row>
    <row r="108" spans="1:45" x14ac:dyDescent="0.3">
      <c r="A108" s="1" t="str">
        <f t="shared" si="8"/>
        <v>DWDJ64046BKS</v>
      </c>
      <c r="B108" s="32" t="s">
        <v>274</v>
      </c>
      <c r="C108" s="10" t="str">
        <f t="shared" si="11"/>
        <v>DJ640</v>
      </c>
      <c r="D108" s="10" t="s">
        <v>55</v>
      </c>
      <c r="E108" s="10" t="str">
        <f t="shared" si="9"/>
        <v>W</v>
      </c>
      <c r="F108" s="10" t="str">
        <f t="shared" si="10"/>
        <v>DJ</v>
      </c>
      <c r="G108" s="10" t="s">
        <v>56</v>
      </c>
      <c r="H108" s="4" t="s">
        <v>275</v>
      </c>
      <c r="I108" s="10" t="s">
        <v>78</v>
      </c>
      <c r="J108" s="4" t="str">
        <f t="shared" si="12"/>
        <v/>
      </c>
      <c r="K108" s="4">
        <v>1</v>
      </c>
      <c r="L108" s="43">
        <v>349000</v>
      </c>
      <c r="M108" s="78" t="s">
        <v>194</v>
      </c>
      <c r="N108" s="98" t="s">
        <v>272</v>
      </c>
      <c r="O108" s="10" t="s">
        <v>61</v>
      </c>
      <c r="P108" s="63">
        <v>100</v>
      </c>
      <c r="Q108" s="94" t="s">
        <v>119</v>
      </c>
      <c r="R108" s="63" t="s">
        <v>205</v>
      </c>
      <c r="S108" s="96" t="s">
        <v>263</v>
      </c>
      <c r="T108" s="10" t="s">
        <v>122</v>
      </c>
      <c r="U108" s="10" t="s">
        <v>207</v>
      </c>
      <c r="V108" s="10" t="s">
        <v>66</v>
      </c>
      <c r="W108" s="10"/>
      <c r="X108" s="9" t="s">
        <v>67</v>
      </c>
      <c r="Y108" s="10" t="s">
        <v>68</v>
      </c>
      <c r="Z108" s="94" t="s">
        <v>125</v>
      </c>
      <c r="AA108" s="94" t="s">
        <v>90</v>
      </c>
      <c r="AB108" s="9" t="s">
        <v>71</v>
      </c>
      <c r="AC108" s="10" t="s">
        <v>85</v>
      </c>
      <c r="AD108" s="10" t="s">
        <v>208</v>
      </c>
      <c r="AE108" s="65" t="s">
        <v>73</v>
      </c>
      <c r="AF108" s="39" t="s">
        <v>276</v>
      </c>
      <c r="AG108" s="10" t="s">
        <v>127</v>
      </c>
      <c r="AH108" s="4">
        <v>650</v>
      </c>
      <c r="AI108" s="11" t="s">
        <v>264</v>
      </c>
      <c r="AJ108" s="4" t="s">
        <v>241</v>
      </c>
      <c r="AK108" s="50">
        <v>7531</v>
      </c>
      <c r="AL108" s="43">
        <v>2628319000</v>
      </c>
      <c r="AM108" s="43">
        <v>409</v>
      </c>
      <c r="AN108" s="43">
        <v>140538035</v>
      </c>
      <c r="AO108" s="43">
        <v>2008</v>
      </c>
      <c r="AP108" s="43">
        <v>687064050</v>
      </c>
      <c r="AQ108" s="43">
        <v>4584</v>
      </c>
      <c r="AR108" s="43">
        <v>1546021400</v>
      </c>
      <c r="AS108" s="52">
        <f t="shared" si="13"/>
        <v>0.6086841056964547</v>
      </c>
    </row>
    <row r="109" spans="1:45" x14ac:dyDescent="0.3">
      <c r="A109" s="1" t="str">
        <f t="shared" si="8"/>
        <v>DMDJ67046GRD</v>
      </c>
      <c r="B109" s="32" t="s">
        <v>277</v>
      </c>
      <c r="C109" s="10" t="str">
        <f t="shared" si="11"/>
        <v>DJ670</v>
      </c>
      <c r="D109" s="10" t="s">
        <v>55</v>
      </c>
      <c r="E109" s="10" t="str">
        <f t="shared" si="9"/>
        <v>M</v>
      </c>
      <c r="F109" s="10" t="str">
        <f t="shared" si="10"/>
        <v>DJ</v>
      </c>
      <c r="G109" s="10" t="s">
        <v>56</v>
      </c>
      <c r="H109" s="4" t="s">
        <v>278</v>
      </c>
      <c r="I109" s="10" t="s">
        <v>215</v>
      </c>
      <c r="J109" s="4">
        <f t="shared" si="12"/>
        <v>1</v>
      </c>
      <c r="K109" s="4">
        <v>1</v>
      </c>
      <c r="L109" s="43">
        <v>399000</v>
      </c>
      <c r="M109" s="78" t="s">
        <v>194</v>
      </c>
      <c r="N109" s="98" t="s">
        <v>261</v>
      </c>
      <c r="O109" s="10" t="s">
        <v>61</v>
      </c>
      <c r="P109" s="63">
        <v>100</v>
      </c>
      <c r="Q109" s="94" t="s">
        <v>119</v>
      </c>
      <c r="R109" s="63" t="s">
        <v>262</v>
      </c>
      <c r="S109" s="96" t="s">
        <v>263</v>
      </c>
      <c r="T109" s="10" t="s">
        <v>122</v>
      </c>
      <c r="U109" s="10" t="s">
        <v>207</v>
      </c>
      <c r="V109" s="10" t="s">
        <v>66</v>
      </c>
      <c r="W109" s="10"/>
      <c r="X109" s="9" t="s">
        <v>67</v>
      </c>
      <c r="Y109" s="10" t="s">
        <v>68</v>
      </c>
      <c r="Z109" s="94" t="s">
        <v>125</v>
      </c>
      <c r="AA109" s="94" t="s">
        <v>90</v>
      </c>
      <c r="AB109" s="9" t="s">
        <v>71</v>
      </c>
      <c r="AC109" s="10" t="s">
        <v>144</v>
      </c>
      <c r="AD109" s="10" t="s">
        <v>279</v>
      </c>
      <c r="AE109" s="65" t="s">
        <v>73</v>
      </c>
      <c r="AF109" s="39" t="s">
        <v>280</v>
      </c>
      <c r="AG109" s="10" t="s">
        <v>127</v>
      </c>
      <c r="AH109" s="4">
        <v>650</v>
      </c>
      <c r="AI109" s="11" t="s">
        <v>107</v>
      </c>
      <c r="AJ109" s="4" t="s">
        <v>108</v>
      </c>
      <c r="AK109" s="50">
        <v>1480</v>
      </c>
      <c r="AL109" s="43">
        <v>590520000</v>
      </c>
      <c r="AM109" s="43">
        <v>101</v>
      </c>
      <c r="AN109" s="43">
        <v>39622240</v>
      </c>
      <c r="AO109" s="43">
        <v>616</v>
      </c>
      <c r="AP109" s="43">
        <v>233771655</v>
      </c>
      <c r="AQ109" s="43">
        <v>1206</v>
      </c>
      <c r="AR109" s="43">
        <v>454481413</v>
      </c>
      <c r="AS109" s="52">
        <f t="shared" si="13"/>
        <v>0.81486486486486487</v>
      </c>
    </row>
    <row r="110" spans="1:45" x14ac:dyDescent="0.3">
      <c r="A110" s="1" t="str">
        <f t="shared" si="8"/>
        <v>DMDJ67046BKS</v>
      </c>
      <c r="B110" s="32" t="s">
        <v>277</v>
      </c>
      <c r="C110" s="10" t="str">
        <f t="shared" si="11"/>
        <v>DJ670</v>
      </c>
      <c r="D110" s="10" t="s">
        <v>55</v>
      </c>
      <c r="E110" s="10" t="str">
        <f t="shared" si="9"/>
        <v>M</v>
      </c>
      <c r="F110" s="10" t="str">
        <f t="shared" si="10"/>
        <v>DJ</v>
      </c>
      <c r="G110" s="10" t="s">
        <v>56</v>
      </c>
      <c r="H110" s="4" t="s">
        <v>278</v>
      </c>
      <c r="I110" s="10" t="s">
        <v>78</v>
      </c>
      <c r="J110" s="4" t="str">
        <f t="shared" si="12"/>
        <v/>
      </c>
      <c r="K110" s="4">
        <v>1</v>
      </c>
      <c r="L110" s="43">
        <v>399000</v>
      </c>
      <c r="M110" s="78" t="s">
        <v>194</v>
      </c>
      <c r="N110" s="98" t="s">
        <v>261</v>
      </c>
      <c r="O110" s="10" t="s">
        <v>61</v>
      </c>
      <c r="P110" s="63">
        <v>100</v>
      </c>
      <c r="Q110" s="94" t="s">
        <v>119</v>
      </c>
      <c r="R110" s="63" t="s">
        <v>262</v>
      </c>
      <c r="S110" s="96" t="s">
        <v>263</v>
      </c>
      <c r="T110" s="10" t="s">
        <v>122</v>
      </c>
      <c r="U110" s="10" t="s">
        <v>207</v>
      </c>
      <c r="V110" s="10" t="s">
        <v>66</v>
      </c>
      <c r="W110" s="10"/>
      <c r="X110" s="9" t="s">
        <v>67</v>
      </c>
      <c r="Y110" s="10" t="s">
        <v>68</v>
      </c>
      <c r="Z110" s="94" t="s">
        <v>125</v>
      </c>
      <c r="AA110" s="94" t="s">
        <v>90</v>
      </c>
      <c r="AB110" s="9" t="s">
        <v>71</v>
      </c>
      <c r="AC110" s="10" t="s">
        <v>144</v>
      </c>
      <c r="AD110" s="10" t="s">
        <v>279</v>
      </c>
      <c r="AE110" s="65" t="s">
        <v>73</v>
      </c>
      <c r="AF110" s="39" t="s">
        <v>280</v>
      </c>
      <c r="AG110" s="10" t="s">
        <v>127</v>
      </c>
      <c r="AH110" s="4">
        <v>650</v>
      </c>
      <c r="AI110" s="11" t="s">
        <v>107</v>
      </c>
      <c r="AJ110" s="4" t="s">
        <v>108</v>
      </c>
      <c r="AK110" s="50">
        <v>27881</v>
      </c>
      <c r="AL110" s="43">
        <v>11124519000</v>
      </c>
      <c r="AM110" s="43">
        <v>907</v>
      </c>
      <c r="AN110" s="43">
        <v>342376557</v>
      </c>
      <c r="AO110" s="43">
        <v>4904</v>
      </c>
      <c r="AP110" s="43">
        <v>1797719237</v>
      </c>
      <c r="AQ110" s="43">
        <v>11550</v>
      </c>
      <c r="AR110" s="43">
        <v>4300622795</v>
      </c>
      <c r="AS110" s="52">
        <f t="shared" si="13"/>
        <v>0.41426060758222444</v>
      </c>
    </row>
    <row r="111" spans="1:45" x14ac:dyDescent="0.3">
      <c r="A111" s="1" t="str">
        <f t="shared" si="8"/>
        <v>DMDJ67046WHS</v>
      </c>
      <c r="B111" s="32" t="s">
        <v>277</v>
      </c>
      <c r="C111" s="10" t="str">
        <f t="shared" si="11"/>
        <v>DJ670</v>
      </c>
      <c r="D111" s="10" t="s">
        <v>55</v>
      </c>
      <c r="E111" s="10" t="str">
        <f t="shared" si="9"/>
        <v>M</v>
      </c>
      <c r="F111" s="10" t="str">
        <f t="shared" si="10"/>
        <v>DJ</v>
      </c>
      <c r="G111" s="10" t="s">
        <v>56</v>
      </c>
      <c r="H111" s="4" t="s">
        <v>278</v>
      </c>
      <c r="I111" s="10" t="s">
        <v>101</v>
      </c>
      <c r="J111" s="4" t="str">
        <f t="shared" si="12"/>
        <v/>
      </c>
      <c r="K111" s="4">
        <v>1</v>
      </c>
      <c r="L111" s="43">
        <v>399000</v>
      </c>
      <c r="M111" s="78" t="s">
        <v>194</v>
      </c>
      <c r="N111" s="98" t="s">
        <v>261</v>
      </c>
      <c r="O111" s="10" t="s">
        <v>61</v>
      </c>
      <c r="P111" s="63">
        <v>100</v>
      </c>
      <c r="Q111" s="94" t="s">
        <v>119</v>
      </c>
      <c r="R111" s="63" t="s">
        <v>262</v>
      </c>
      <c r="S111" s="96" t="s">
        <v>263</v>
      </c>
      <c r="T111" s="10" t="s">
        <v>122</v>
      </c>
      <c r="U111" s="10" t="s">
        <v>207</v>
      </c>
      <c r="V111" s="10" t="s">
        <v>66</v>
      </c>
      <c r="W111" s="10"/>
      <c r="X111" s="9" t="s">
        <v>67</v>
      </c>
      <c r="Y111" s="10" t="s">
        <v>68</v>
      </c>
      <c r="Z111" s="94" t="s">
        <v>125</v>
      </c>
      <c r="AA111" s="94" t="s">
        <v>90</v>
      </c>
      <c r="AB111" s="9" t="s">
        <v>71</v>
      </c>
      <c r="AC111" s="10" t="s">
        <v>144</v>
      </c>
      <c r="AD111" s="10" t="s">
        <v>279</v>
      </c>
      <c r="AE111" s="65" t="s">
        <v>73</v>
      </c>
      <c r="AF111" s="39" t="s">
        <v>280</v>
      </c>
      <c r="AG111" s="10" t="s">
        <v>127</v>
      </c>
      <c r="AH111" s="4">
        <v>650</v>
      </c>
      <c r="AI111" s="11" t="s">
        <v>107</v>
      </c>
      <c r="AJ111" s="4" t="s">
        <v>108</v>
      </c>
      <c r="AK111" s="50">
        <v>1495</v>
      </c>
      <c r="AL111" s="43">
        <v>596505000</v>
      </c>
      <c r="AM111" s="43">
        <v>53</v>
      </c>
      <c r="AN111" s="43">
        <v>20970837</v>
      </c>
      <c r="AO111" s="43">
        <v>294</v>
      </c>
      <c r="AP111" s="43">
        <v>110741912</v>
      </c>
      <c r="AQ111" s="43">
        <v>577</v>
      </c>
      <c r="AR111" s="43">
        <v>218384343</v>
      </c>
      <c r="AS111" s="52">
        <f t="shared" si="13"/>
        <v>0.38595317725752509</v>
      </c>
    </row>
    <row r="112" spans="1:45" x14ac:dyDescent="0.3">
      <c r="A112" s="1" t="str">
        <f t="shared" si="8"/>
        <v>DMDJ67046BGD</v>
      </c>
      <c r="B112" s="32" t="s">
        <v>277</v>
      </c>
      <c r="C112" s="10" t="str">
        <f t="shared" si="11"/>
        <v>DJ670</v>
      </c>
      <c r="D112" s="10" t="s">
        <v>55</v>
      </c>
      <c r="E112" s="10" t="str">
        <f t="shared" si="9"/>
        <v>M</v>
      </c>
      <c r="F112" s="10" t="str">
        <f t="shared" si="10"/>
        <v>DJ</v>
      </c>
      <c r="G112" s="10" t="s">
        <v>56</v>
      </c>
      <c r="H112" s="4" t="s">
        <v>278</v>
      </c>
      <c r="I112" s="10" t="s">
        <v>260</v>
      </c>
      <c r="J112" s="4" t="str">
        <f t="shared" si="12"/>
        <v/>
      </c>
      <c r="K112" s="4">
        <v>1</v>
      </c>
      <c r="L112" s="43">
        <v>399000</v>
      </c>
      <c r="M112" s="78" t="s">
        <v>194</v>
      </c>
      <c r="N112" s="98" t="s">
        <v>261</v>
      </c>
      <c r="O112" s="10" t="s">
        <v>61</v>
      </c>
      <c r="P112" s="63">
        <v>100</v>
      </c>
      <c r="Q112" s="94" t="s">
        <v>119</v>
      </c>
      <c r="R112" s="63" t="s">
        <v>262</v>
      </c>
      <c r="S112" s="96" t="s">
        <v>263</v>
      </c>
      <c r="T112" s="10" t="s">
        <v>122</v>
      </c>
      <c r="U112" s="10" t="s">
        <v>207</v>
      </c>
      <c r="V112" s="10" t="s">
        <v>66</v>
      </c>
      <c r="W112" s="10"/>
      <c r="X112" s="9" t="s">
        <v>67</v>
      </c>
      <c r="Y112" s="10" t="s">
        <v>68</v>
      </c>
      <c r="Z112" s="94" t="s">
        <v>125</v>
      </c>
      <c r="AA112" s="94" t="s">
        <v>90</v>
      </c>
      <c r="AB112" s="9" t="s">
        <v>71</v>
      </c>
      <c r="AC112" s="10" t="s">
        <v>144</v>
      </c>
      <c r="AD112" s="10" t="s">
        <v>279</v>
      </c>
      <c r="AE112" s="65" t="s">
        <v>73</v>
      </c>
      <c r="AF112" s="39" t="s">
        <v>280</v>
      </c>
      <c r="AG112" s="10" t="s">
        <v>127</v>
      </c>
      <c r="AH112" s="4">
        <v>650</v>
      </c>
      <c r="AI112" s="11" t="s">
        <v>107</v>
      </c>
      <c r="AJ112" s="4" t="s">
        <v>108</v>
      </c>
      <c r="AK112" s="50">
        <v>1000</v>
      </c>
      <c r="AL112" s="43">
        <v>399000000</v>
      </c>
      <c r="AM112" s="43">
        <v>22</v>
      </c>
      <c r="AN112" s="43">
        <v>8728000</v>
      </c>
      <c r="AO112" s="43">
        <v>168</v>
      </c>
      <c r="AP112" s="43">
        <v>64403780</v>
      </c>
      <c r="AQ112" s="43">
        <v>345</v>
      </c>
      <c r="AR112" s="43">
        <v>132933389</v>
      </c>
      <c r="AS112" s="52">
        <f t="shared" si="13"/>
        <v>0.34499999999999997</v>
      </c>
    </row>
    <row r="113" spans="1:45" x14ac:dyDescent="0.3">
      <c r="A113" s="1" t="str">
        <f t="shared" si="8"/>
        <v>DMDJ67046NYD</v>
      </c>
      <c r="B113" s="32" t="s">
        <v>277</v>
      </c>
      <c r="C113" s="10" t="str">
        <f t="shared" si="11"/>
        <v>DJ670</v>
      </c>
      <c r="D113" s="10" t="s">
        <v>148</v>
      </c>
      <c r="E113" s="10" t="str">
        <f t="shared" si="9"/>
        <v>M</v>
      </c>
      <c r="F113" s="10" t="str">
        <f t="shared" si="10"/>
        <v>DJ</v>
      </c>
      <c r="G113" s="10" t="s">
        <v>56</v>
      </c>
      <c r="H113" s="4" t="s">
        <v>278</v>
      </c>
      <c r="I113" s="10" t="s">
        <v>281</v>
      </c>
      <c r="J113" s="4" t="str">
        <f t="shared" si="12"/>
        <v/>
      </c>
      <c r="K113" s="4">
        <v>1</v>
      </c>
      <c r="L113" s="43">
        <v>399000</v>
      </c>
      <c r="M113" s="78" t="s">
        <v>194</v>
      </c>
      <c r="N113" s="98" t="s">
        <v>261</v>
      </c>
      <c r="O113" s="10" t="s">
        <v>61</v>
      </c>
      <c r="P113" s="63">
        <v>100</v>
      </c>
      <c r="Q113" s="94" t="s">
        <v>119</v>
      </c>
      <c r="R113" s="63" t="s">
        <v>262</v>
      </c>
      <c r="S113" s="96" t="s">
        <v>263</v>
      </c>
      <c r="T113" s="10" t="s">
        <v>122</v>
      </c>
      <c r="U113" s="10" t="s">
        <v>207</v>
      </c>
      <c r="V113" s="10" t="s">
        <v>66</v>
      </c>
      <c r="W113" s="10"/>
      <c r="X113" s="9" t="s">
        <v>67</v>
      </c>
      <c r="Y113" s="10" t="s">
        <v>68</v>
      </c>
      <c r="Z113" s="94" t="s">
        <v>125</v>
      </c>
      <c r="AA113" s="94" t="s">
        <v>90</v>
      </c>
      <c r="AB113" s="9" t="s">
        <v>71</v>
      </c>
      <c r="AC113" s="10" t="s">
        <v>144</v>
      </c>
      <c r="AD113" s="10" t="s">
        <v>279</v>
      </c>
      <c r="AE113" s="65" t="s">
        <v>73</v>
      </c>
      <c r="AF113" s="39" t="s">
        <v>280</v>
      </c>
      <c r="AG113" s="10" t="s">
        <v>127</v>
      </c>
      <c r="AH113" s="4">
        <v>650</v>
      </c>
      <c r="AI113" s="11" t="s">
        <v>107</v>
      </c>
      <c r="AJ113" s="4" t="s">
        <v>108</v>
      </c>
      <c r="AK113" s="50">
        <v>949</v>
      </c>
      <c r="AL113" s="43">
        <v>378651000</v>
      </c>
      <c r="AM113" s="43">
        <v>65</v>
      </c>
      <c r="AN113" s="43">
        <v>25600650</v>
      </c>
      <c r="AO113" s="43">
        <v>418</v>
      </c>
      <c r="AP113" s="43">
        <v>158997747</v>
      </c>
      <c r="AQ113" s="43">
        <v>718</v>
      </c>
      <c r="AR113" s="43">
        <v>274156492</v>
      </c>
      <c r="AS113" s="52">
        <f t="shared" si="13"/>
        <v>0.75658587987355108</v>
      </c>
    </row>
    <row r="114" spans="1:45" x14ac:dyDescent="0.3">
      <c r="A114" s="1" t="str">
        <f t="shared" si="8"/>
        <v>DWDJ68046GRL</v>
      </c>
      <c r="B114" s="32" t="s">
        <v>282</v>
      </c>
      <c r="C114" s="10" t="str">
        <f t="shared" si="11"/>
        <v>DJ680</v>
      </c>
      <c r="D114" s="10" t="s">
        <v>55</v>
      </c>
      <c r="E114" s="10" t="str">
        <f t="shared" si="9"/>
        <v>W</v>
      </c>
      <c r="F114" s="10" t="str">
        <f t="shared" si="10"/>
        <v>DJ</v>
      </c>
      <c r="G114" s="10" t="s">
        <v>56</v>
      </c>
      <c r="H114" s="4" t="s">
        <v>283</v>
      </c>
      <c r="I114" s="10" t="s">
        <v>113</v>
      </c>
      <c r="J114" s="4">
        <f t="shared" si="12"/>
        <v>1</v>
      </c>
      <c r="K114" s="4">
        <v>1</v>
      </c>
      <c r="L114" s="43">
        <v>399000</v>
      </c>
      <c r="M114" s="78" t="s">
        <v>194</v>
      </c>
      <c r="N114" s="98" t="s">
        <v>261</v>
      </c>
      <c r="O114" s="10" t="s">
        <v>61</v>
      </c>
      <c r="P114" s="63">
        <v>100</v>
      </c>
      <c r="Q114" s="94" t="s">
        <v>119</v>
      </c>
      <c r="R114" s="63" t="s">
        <v>262</v>
      </c>
      <c r="S114" s="96" t="s">
        <v>263</v>
      </c>
      <c r="T114" s="10" t="s">
        <v>122</v>
      </c>
      <c r="U114" s="10" t="s">
        <v>207</v>
      </c>
      <c r="V114" s="10" t="s">
        <v>66</v>
      </c>
      <c r="W114" s="10"/>
      <c r="X114" s="9" t="s">
        <v>67</v>
      </c>
      <c r="Y114" s="10" t="s">
        <v>68</v>
      </c>
      <c r="Z114" s="94" t="s">
        <v>125</v>
      </c>
      <c r="AA114" s="94" t="s">
        <v>90</v>
      </c>
      <c r="AB114" s="9" t="s">
        <v>71</v>
      </c>
      <c r="AC114" s="10" t="s">
        <v>144</v>
      </c>
      <c r="AD114" s="10" t="s">
        <v>279</v>
      </c>
      <c r="AE114" s="65" t="s">
        <v>73</v>
      </c>
      <c r="AF114" s="39" t="s">
        <v>284</v>
      </c>
      <c r="AG114" s="10" t="s">
        <v>127</v>
      </c>
      <c r="AH114" s="4">
        <v>650</v>
      </c>
      <c r="AI114" s="11" t="s">
        <v>107</v>
      </c>
      <c r="AJ114" s="4" t="s">
        <v>108</v>
      </c>
      <c r="AK114" s="50">
        <v>2554</v>
      </c>
      <c r="AL114" s="43">
        <v>1019046000</v>
      </c>
      <c r="AM114" s="43">
        <v>125</v>
      </c>
      <c r="AN114" s="43">
        <v>49368337</v>
      </c>
      <c r="AO114" s="43">
        <v>761</v>
      </c>
      <c r="AP114" s="43">
        <v>286623810</v>
      </c>
      <c r="AQ114" s="43">
        <v>1768</v>
      </c>
      <c r="AR114" s="43">
        <v>672001849</v>
      </c>
      <c r="AS114" s="52">
        <f t="shared" si="13"/>
        <v>0.69224745497259199</v>
      </c>
    </row>
    <row r="115" spans="1:45" x14ac:dyDescent="0.3">
      <c r="A115" s="1" t="str">
        <f t="shared" si="8"/>
        <v>DWDJ68046GRD</v>
      </c>
      <c r="B115" s="32" t="s">
        <v>282</v>
      </c>
      <c r="C115" s="10" t="str">
        <f t="shared" si="11"/>
        <v>DJ680</v>
      </c>
      <c r="D115" s="10" t="s">
        <v>55</v>
      </c>
      <c r="E115" s="10" t="str">
        <f t="shared" si="9"/>
        <v>W</v>
      </c>
      <c r="F115" s="10" t="str">
        <f t="shared" si="10"/>
        <v>DJ</v>
      </c>
      <c r="G115" s="10" t="s">
        <v>56</v>
      </c>
      <c r="H115" s="4" t="s">
        <v>283</v>
      </c>
      <c r="I115" s="10" t="s">
        <v>215</v>
      </c>
      <c r="J115" s="4" t="str">
        <f t="shared" si="12"/>
        <v/>
      </c>
      <c r="K115" s="4">
        <v>1</v>
      </c>
      <c r="L115" s="43">
        <v>399000</v>
      </c>
      <c r="M115" s="78" t="s">
        <v>194</v>
      </c>
      <c r="N115" s="98" t="s">
        <v>261</v>
      </c>
      <c r="O115" s="10" t="s">
        <v>61</v>
      </c>
      <c r="P115" s="63">
        <v>100</v>
      </c>
      <c r="Q115" s="94" t="s">
        <v>119</v>
      </c>
      <c r="R115" s="63" t="s">
        <v>262</v>
      </c>
      <c r="S115" s="96" t="s">
        <v>263</v>
      </c>
      <c r="T115" s="10" t="s">
        <v>122</v>
      </c>
      <c r="U115" s="10" t="s">
        <v>207</v>
      </c>
      <c r="V115" s="10" t="s">
        <v>66</v>
      </c>
      <c r="W115" s="10"/>
      <c r="X115" s="9" t="s">
        <v>67</v>
      </c>
      <c r="Y115" s="10" t="s">
        <v>68</v>
      </c>
      <c r="Z115" s="94" t="s">
        <v>125</v>
      </c>
      <c r="AA115" s="94" t="s">
        <v>90</v>
      </c>
      <c r="AB115" s="9" t="s">
        <v>71</v>
      </c>
      <c r="AC115" s="10" t="s">
        <v>144</v>
      </c>
      <c r="AD115" s="10" t="s">
        <v>279</v>
      </c>
      <c r="AE115" s="65" t="s">
        <v>73</v>
      </c>
      <c r="AF115" s="39" t="s">
        <v>284</v>
      </c>
      <c r="AG115" s="10" t="s">
        <v>127</v>
      </c>
      <c r="AH115" s="4">
        <v>650</v>
      </c>
      <c r="AI115" s="11" t="s">
        <v>107</v>
      </c>
      <c r="AJ115" s="4" t="s">
        <v>108</v>
      </c>
      <c r="AK115" s="50">
        <v>3479</v>
      </c>
      <c r="AL115" s="43">
        <v>1388121000</v>
      </c>
      <c r="AM115" s="43">
        <v>106</v>
      </c>
      <c r="AN115" s="43">
        <v>41925366</v>
      </c>
      <c r="AO115" s="43">
        <v>997</v>
      </c>
      <c r="AP115" s="43">
        <v>373431932</v>
      </c>
      <c r="AQ115" s="43">
        <v>2274</v>
      </c>
      <c r="AR115" s="43">
        <v>849533777</v>
      </c>
      <c r="AS115" s="52">
        <f t="shared" si="13"/>
        <v>0.6536361023282552</v>
      </c>
    </row>
    <row r="116" spans="1:45" x14ac:dyDescent="0.3">
      <c r="A116" s="1" t="str">
        <f t="shared" si="8"/>
        <v>DWDJ68046BKS</v>
      </c>
      <c r="B116" s="32" t="s">
        <v>282</v>
      </c>
      <c r="C116" s="10" t="str">
        <f t="shared" si="11"/>
        <v>DJ680</v>
      </c>
      <c r="D116" s="10" t="s">
        <v>55</v>
      </c>
      <c r="E116" s="10" t="str">
        <f t="shared" si="9"/>
        <v>W</v>
      </c>
      <c r="F116" s="10" t="str">
        <f t="shared" si="10"/>
        <v>DJ</v>
      </c>
      <c r="G116" s="10" t="s">
        <v>56</v>
      </c>
      <c r="H116" s="4" t="s">
        <v>283</v>
      </c>
      <c r="I116" s="10" t="s">
        <v>78</v>
      </c>
      <c r="J116" s="4" t="str">
        <f t="shared" si="12"/>
        <v/>
      </c>
      <c r="K116" s="4">
        <v>1</v>
      </c>
      <c r="L116" s="43">
        <v>399000</v>
      </c>
      <c r="M116" s="78" t="s">
        <v>194</v>
      </c>
      <c r="N116" s="98" t="s">
        <v>261</v>
      </c>
      <c r="O116" s="10" t="s">
        <v>61</v>
      </c>
      <c r="P116" s="63">
        <v>100</v>
      </c>
      <c r="Q116" s="94" t="s">
        <v>119</v>
      </c>
      <c r="R116" s="63" t="s">
        <v>262</v>
      </c>
      <c r="S116" s="96" t="s">
        <v>263</v>
      </c>
      <c r="T116" s="10" t="s">
        <v>122</v>
      </c>
      <c r="U116" s="10" t="s">
        <v>207</v>
      </c>
      <c r="V116" s="10" t="s">
        <v>66</v>
      </c>
      <c r="W116" s="10"/>
      <c r="X116" s="9" t="s">
        <v>67</v>
      </c>
      <c r="Y116" s="10" t="s">
        <v>68</v>
      </c>
      <c r="Z116" s="94" t="s">
        <v>125</v>
      </c>
      <c r="AA116" s="94" t="s">
        <v>90</v>
      </c>
      <c r="AB116" s="9" t="s">
        <v>71</v>
      </c>
      <c r="AC116" s="10" t="s">
        <v>144</v>
      </c>
      <c r="AD116" s="10" t="s">
        <v>279</v>
      </c>
      <c r="AE116" s="65" t="s">
        <v>73</v>
      </c>
      <c r="AF116" s="39" t="s">
        <v>284</v>
      </c>
      <c r="AG116" s="10" t="s">
        <v>127</v>
      </c>
      <c r="AH116" s="4">
        <v>650</v>
      </c>
      <c r="AI116" s="11" t="s">
        <v>107</v>
      </c>
      <c r="AJ116" s="4" t="s">
        <v>108</v>
      </c>
      <c r="AK116" s="50">
        <v>35368</v>
      </c>
      <c r="AL116" s="43">
        <v>14111832000</v>
      </c>
      <c r="AM116" s="43">
        <v>1837</v>
      </c>
      <c r="AN116" s="43">
        <v>696560630</v>
      </c>
      <c r="AO116" s="43">
        <v>9147</v>
      </c>
      <c r="AP116" s="43">
        <v>3438597382</v>
      </c>
      <c r="AQ116" s="43">
        <v>19911</v>
      </c>
      <c r="AR116" s="43">
        <v>7508533190</v>
      </c>
      <c r="AS116" s="52">
        <f t="shared" si="13"/>
        <v>0.56296652341099296</v>
      </c>
    </row>
    <row r="117" spans="1:45" x14ac:dyDescent="0.3">
      <c r="A117" s="1" t="str">
        <f t="shared" si="8"/>
        <v>DWDJ68046WHS</v>
      </c>
      <c r="B117" s="32" t="s">
        <v>282</v>
      </c>
      <c r="C117" s="10" t="str">
        <f t="shared" si="11"/>
        <v>DJ680</v>
      </c>
      <c r="D117" s="10" t="s">
        <v>55</v>
      </c>
      <c r="E117" s="10" t="str">
        <f t="shared" si="9"/>
        <v>W</v>
      </c>
      <c r="F117" s="10" t="str">
        <f t="shared" si="10"/>
        <v>DJ</v>
      </c>
      <c r="G117" s="10" t="s">
        <v>56</v>
      </c>
      <c r="H117" s="4" t="s">
        <v>283</v>
      </c>
      <c r="I117" s="10" t="s">
        <v>101</v>
      </c>
      <c r="J117" s="4" t="str">
        <f t="shared" si="12"/>
        <v/>
      </c>
      <c r="K117" s="4">
        <v>1</v>
      </c>
      <c r="L117" s="43">
        <v>399000</v>
      </c>
      <c r="M117" s="78" t="s">
        <v>194</v>
      </c>
      <c r="N117" s="98" t="s">
        <v>261</v>
      </c>
      <c r="O117" s="10" t="s">
        <v>61</v>
      </c>
      <c r="P117" s="63">
        <v>100</v>
      </c>
      <c r="Q117" s="94" t="s">
        <v>119</v>
      </c>
      <c r="R117" s="63" t="s">
        <v>262</v>
      </c>
      <c r="S117" s="96" t="s">
        <v>263</v>
      </c>
      <c r="T117" s="10" t="s">
        <v>122</v>
      </c>
      <c r="U117" s="10" t="s">
        <v>207</v>
      </c>
      <c r="V117" s="10" t="s">
        <v>66</v>
      </c>
      <c r="W117" s="10"/>
      <c r="X117" s="9" t="s">
        <v>67</v>
      </c>
      <c r="Y117" s="10" t="s">
        <v>68</v>
      </c>
      <c r="Z117" s="94" t="s">
        <v>125</v>
      </c>
      <c r="AA117" s="94" t="s">
        <v>90</v>
      </c>
      <c r="AB117" s="9" t="s">
        <v>71</v>
      </c>
      <c r="AC117" s="10" t="s">
        <v>144</v>
      </c>
      <c r="AD117" s="10" t="s">
        <v>279</v>
      </c>
      <c r="AE117" s="65" t="s">
        <v>73</v>
      </c>
      <c r="AF117" s="39" t="s">
        <v>284</v>
      </c>
      <c r="AG117" s="10" t="s">
        <v>127</v>
      </c>
      <c r="AH117" s="4">
        <v>650</v>
      </c>
      <c r="AI117" s="11" t="s">
        <v>107</v>
      </c>
      <c r="AJ117" s="4" t="s">
        <v>108</v>
      </c>
      <c r="AK117" s="50">
        <v>3991</v>
      </c>
      <c r="AL117" s="43">
        <v>1592409000</v>
      </c>
      <c r="AM117" s="43">
        <v>306</v>
      </c>
      <c r="AN117" s="43">
        <v>121004307</v>
      </c>
      <c r="AO117" s="43">
        <v>1481</v>
      </c>
      <c r="AP117" s="43">
        <v>573572699</v>
      </c>
      <c r="AQ117" s="43">
        <v>2890</v>
      </c>
      <c r="AR117" s="43">
        <v>1109451607</v>
      </c>
      <c r="AS117" s="52">
        <f t="shared" si="13"/>
        <v>0.72412929090453515</v>
      </c>
    </row>
    <row r="118" spans="1:45" x14ac:dyDescent="0.3">
      <c r="A118" s="1" t="str">
        <f t="shared" si="8"/>
        <v>DWDJ68046IVD</v>
      </c>
      <c r="B118" s="32" t="s">
        <v>282</v>
      </c>
      <c r="C118" s="10" t="str">
        <f t="shared" si="11"/>
        <v>DJ680</v>
      </c>
      <c r="D118" s="10" t="s">
        <v>55</v>
      </c>
      <c r="E118" s="10" t="str">
        <f t="shared" si="9"/>
        <v>W</v>
      </c>
      <c r="F118" s="10" t="str">
        <f t="shared" si="10"/>
        <v>DJ</v>
      </c>
      <c r="G118" s="10" t="s">
        <v>56</v>
      </c>
      <c r="H118" s="4" t="s">
        <v>283</v>
      </c>
      <c r="I118" s="10" t="s">
        <v>105</v>
      </c>
      <c r="J118" s="4" t="str">
        <f t="shared" si="12"/>
        <v/>
      </c>
      <c r="K118" s="4">
        <v>1</v>
      </c>
      <c r="L118" s="30">
        <v>399000</v>
      </c>
      <c r="M118" s="78" t="s">
        <v>194</v>
      </c>
      <c r="N118" s="98" t="s">
        <v>261</v>
      </c>
      <c r="O118" s="10" t="s">
        <v>61</v>
      </c>
      <c r="P118" s="63">
        <v>100</v>
      </c>
      <c r="Q118" s="94" t="s">
        <v>119</v>
      </c>
      <c r="R118" s="63" t="s">
        <v>262</v>
      </c>
      <c r="S118" s="96" t="s">
        <v>263</v>
      </c>
      <c r="T118" s="10" t="s">
        <v>122</v>
      </c>
      <c r="U118" s="10" t="s">
        <v>207</v>
      </c>
      <c r="V118" s="10" t="s">
        <v>66</v>
      </c>
      <c r="W118" s="10"/>
      <c r="X118" s="9" t="s">
        <v>67</v>
      </c>
      <c r="Y118" s="10" t="s">
        <v>68</v>
      </c>
      <c r="Z118" s="94" t="s">
        <v>125</v>
      </c>
      <c r="AA118" s="94" t="s">
        <v>90</v>
      </c>
      <c r="AB118" s="9" t="s">
        <v>71</v>
      </c>
      <c r="AC118" s="10" t="s">
        <v>144</v>
      </c>
      <c r="AD118" s="10" t="s">
        <v>279</v>
      </c>
      <c r="AE118" s="65" t="s">
        <v>73</v>
      </c>
      <c r="AF118" s="39" t="s">
        <v>284</v>
      </c>
      <c r="AG118" s="10" t="s">
        <v>127</v>
      </c>
      <c r="AH118" s="4">
        <v>650</v>
      </c>
      <c r="AI118" s="11" t="s">
        <v>107</v>
      </c>
      <c r="AJ118" s="4" t="s">
        <v>108</v>
      </c>
      <c r="AK118" s="36">
        <v>3998</v>
      </c>
      <c r="AL118" s="30">
        <v>1595202000</v>
      </c>
      <c r="AM118" s="30">
        <v>112</v>
      </c>
      <c r="AN118" s="30">
        <v>43746043</v>
      </c>
      <c r="AO118" s="30">
        <v>881</v>
      </c>
      <c r="AP118" s="30">
        <v>326408142</v>
      </c>
      <c r="AQ118" s="30">
        <v>1884</v>
      </c>
      <c r="AR118" s="30">
        <v>701915905</v>
      </c>
      <c r="AS118" s="52">
        <f t="shared" si="13"/>
        <v>0.47123561780890444</v>
      </c>
    </row>
    <row r="119" spans="1:45" x14ac:dyDescent="0.3">
      <c r="A119" s="1" t="str">
        <f t="shared" si="8"/>
        <v>DMDJ71046LKS</v>
      </c>
      <c r="B119" s="32" t="s">
        <v>285</v>
      </c>
      <c r="C119" s="10" t="str">
        <f t="shared" si="11"/>
        <v>DJ710</v>
      </c>
      <c r="D119" s="10" t="s">
        <v>55</v>
      </c>
      <c r="E119" s="10" t="str">
        <f t="shared" si="9"/>
        <v>M</v>
      </c>
      <c r="F119" s="10" t="str">
        <f t="shared" si="10"/>
        <v>DJ</v>
      </c>
      <c r="G119" s="10" t="s">
        <v>56</v>
      </c>
      <c r="H119" s="4" t="s">
        <v>286</v>
      </c>
      <c r="I119" s="10" t="s">
        <v>179</v>
      </c>
      <c r="J119" s="4">
        <f t="shared" si="12"/>
        <v>1</v>
      </c>
      <c r="K119" s="4">
        <v>1</v>
      </c>
      <c r="L119" s="30">
        <v>169000</v>
      </c>
      <c r="M119" s="78" t="s">
        <v>83</v>
      </c>
      <c r="N119" s="98" t="s">
        <v>287</v>
      </c>
      <c r="O119" s="10" t="s">
        <v>61</v>
      </c>
      <c r="P119" s="63">
        <v>100</v>
      </c>
      <c r="Q119" s="94" t="s">
        <v>85</v>
      </c>
      <c r="R119" s="63" t="s">
        <v>86</v>
      </c>
      <c r="S119" s="96" t="s">
        <v>87</v>
      </c>
      <c r="T119" s="10" t="s">
        <v>65</v>
      </c>
      <c r="U119" s="10"/>
      <c r="V119" s="10" t="s">
        <v>66</v>
      </c>
      <c r="W119" s="10"/>
      <c r="X119" s="9" t="s">
        <v>67</v>
      </c>
      <c r="Y119" s="10" t="s">
        <v>88</v>
      </c>
      <c r="Z119" s="94" t="s">
        <v>89</v>
      </c>
      <c r="AA119" s="94" t="s">
        <v>90</v>
      </c>
      <c r="AB119" s="9" t="s">
        <v>91</v>
      </c>
      <c r="AC119" s="68" t="s">
        <v>92</v>
      </c>
      <c r="AD119" s="69" t="str">
        <f t="shared" ref="AD119:AD147" si="14">AC119</f>
        <v>(다운백 없음)</v>
      </c>
      <c r="AE119" s="65" t="s">
        <v>73</v>
      </c>
      <c r="AF119" s="39" t="s">
        <v>288</v>
      </c>
      <c r="AG119" s="10" t="s">
        <v>240</v>
      </c>
      <c r="AH119" s="4">
        <v>650</v>
      </c>
      <c r="AI119" s="11" t="s">
        <v>289</v>
      </c>
      <c r="AJ119" s="4" t="s">
        <v>241</v>
      </c>
      <c r="AK119" s="36">
        <v>702</v>
      </c>
      <c r="AL119" s="30">
        <v>118638000</v>
      </c>
      <c r="AM119" s="30">
        <v>8</v>
      </c>
      <c r="AN119" s="30">
        <v>1342000</v>
      </c>
      <c r="AO119" s="30">
        <v>316</v>
      </c>
      <c r="AP119" s="30">
        <v>48571573</v>
      </c>
      <c r="AQ119" s="30">
        <v>407</v>
      </c>
      <c r="AR119" s="30">
        <v>63652193</v>
      </c>
      <c r="AS119" s="52">
        <f t="shared" si="13"/>
        <v>0.57977207977207978</v>
      </c>
    </row>
    <row r="120" spans="1:45" x14ac:dyDescent="0.3">
      <c r="A120" s="1" t="str">
        <f t="shared" si="8"/>
        <v>DMDJ71046BKS</v>
      </c>
      <c r="B120" s="32" t="s">
        <v>285</v>
      </c>
      <c r="C120" s="10" t="str">
        <f t="shared" si="11"/>
        <v>DJ710</v>
      </c>
      <c r="D120" s="10" t="s">
        <v>55</v>
      </c>
      <c r="E120" s="10" t="str">
        <f t="shared" si="9"/>
        <v>M</v>
      </c>
      <c r="F120" s="10" t="str">
        <f t="shared" si="10"/>
        <v>DJ</v>
      </c>
      <c r="G120" s="10" t="s">
        <v>56</v>
      </c>
      <c r="H120" s="4" t="s">
        <v>286</v>
      </c>
      <c r="I120" s="10" t="s">
        <v>78</v>
      </c>
      <c r="J120" s="4" t="str">
        <f t="shared" si="12"/>
        <v/>
      </c>
      <c r="K120" s="4">
        <v>1</v>
      </c>
      <c r="L120" s="30">
        <v>169000</v>
      </c>
      <c r="M120" s="78" t="s">
        <v>83</v>
      </c>
      <c r="N120" s="98" t="s">
        <v>290</v>
      </c>
      <c r="O120" s="10" t="s">
        <v>61</v>
      </c>
      <c r="P120" s="63">
        <v>100</v>
      </c>
      <c r="Q120" s="94" t="s">
        <v>85</v>
      </c>
      <c r="R120" s="63" t="s">
        <v>86</v>
      </c>
      <c r="S120" s="96" t="s">
        <v>87</v>
      </c>
      <c r="T120" s="10" t="s">
        <v>65</v>
      </c>
      <c r="U120" s="10"/>
      <c r="V120" s="10" t="s">
        <v>66</v>
      </c>
      <c r="W120" s="10"/>
      <c r="X120" s="9" t="s">
        <v>67</v>
      </c>
      <c r="Y120" s="10" t="s">
        <v>88</v>
      </c>
      <c r="Z120" s="94" t="s">
        <v>89</v>
      </c>
      <c r="AA120" s="94" t="s">
        <v>90</v>
      </c>
      <c r="AB120" s="9" t="s">
        <v>91</v>
      </c>
      <c r="AC120" s="68" t="s">
        <v>92</v>
      </c>
      <c r="AD120" s="69" t="str">
        <f t="shared" si="14"/>
        <v>(다운백 없음)</v>
      </c>
      <c r="AE120" s="65" t="s">
        <v>73</v>
      </c>
      <c r="AF120" s="39" t="s">
        <v>288</v>
      </c>
      <c r="AG120" s="10" t="s">
        <v>240</v>
      </c>
      <c r="AH120" s="4">
        <v>650</v>
      </c>
      <c r="AI120" s="11" t="s">
        <v>289</v>
      </c>
      <c r="AJ120" s="4" t="s">
        <v>241</v>
      </c>
      <c r="AK120" s="36">
        <v>7495</v>
      </c>
      <c r="AL120" s="30">
        <v>1266655000</v>
      </c>
      <c r="AM120" s="30">
        <v>114</v>
      </c>
      <c r="AN120" s="30">
        <v>17818560</v>
      </c>
      <c r="AO120" s="30">
        <v>3053</v>
      </c>
      <c r="AP120" s="30">
        <v>434518939</v>
      </c>
      <c r="AQ120" s="30">
        <v>4488</v>
      </c>
      <c r="AR120" s="30">
        <v>645126547</v>
      </c>
      <c r="AS120" s="52">
        <f t="shared" si="13"/>
        <v>0.59879919946631088</v>
      </c>
    </row>
    <row r="121" spans="1:45" x14ac:dyDescent="0.3">
      <c r="A121" s="1" t="str">
        <f t="shared" si="8"/>
        <v>DMDJ71046IVD</v>
      </c>
      <c r="B121" s="32" t="s">
        <v>285</v>
      </c>
      <c r="C121" s="10" t="str">
        <f t="shared" si="11"/>
        <v>DJ710</v>
      </c>
      <c r="D121" s="10" t="s">
        <v>55</v>
      </c>
      <c r="E121" s="10" t="str">
        <f t="shared" si="9"/>
        <v>M</v>
      </c>
      <c r="F121" s="10" t="str">
        <f t="shared" si="10"/>
        <v>DJ</v>
      </c>
      <c r="G121" s="10" t="s">
        <v>56</v>
      </c>
      <c r="H121" s="4" t="s">
        <v>286</v>
      </c>
      <c r="I121" s="10" t="s">
        <v>105</v>
      </c>
      <c r="J121" s="4" t="str">
        <f t="shared" si="12"/>
        <v/>
      </c>
      <c r="K121" s="4">
        <v>1</v>
      </c>
      <c r="L121" s="30">
        <v>169000</v>
      </c>
      <c r="M121" s="78" t="s">
        <v>83</v>
      </c>
      <c r="N121" s="98" t="s">
        <v>290</v>
      </c>
      <c r="O121" s="10" t="s">
        <v>61</v>
      </c>
      <c r="P121" s="63">
        <v>100</v>
      </c>
      <c r="Q121" s="94" t="s">
        <v>85</v>
      </c>
      <c r="R121" s="63" t="s">
        <v>86</v>
      </c>
      <c r="S121" s="96" t="s">
        <v>87</v>
      </c>
      <c r="T121" s="10" t="s">
        <v>65</v>
      </c>
      <c r="U121" s="10"/>
      <c r="V121" s="10" t="s">
        <v>66</v>
      </c>
      <c r="W121" s="10"/>
      <c r="X121" s="9" t="s">
        <v>67</v>
      </c>
      <c r="Y121" s="10" t="s">
        <v>88</v>
      </c>
      <c r="Z121" s="94" t="s">
        <v>89</v>
      </c>
      <c r="AA121" s="94" t="s">
        <v>90</v>
      </c>
      <c r="AB121" s="9" t="s">
        <v>91</v>
      </c>
      <c r="AC121" s="68" t="s">
        <v>92</v>
      </c>
      <c r="AD121" s="69" t="str">
        <f t="shared" si="14"/>
        <v>(다운백 없음)</v>
      </c>
      <c r="AE121" s="65" t="s">
        <v>73</v>
      </c>
      <c r="AF121" s="39" t="s">
        <v>288</v>
      </c>
      <c r="AG121" s="10" t="s">
        <v>240</v>
      </c>
      <c r="AH121" s="4">
        <v>650</v>
      </c>
      <c r="AI121" s="11" t="s">
        <v>289</v>
      </c>
      <c r="AJ121" s="4" t="s">
        <v>241</v>
      </c>
      <c r="AK121" s="36">
        <v>1803</v>
      </c>
      <c r="AL121" s="30">
        <v>304707000</v>
      </c>
      <c r="AM121" s="30">
        <v>25</v>
      </c>
      <c r="AN121" s="30">
        <v>3806360</v>
      </c>
      <c r="AO121" s="30">
        <v>703</v>
      </c>
      <c r="AP121" s="30">
        <v>91369489</v>
      </c>
      <c r="AQ121" s="30">
        <v>828</v>
      </c>
      <c r="AR121" s="30">
        <v>111474008</v>
      </c>
      <c r="AS121" s="52">
        <f t="shared" si="13"/>
        <v>0.45923460898502494</v>
      </c>
    </row>
    <row r="122" spans="1:45" x14ac:dyDescent="0.3">
      <c r="A122" s="1" t="str">
        <f t="shared" si="8"/>
        <v>DWDJ72046BKS</v>
      </c>
      <c r="B122" s="32" t="s">
        <v>291</v>
      </c>
      <c r="C122" s="10" t="str">
        <f t="shared" si="11"/>
        <v>DJ720</v>
      </c>
      <c r="D122" s="10" t="s">
        <v>55</v>
      </c>
      <c r="E122" s="10" t="str">
        <f t="shared" si="9"/>
        <v>W</v>
      </c>
      <c r="F122" s="10" t="str">
        <f t="shared" si="10"/>
        <v>DJ</v>
      </c>
      <c r="G122" s="10" t="s">
        <v>56</v>
      </c>
      <c r="H122" s="4" t="s">
        <v>292</v>
      </c>
      <c r="I122" s="10" t="s">
        <v>78</v>
      </c>
      <c r="J122" s="4">
        <f t="shared" si="12"/>
        <v>1</v>
      </c>
      <c r="K122" s="4">
        <v>1</v>
      </c>
      <c r="L122" s="30">
        <v>169000</v>
      </c>
      <c r="M122" s="78" t="s">
        <v>83</v>
      </c>
      <c r="N122" s="98" t="s">
        <v>290</v>
      </c>
      <c r="O122" s="10" t="s">
        <v>61</v>
      </c>
      <c r="P122" s="63">
        <v>100</v>
      </c>
      <c r="Q122" s="94" t="s">
        <v>85</v>
      </c>
      <c r="R122" s="63" t="s">
        <v>86</v>
      </c>
      <c r="S122" s="96" t="s">
        <v>87</v>
      </c>
      <c r="T122" s="10" t="s">
        <v>65</v>
      </c>
      <c r="U122" s="10"/>
      <c r="V122" s="10" t="s">
        <v>66</v>
      </c>
      <c r="W122" s="10"/>
      <c r="X122" s="9" t="s">
        <v>67</v>
      </c>
      <c r="Y122" s="10" t="s">
        <v>88</v>
      </c>
      <c r="Z122" s="94" t="s">
        <v>89</v>
      </c>
      <c r="AA122" s="94" t="s">
        <v>90</v>
      </c>
      <c r="AB122" s="9" t="s">
        <v>91</v>
      </c>
      <c r="AC122" s="68" t="s">
        <v>92</v>
      </c>
      <c r="AD122" s="69" t="str">
        <f t="shared" si="14"/>
        <v>(다운백 없음)</v>
      </c>
      <c r="AE122" s="65" t="s">
        <v>73</v>
      </c>
      <c r="AF122" s="39" t="s">
        <v>293</v>
      </c>
      <c r="AG122" s="10" t="s">
        <v>240</v>
      </c>
      <c r="AH122" s="4">
        <v>650</v>
      </c>
      <c r="AI122" s="11" t="s">
        <v>289</v>
      </c>
      <c r="AJ122" s="4" t="s">
        <v>241</v>
      </c>
      <c r="AK122" s="36">
        <v>3000</v>
      </c>
      <c r="AL122" s="30">
        <v>507000000</v>
      </c>
      <c r="AM122" s="30">
        <v>34</v>
      </c>
      <c r="AN122" s="30">
        <v>5267665</v>
      </c>
      <c r="AO122" s="30">
        <v>897</v>
      </c>
      <c r="AP122" s="30">
        <v>132490154</v>
      </c>
      <c r="AQ122" s="30">
        <v>1277</v>
      </c>
      <c r="AR122" s="30">
        <v>189980419</v>
      </c>
      <c r="AS122" s="52">
        <f t="shared" si="13"/>
        <v>0.42566666666666669</v>
      </c>
    </row>
    <row r="123" spans="1:45" x14ac:dyDescent="0.3">
      <c r="A123" s="1" t="str">
        <f t="shared" si="8"/>
        <v>DWDJ72046IVD</v>
      </c>
      <c r="B123" s="32" t="s">
        <v>291</v>
      </c>
      <c r="C123" s="10" t="str">
        <f t="shared" si="11"/>
        <v>DJ720</v>
      </c>
      <c r="D123" s="10" t="s">
        <v>55</v>
      </c>
      <c r="E123" s="10" t="str">
        <f t="shared" si="9"/>
        <v>W</v>
      </c>
      <c r="F123" s="10" t="str">
        <f t="shared" si="10"/>
        <v>DJ</v>
      </c>
      <c r="G123" s="10" t="s">
        <v>56</v>
      </c>
      <c r="H123" s="4" t="s">
        <v>292</v>
      </c>
      <c r="I123" s="10" t="s">
        <v>105</v>
      </c>
      <c r="J123" s="4" t="str">
        <f t="shared" si="12"/>
        <v/>
      </c>
      <c r="K123" s="4">
        <v>1</v>
      </c>
      <c r="L123" s="30">
        <v>169000</v>
      </c>
      <c r="M123" s="78" t="s">
        <v>83</v>
      </c>
      <c r="N123" s="98" t="s">
        <v>290</v>
      </c>
      <c r="O123" s="10" t="s">
        <v>61</v>
      </c>
      <c r="P123" s="63">
        <v>100</v>
      </c>
      <c r="Q123" s="94" t="s">
        <v>85</v>
      </c>
      <c r="R123" s="63" t="s">
        <v>86</v>
      </c>
      <c r="S123" s="96" t="s">
        <v>87</v>
      </c>
      <c r="T123" s="10" t="s">
        <v>65</v>
      </c>
      <c r="U123" s="10"/>
      <c r="V123" s="10" t="s">
        <v>66</v>
      </c>
      <c r="W123" s="10"/>
      <c r="X123" s="9" t="s">
        <v>67</v>
      </c>
      <c r="Y123" s="10" t="s">
        <v>88</v>
      </c>
      <c r="Z123" s="94" t="s">
        <v>89</v>
      </c>
      <c r="AA123" s="94" t="s">
        <v>90</v>
      </c>
      <c r="AB123" s="9" t="s">
        <v>91</v>
      </c>
      <c r="AC123" s="68" t="s">
        <v>92</v>
      </c>
      <c r="AD123" s="69" t="str">
        <f t="shared" si="14"/>
        <v>(다운백 없음)</v>
      </c>
      <c r="AE123" s="65" t="s">
        <v>73</v>
      </c>
      <c r="AF123" s="39" t="s">
        <v>293</v>
      </c>
      <c r="AG123" s="10" t="s">
        <v>240</v>
      </c>
      <c r="AH123" s="4">
        <v>650</v>
      </c>
      <c r="AI123" s="11" t="s">
        <v>289</v>
      </c>
      <c r="AJ123" s="4" t="s">
        <v>241</v>
      </c>
      <c r="AK123" s="36">
        <v>2000</v>
      </c>
      <c r="AL123" s="30">
        <v>338000000</v>
      </c>
      <c r="AM123" s="30">
        <v>31</v>
      </c>
      <c r="AN123" s="30">
        <v>4881000</v>
      </c>
      <c r="AO123" s="30">
        <v>751</v>
      </c>
      <c r="AP123" s="30">
        <v>107827545</v>
      </c>
      <c r="AQ123" s="30">
        <v>976</v>
      </c>
      <c r="AR123" s="30">
        <v>144859225</v>
      </c>
      <c r="AS123" s="52">
        <f t="shared" si="13"/>
        <v>0.48799999999999999</v>
      </c>
    </row>
    <row r="124" spans="1:45" x14ac:dyDescent="0.3">
      <c r="A124" s="1" t="str">
        <f t="shared" si="8"/>
        <v>DMDJ73046BGL</v>
      </c>
      <c r="B124" s="32" t="s">
        <v>294</v>
      </c>
      <c r="C124" s="10" t="str">
        <f t="shared" si="11"/>
        <v>DJ730</v>
      </c>
      <c r="D124" s="10" t="s">
        <v>55</v>
      </c>
      <c r="E124" s="10" t="str">
        <f t="shared" si="9"/>
        <v>M</v>
      </c>
      <c r="F124" s="10" t="str">
        <f t="shared" si="10"/>
        <v>DJ</v>
      </c>
      <c r="G124" s="10" t="s">
        <v>56</v>
      </c>
      <c r="H124" s="4" t="s">
        <v>295</v>
      </c>
      <c r="I124" s="10" t="s">
        <v>163</v>
      </c>
      <c r="J124" s="4">
        <f t="shared" si="12"/>
        <v>1</v>
      </c>
      <c r="K124" s="4">
        <v>1</v>
      </c>
      <c r="L124" s="30">
        <v>159000</v>
      </c>
      <c r="M124" s="78" t="s">
        <v>83</v>
      </c>
      <c r="N124" s="98" t="s">
        <v>290</v>
      </c>
      <c r="O124" s="10" t="s">
        <v>61</v>
      </c>
      <c r="P124" s="63">
        <v>100</v>
      </c>
      <c r="Q124" s="94" t="s">
        <v>85</v>
      </c>
      <c r="R124" s="63" t="s">
        <v>86</v>
      </c>
      <c r="S124" s="96" t="s">
        <v>87</v>
      </c>
      <c r="T124" s="10" t="s">
        <v>65</v>
      </c>
      <c r="U124" s="10"/>
      <c r="V124" s="10" t="s">
        <v>66</v>
      </c>
      <c r="W124" s="10"/>
      <c r="X124" s="9" t="s">
        <v>67</v>
      </c>
      <c r="Y124" s="10" t="s">
        <v>88</v>
      </c>
      <c r="Z124" s="94" t="s">
        <v>89</v>
      </c>
      <c r="AA124" s="94" t="s">
        <v>90</v>
      </c>
      <c r="AB124" s="9" t="s">
        <v>91</v>
      </c>
      <c r="AC124" s="68" t="s">
        <v>92</v>
      </c>
      <c r="AD124" s="69" t="str">
        <f t="shared" si="14"/>
        <v>(다운백 없음)</v>
      </c>
      <c r="AE124" s="65" t="s">
        <v>73</v>
      </c>
      <c r="AF124" s="39" t="s">
        <v>288</v>
      </c>
      <c r="AG124" s="10" t="s">
        <v>240</v>
      </c>
      <c r="AH124" s="4">
        <v>650</v>
      </c>
      <c r="AI124" s="11" t="s">
        <v>289</v>
      </c>
      <c r="AJ124" s="4" t="s">
        <v>241</v>
      </c>
      <c r="AK124" s="36">
        <v>700</v>
      </c>
      <c r="AL124" s="30">
        <v>111300000</v>
      </c>
      <c r="AM124" s="30">
        <v>23</v>
      </c>
      <c r="AN124" s="30">
        <v>3637000</v>
      </c>
      <c r="AO124" s="30">
        <v>233</v>
      </c>
      <c r="AP124" s="30">
        <v>34628575</v>
      </c>
      <c r="AQ124" s="30">
        <v>338</v>
      </c>
      <c r="AR124" s="30">
        <v>50044013</v>
      </c>
      <c r="AS124" s="52">
        <f t="shared" si="13"/>
        <v>0.48285714285714287</v>
      </c>
    </row>
    <row r="125" spans="1:45" x14ac:dyDescent="0.3">
      <c r="A125" s="1" t="str">
        <f t="shared" si="8"/>
        <v>DMDJ73046BKS</v>
      </c>
      <c r="B125" s="32" t="s">
        <v>294</v>
      </c>
      <c r="C125" s="10" t="str">
        <f t="shared" si="11"/>
        <v>DJ730</v>
      </c>
      <c r="D125" s="10" t="s">
        <v>55</v>
      </c>
      <c r="E125" s="10" t="str">
        <f t="shared" si="9"/>
        <v>M</v>
      </c>
      <c r="F125" s="10" t="str">
        <f t="shared" si="10"/>
        <v>DJ</v>
      </c>
      <c r="G125" s="10" t="s">
        <v>56</v>
      </c>
      <c r="H125" s="4" t="s">
        <v>295</v>
      </c>
      <c r="I125" s="10" t="s">
        <v>78</v>
      </c>
      <c r="J125" s="4" t="str">
        <f t="shared" si="12"/>
        <v/>
      </c>
      <c r="K125" s="4">
        <v>1</v>
      </c>
      <c r="L125" s="30">
        <v>159000</v>
      </c>
      <c r="M125" s="78" t="s">
        <v>83</v>
      </c>
      <c r="N125" s="98" t="s">
        <v>290</v>
      </c>
      <c r="O125" s="10" t="s">
        <v>61</v>
      </c>
      <c r="P125" s="63">
        <v>100</v>
      </c>
      <c r="Q125" s="94" t="s">
        <v>85</v>
      </c>
      <c r="R125" s="63" t="s">
        <v>86</v>
      </c>
      <c r="S125" s="96" t="s">
        <v>87</v>
      </c>
      <c r="T125" s="10" t="s">
        <v>65</v>
      </c>
      <c r="U125" s="10"/>
      <c r="V125" s="10" t="s">
        <v>66</v>
      </c>
      <c r="W125" s="10"/>
      <c r="X125" s="9" t="s">
        <v>67</v>
      </c>
      <c r="Y125" s="10" t="s">
        <v>88</v>
      </c>
      <c r="Z125" s="94" t="s">
        <v>89</v>
      </c>
      <c r="AA125" s="94" t="s">
        <v>90</v>
      </c>
      <c r="AB125" s="9" t="s">
        <v>91</v>
      </c>
      <c r="AC125" s="68" t="s">
        <v>92</v>
      </c>
      <c r="AD125" s="69" t="str">
        <f t="shared" si="14"/>
        <v>(다운백 없음)</v>
      </c>
      <c r="AE125" s="65" t="s">
        <v>73</v>
      </c>
      <c r="AF125" s="39" t="s">
        <v>288</v>
      </c>
      <c r="AG125" s="10" t="s">
        <v>240</v>
      </c>
      <c r="AH125" s="4">
        <v>650</v>
      </c>
      <c r="AI125" s="11" t="s">
        <v>289</v>
      </c>
      <c r="AJ125" s="4" t="s">
        <v>241</v>
      </c>
      <c r="AK125" s="36">
        <v>2500</v>
      </c>
      <c r="AL125" s="30">
        <v>397500000</v>
      </c>
      <c r="AM125" s="30">
        <v>65</v>
      </c>
      <c r="AN125" s="30">
        <v>10163010</v>
      </c>
      <c r="AO125" s="30">
        <v>895</v>
      </c>
      <c r="AP125" s="30">
        <v>129636726</v>
      </c>
      <c r="AQ125" s="30">
        <v>1394</v>
      </c>
      <c r="AR125" s="30">
        <v>203540981</v>
      </c>
      <c r="AS125" s="52">
        <f t="shared" si="13"/>
        <v>0.55759999999999998</v>
      </c>
    </row>
    <row r="126" spans="1:45" x14ac:dyDescent="0.3">
      <c r="A126" s="1" t="str">
        <f t="shared" si="8"/>
        <v>DWDJ74046BKS</v>
      </c>
      <c r="B126" s="32" t="s">
        <v>296</v>
      </c>
      <c r="C126" s="10" t="str">
        <f t="shared" si="11"/>
        <v>DJ740</v>
      </c>
      <c r="D126" s="10" t="s">
        <v>55</v>
      </c>
      <c r="E126" s="10" t="str">
        <f t="shared" si="9"/>
        <v>W</v>
      </c>
      <c r="F126" s="10" t="str">
        <f t="shared" si="10"/>
        <v>DJ</v>
      </c>
      <c r="G126" s="10" t="s">
        <v>56</v>
      </c>
      <c r="H126" s="4" t="s">
        <v>297</v>
      </c>
      <c r="I126" s="10" t="s">
        <v>78</v>
      </c>
      <c r="J126" s="4">
        <f t="shared" si="12"/>
        <v>1</v>
      </c>
      <c r="K126" s="4">
        <v>1</v>
      </c>
      <c r="L126" s="30">
        <v>159000</v>
      </c>
      <c r="M126" s="78" t="s">
        <v>83</v>
      </c>
      <c r="N126" s="98" t="s">
        <v>290</v>
      </c>
      <c r="O126" s="10" t="s">
        <v>61</v>
      </c>
      <c r="P126" s="63">
        <v>100</v>
      </c>
      <c r="Q126" s="94" t="s">
        <v>85</v>
      </c>
      <c r="R126" s="63" t="s">
        <v>86</v>
      </c>
      <c r="S126" s="96" t="s">
        <v>87</v>
      </c>
      <c r="T126" s="10" t="s">
        <v>65</v>
      </c>
      <c r="U126" s="10"/>
      <c r="V126" s="10" t="s">
        <v>66</v>
      </c>
      <c r="W126" s="10"/>
      <c r="X126" s="9" t="s">
        <v>67</v>
      </c>
      <c r="Y126" s="10" t="s">
        <v>88</v>
      </c>
      <c r="Z126" s="94" t="s">
        <v>89</v>
      </c>
      <c r="AA126" s="94" t="s">
        <v>90</v>
      </c>
      <c r="AB126" s="9" t="s">
        <v>91</v>
      </c>
      <c r="AC126" s="68" t="s">
        <v>92</v>
      </c>
      <c r="AD126" s="69" t="str">
        <f t="shared" si="14"/>
        <v>(다운백 없음)</v>
      </c>
      <c r="AE126" s="65" t="s">
        <v>73</v>
      </c>
      <c r="AF126" s="39" t="s">
        <v>293</v>
      </c>
      <c r="AG126" s="10" t="s">
        <v>240</v>
      </c>
      <c r="AH126" s="4">
        <v>650</v>
      </c>
      <c r="AI126" s="11" t="s">
        <v>289</v>
      </c>
      <c r="AJ126" s="4" t="s">
        <v>241</v>
      </c>
      <c r="AK126" s="36">
        <v>2500</v>
      </c>
      <c r="AL126" s="30">
        <v>397500000</v>
      </c>
      <c r="AM126" s="30">
        <v>45</v>
      </c>
      <c r="AN126" s="30">
        <v>7073361</v>
      </c>
      <c r="AO126" s="30">
        <v>918</v>
      </c>
      <c r="AP126" s="30">
        <v>138897384</v>
      </c>
      <c r="AQ126" s="30">
        <v>1330</v>
      </c>
      <c r="AR126" s="30">
        <v>201755619</v>
      </c>
      <c r="AS126" s="52">
        <f t="shared" si="13"/>
        <v>0.53200000000000003</v>
      </c>
    </row>
    <row r="127" spans="1:45" x14ac:dyDescent="0.3">
      <c r="A127" s="1" t="str">
        <f t="shared" si="8"/>
        <v>DWDJ74046CRS</v>
      </c>
      <c r="B127" s="32" t="s">
        <v>296</v>
      </c>
      <c r="C127" s="10" t="str">
        <f t="shared" si="11"/>
        <v>DJ740</v>
      </c>
      <c r="D127" s="10" t="s">
        <v>55</v>
      </c>
      <c r="E127" s="10" t="str">
        <f t="shared" si="9"/>
        <v>W</v>
      </c>
      <c r="F127" s="10" t="str">
        <f t="shared" si="10"/>
        <v>DJ</v>
      </c>
      <c r="G127" s="10" t="s">
        <v>56</v>
      </c>
      <c r="H127" s="4" t="s">
        <v>297</v>
      </c>
      <c r="I127" s="10" t="s">
        <v>79</v>
      </c>
      <c r="J127" s="4" t="str">
        <f t="shared" si="12"/>
        <v/>
      </c>
      <c r="K127" s="4">
        <v>1</v>
      </c>
      <c r="L127" s="30">
        <v>159000</v>
      </c>
      <c r="M127" s="78" t="s">
        <v>83</v>
      </c>
      <c r="N127" s="98" t="s">
        <v>290</v>
      </c>
      <c r="O127" s="10" t="s">
        <v>61</v>
      </c>
      <c r="P127" s="63">
        <v>100</v>
      </c>
      <c r="Q127" s="94" t="s">
        <v>85</v>
      </c>
      <c r="R127" s="63" t="s">
        <v>86</v>
      </c>
      <c r="S127" s="96" t="s">
        <v>87</v>
      </c>
      <c r="T127" s="10" t="s">
        <v>65</v>
      </c>
      <c r="U127" s="10"/>
      <c r="V127" s="10" t="s">
        <v>66</v>
      </c>
      <c r="W127" s="10"/>
      <c r="X127" s="9" t="s">
        <v>67</v>
      </c>
      <c r="Y127" s="10" t="s">
        <v>88</v>
      </c>
      <c r="Z127" s="94" t="s">
        <v>89</v>
      </c>
      <c r="AA127" s="94" t="s">
        <v>90</v>
      </c>
      <c r="AB127" s="9" t="s">
        <v>91</v>
      </c>
      <c r="AC127" s="68" t="s">
        <v>92</v>
      </c>
      <c r="AD127" s="69" t="str">
        <f t="shared" si="14"/>
        <v>(다운백 없음)</v>
      </c>
      <c r="AE127" s="65" t="s">
        <v>73</v>
      </c>
      <c r="AF127" s="39" t="s">
        <v>293</v>
      </c>
      <c r="AG127" s="10" t="s">
        <v>240</v>
      </c>
      <c r="AH127" s="4">
        <v>650</v>
      </c>
      <c r="AI127" s="11" t="s">
        <v>289</v>
      </c>
      <c r="AJ127" s="4" t="s">
        <v>241</v>
      </c>
      <c r="AK127" s="36">
        <v>1500</v>
      </c>
      <c r="AL127" s="30">
        <v>238500000</v>
      </c>
      <c r="AM127" s="30">
        <v>14</v>
      </c>
      <c r="AN127" s="30">
        <v>2186420</v>
      </c>
      <c r="AO127" s="30">
        <v>533</v>
      </c>
      <c r="AP127" s="30">
        <v>81175652</v>
      </c>
      <c r="AQ127" s="30">
        <v>802</v>
      </c>
      <c r="AR127" s="30">
        <v>122594711</v>
      </c>
      <c r="AS127" s="52">
        <f t="shared" si="13"/>
        <v>0.53466666666666662</v>
      </c>
    </row>
    <row r="128" spans="1:45" x14ac:dyDescent="0.3">
      <c r="A128" s="1" t="str">
        <f t="shared" si="8"/>
        <v>DWDJ74046BGL</v>
      </c>
      <c r="B128" s="32" t="s">
        <v>296</v>
      </c>
      <c r="C128" s="10" t="str">
        <f t="shared" si="11"/>
        <v>DJ740</v>
      </c>
      <c r="D128" s="10" t="s">
        <v>55</v>
      </c>
      <c r="E128" s="10" t="str">
        <f t="shared" si="9"/>
        <v>W</v>
      </c>
      <c r="F128" s="10" t="str">
        <f t="shared" si="10"/>
        <v>DJ</v>
      </c>
      <c r="G128" s="10" t="s">
        <v>56</v>
      </c>
      <c r="H128" s="4" t="s">
        <v>297</v>
      </c>
      <c r="I128" s="10" t="s">
        <v>163</v>
      </c>
      <c r="J128" s="4" t="str">
        <f t="shared" si="12"/>
        <v/>
      </c>
      <c r="K128" s="4">
        <v>1</v>
      </c>
      <c r="L128" s="30">
        <v>159000</v>
      </c>
      <c r="M128" s="78" t="s">
        <v>83</v>
      </c>
      <c r="N128" s="98" t="s">
        <v>290</v>
      </c>
      <c r="O128" s="10" t="s">
        <v>61</v>
      </c>
      <c r="P128" s="63">
        <v>100</v>
      </c>
      <c r="Q128" s="94" t="s">
        <v>85</v>
      </c>
      <c r="R128" s="63" t="s">
        <v>86</v>
      </c>
      <c r="S128" s="96" t="s">
        <v>87</v>
      </c>
      <c r="T128" s="10" t="s">
        <v>65</v>
      </c>
      <c r="U128" s="10"/>
      <c r="V128" s="10" t="s">
        <v>66</v>
      </c>
      <c r="W128" s="10"/>
      <c r="X128" s="9" t="s">
        <v>67</v>
      </c>
      <c r="Y128" s="10" t="s">
        <v>88</v>
      </c>
      <c r="Z128" s="94" t="s">
        <v>89</v>
      </c>
      <c r="AA128" s="94" t="s">
        <v>90</v>
      </c>
      <c r="AB128" s="9" t="s">
        <v>91</v>
      </c>
      <c r="AC128" s="68" t="s">
        <v>92</v>
      </c>
      <c r="AD128" s="69" t="str">
        <f t="shared" si="14"/>
        <v>(다운백 없음)</v>
      </c>
      <c r="AE128" s="65" t="s">
        <v>73</v>
      </c>
      <c r="AF128" s="39" t="s">
        <v>293</v>
      </c>
      <c r="AG128" s="10" t="s">
        <v>240</v>
      </c>
      <c r="AH128" s="4">
        <v>650</v>
      </c>
      <c r="AI128" s="11" t="s">
        <v>289</v>
      </c>
      <c r="AJ128" s="4" t="s">
        <v>241</v>
      </c>
      <c r="AK128" s="36">
        <v>1500</v>
      </c>
      <c r="AL128" s="30">
        <v>238500000</v>
      </c>
      <c r="AM128" s="30">
        <v>20</v>
      </c>
      <c r="AN128" s="30">
        <v>3086400</v>
      </c>
      <c r="AO128" s="30">
        <v>550</v>
      </c>
      <c r="AP128" s="30">
        <v>82013776</v>
      </c>
      <c r="AQ128" s="30">
        <v>792</v>
      </c>
      <c r="AR128" s="30">
        <v>118712013</v>
      </c>
      <c r="AS128" s="52">
        <f t="shared" si="13"/>
        <v>0.52800000000000002</v>
      </c>
    </row>
    <row r="129" spans="1:45" x14ac:dyDescent="0.3">
      <c r="A129" s="1" t="str">
        <f t="shared" si="8"/>
        <v>DMDJ77046BGL</v>
      </c>
      <c r="B129" s="32" t="s">
        <v>298</v>
      </c>
      <c r="C129" s="10" t="str">
        <f t="shared" si="11"/>
        <v>DJ770</v>
      </c>
      <c r="D129" s="10" t="s">
        <v>55</v>
      </c>
      <c r="E129" s="10" t="str">
        <f t="shared" si="9"/>
        <v>M</v>
      </c>
      <c r="F129" s="10" t="str">
        <f t="shared" si="10"/>
        <v>DJ</v>
      </c>
      <c r="G129" s="10" t="s">
        <v>56</v>
      </c>
      <c r="H129" s="4" t="s">
        <v>299</v>
      </c>
      <c r="I129" s="10" t="s">
        <v>163</v>
      </c>
      <c r="J129" s="4">
        <f t="shared" si="12"/>
        <v>1</v>
      </c>
      <c r="K129" s="4">
        <v>1</v>
      </c>
      <c r="L129" s="30">
        <v>199000</v>
      </c>
      <c r="M129" s="78" t="s">
        <v>83</v>
      </c>
      <c r="N129" s="98" t="s">
        <v>300</v>
      </c>
      <c r="O129" s="10" t="s">
        <v>61</v>
      </c>
      <c r="P129" s="63">
        <v>100</v>
      </c>
      <c r="Q129" s="94" t="s">
        <v>119</v>
      </c>
      <c r="R129" s="63" t="s">
        <v>301</v>
      </c>
      <c r="S129" s="96" t="s">
        <v>302</v>
      </c>
      <c r="T129" s="10" t="s">
        <v>65</v>
      </c>
      <c r="U129" s="10"/>
      <c r="V129" s="10" t="s">
        <v>66</v>
      </c>
      <c r="W129" s="10"/>
      <c r="X129" s="9" t="s">
        <v>67</v>
      </c>
      <c r="Y129" s="10" t="s">
        <v>88</v>
      </c>
      <c r="Z129" s="94" t="s">
        <v>89</v>
      </c>
      <c r="AA129" s="94" t="s">
        <v>90</v>
      </c>
      <c r="AB129" s="9" t="s">
        <v>91</v>
      </c>
      <c r="AC129" s="68" t="s">
        <v>92</v>
      </c>
      <c r="AD129" s="69" t="str">
        <f t="shared" si="14"/>
        <v>(다운백 없음)</v>
      </c>
      <c r="AE129" s="65" t="s">
        <v>73</v>
      </c>
      <c r="AF129" s="42" t="s">
        <v>303</v>
      </c>
      <c r="AG129" s="10" t="s">
        <v>75</v>
      </c>
      <c r="AH129" s="4">
        <v>650</v>
      </c>
      <c r="AI129" s="11" t="s">
        <v>76</v>
      </c>
      <c r="AJ129" s="4" t="s">
        <v>241</v>
      </c>
      <c r="AK129" s="36">
        <v>1208</v>
      </c>
      <c r="AL129" s="30">
        <v>240392000</v>
      </c>
      <c r="AM129" s="30">
        <v>131</v>
      </c>
      <c r="AN129" s="30">
        <v>25959200</v>
      </c>
      <c r="AO129" s="30">
        <v>612</v>
      </c>
      <c r="AP129" s="30">
        <v>111091056</v>
      </c>
      <c r="AQ129" s="30">
        <v>815</v>
      </c>
      <c r="AR129" s="30">
        <v>147492584</v>
      </c>
      <c r="AS129" s="52">
        <f t="shared" si="13"/>
        <v>0.67466887417218546</v>
      </c>
    </row>
    <row r="130" spans="1:45" x14ac:dyDescent="0.3">
      <c r="A130" s="1" t="str">
        <f t="shared" si="8"/>
        <v>DMDJ77046GRS</v>
      </c>
      <c r="B130" s="32" t="s">
        <v>298</v>
      </c>
      <c r="C130" s="10" t="str">
        <f t="shared" si="11"/>
        <v>DJ770</v>
      </c>
      <c r="D130" s="10" t="s">
        <v>55</v>
      </c>
      <c r="E130" s="10" t="str">
        <f t="shared" si="9"/>
        <v>M</v>
      </c>
      <c r="F130" s="10" t="str">
        <f t="shared" si="10"/>
        <v>DJ</v>
      </c>
      <c r="G130" s="10" t="s">
        <v>56</v>
      </c>
      <c r="H130" s="4" t="s">
        <v>299</v>
      </c>
      <c r="I130" s="10" t="s">
        <v>233</v>
      </c>
      <c r="J130" s="4" t="str">
        <f t="shared" si="12"/>
        <v/>
      </c>
      <c r="K130" s="4">
        <v>1</v>
      </c>
      <c r="L130" s="30">
        <v>199000</v>
      </c>
      <c r="M130" s="78" t="s">
        <v>83</v>
      </c>
      <c r="N130" s="98" t="s">
        <v>304</v>
      </c>
      <c r="O130" s="10" t="s">
        <v>61</v>
      </c>
      <c r="P130" s="63">
        <v>100</v>
      </c>
      <c r="Q130" s="94" t="s">
        <v>119</v>
      </c>
      <c r="R130" s="63" t="s">
        <v>301</v>
      </c>
      <c r="S130" s="96" t="s">
        <v>302</v>
      </c>
      <c r="T130" s="10" t="s">
        <v>65</v>
      </c>
      <c r="U130" s="10"/>
      <c r="V130" s="10" t="s">
        <v>66</v>
      </c>
      <c r="W130" s="10"/>
      <c r="X130" s="9" t="s">
        <v>67</v>
      </c>
      <c r="Y130" s="10" t="s">
        <v>88</v>
      </c>
      <c r="Z130" s="94" t="s">
        <v>89</v>
      </c>
      <c r="AA130" s="94" t="s">
        <v>90</v>
      </c>
      <c r="AB130" s="9" t="s">
        <v>91</v>
      </c>
      <c r="AC130" s="68" t="s">
        <v>92</v>
      </c>
      <c r="AD130" s="69" t="str">
        <f t="shared" si="14"/>
        <v>(다운백 없음)</v>
      </c>
      <c r="AE130" s="65" t="s">
        <v>73</v>
      </c>
      <c r="AF130" s="42" t="s">
        <v>303</v>
      </c>
      <c r="AG130" s="10" t="s">
        <v>75</v>
      </c>
      <c r="AH130" s="4">
        <v>650</v>
      </c>
      <c r="AI130" s="11" t="s">
        <v>76</v>
      </c>
      <c r="AJ130" s="4" t="s">
        <v>241</v>
      </c>
      <c r="AK130" s="36">
        <v>1209</v>
      </c>
      <c r="AL130" s="30">
        <v>240591000</v>
      </c>
      <c r="AM130" s="30">
        <v>72</v>
      </c>
      <c r="AN130" s="30">
        <v>14227341</v>
      </c>
      <c r="AO130" s="30">
        <v>470</v>
      </c>
      <c r="AP130" s="30">
        <v>84980506</v>
      </c>
      <c r="AQ130" s="30">
        <v>708</v>
      </c>
      <c r="AR130" s="30">
        <v>126565098</v>
      </c>
      <c r="AS130" s="52">
        <f t="shared" si="13"/>
        <v>0.5856079404466501</v>
      </c>
    </row>
    <row r="131" spans="1:45" x14ac:dyDescent="0.3">
      <c r="A131" s="1" t="str">
        <f t="shared" si="8"/>
        <v>DMDJ77046BKS</v>
      </c>
      <c r="B131" s="32" t="s">
        <v>298</v>
      </c>
      <c r="C131" s="10" t="str">
        <f t="shared" si="11"/>
        <v>DJ770</v>
      </c>
      <c r="D131" s="10" t="s">
        <v>55</v>
      </c>
      <c r="E131" s="10" t="str">
        <f t="shared" si="9"/>
        <v>M</v>
      </c>
      <c r="F131" s="10" t="str">
        <f t="shared" si="10"/>
        <v>DJ</v>
      </c>
      <c r="G131" s="10" t="s">
        <v>56</v>
      </c>
      <c r="H131" s="4" t="s">
        <v>299</v>
      </c>
      <c r="I131" s="10" t="s">
        <v>78</v>
      </c>
      <c r="J131" s="4" t="str">
        <f t="shared" si="12"/>
        <v/>
      </c>
      <c r="K131" s="4">
        <v>1</v>
      </c>
      <c r="L131" s="30">
        <v>199000</v>
      </c>
      <c r="M131" s="78" t="s">
        <v>83</v>
      </c>
      <c r="N131" s="98" t="s">
        <v>304</v>
      </c>
      <c r="O131" s="10" t="s">
        <v>61</v>
      </c>
      <c r="P131" s="63">
        <v>100</v>
      </c>
      <c r="Q131" s="94" t="s">
        <v>119</v>
      </c>
      <c r="R131" s="63" t="s">
        <v>301</v>
      </c>
      <c r="S131" s="96" t="s">
        <v>302</v>
      </c>
      <c r="T131" s="10" t="s">
        <v>65</v>
      </c>
      <c r="U131" s="10"/>
      <c r="V131" s="10" t="s">
        <v>66</v>
      </c>
      <c r="W131" s="10"/>
      <c r="X131" s="9" t="s">
        <v>67</v>
      </c>
      <c r="Y131" s="10" t="s">
        <v>88</v>
      </c>
      <c r="Z131" s="94" t="s">
        <v>89</v>
      </c>
      <c r="AA131" s="94" t="s">
        <v>90</v>
      </c>
      <c r="AB131" s="9" t="s">
        <v>91</v>
      </c>
      <c r="AC131" s="68" t="s">
        <v>92</v>
      </c>
      <c r="AD131" s="69" t="str">
        <f t="shared" si="14"/>
        <v>(다운백 없음)</v>
      </c>
      <c r="AE131" s="65" t="s">
        <v>73</v>
      </c>
      <c r="AF131" s="42" t="s">
        <v>303</v>
      </c>
      <c r="AG131" s="10" t="s">
        <v>75</v>
      </c>
      <c r="AH131" s="4">
        <v>650</v>
      </c>
      <c r="AI131" s="11" t="s">
        <v>76</v>
      </c>
      <c r="AJ131" s="4" t="s">
        <v>241</v>
      </c>
      <c r="AK131" s="36">
        <v>4114</v>
      </c>
      <c r="AL131" s="30">
        <v>818686000</v>
      </c>
      <c r="AM131" s="30">
        <v>365</v>
      </c>
      <c r="AN131" s="30">
        <v>72282952</v>
      </c>
      <c r="AO131" s="30">
        <v>2052</v>
      </c>
      <c r="AP131" s="30">
        <v>371809138</v>
      </c>
      <c r="AQ131" s="30">
        <v>3088</v>
      </c>
      <c r="AR131" s="30">
        <v>559382293</v>
      </c>
      <c r="AS131" s="52">
        <f t="shared" si="13"/>
        <v>0.75060768108896447</v>
      </c>
    </row>
    <row r="132" spans="1:45" x14ac:dyDescent="0.3">
      <c r="A132" s="1" t="str">
        <f t="shared" si="8"/>
        <v>DWDJ78046BGL</v>
      </c>
      <c r="B132" s="32" t="s">
        <v>305</v>
      </c>
      <c r="C132" s="10" t="str">
        <f t="shared" si="11"/>
        <v>DJ780</v>
      </c>
      <c r="D132" s="10" t="s">
        <v>55</v>
      </c>
      <c r="E132" s="10" t="str">
        <f t="shared" si="9"/>
        <v>W</v>
      </c>
      <c r="F132" s="10" t="str">
        <f t="shared" si="10"/>
        <v>DJ</v>
      </c>
      <c r="G132" s="10" t="s">
        <v>56</v>
      </c>
      <c r="H132" s="4" t="s">
        <v>306</v>
      </c>
      <c r="I132" s="10" t="s">
        <v>163</v>
      </c>
      <c r="J132" s="4">
        <f t="shared" si="12"/>
        <v>1</v>
      </c>
      <c r="K132" s="4">
        <v>1</v>
      </c>
      <c r="L132" s="30">
        <v>199000</v>
      </c>
      <c r="M132" s="78" t="s">
        <v>83</v>
      </c>
      <c r="N132" s="98" t="s">
        <v>307</v>
      </c>
      <c r="O132" s="10" t="s">
        <v>61</v>
      </c>
      <c r="P132" s="63">
        <v>100</v>
      </c>
      <c r="Q132" s="94" t="s">
        <v>119</v>
      </c>
      <c r="R132" s="63" t="s">
        <v>301</v>
      </c>
      <c r="S132" s="96" t="s">
        <v>302</v>
      </c>
      <c r="T132" s="10" t="s">
        <v>65</v>
      </c>
      <c r="U132" s="10"/>
      <c r="V132" s="10" t="s">
        <v>66</v>
      </c>
      <c r="W132" s="10"/>
      <c r="X132" s="9" t="s">
        <v>67</v>
      </c>
      <c r="Y132" s="10" t="s">
        <v>88</v>
      </c>
      <c r="Z132" s="94" t="s">
        <v>89</v>
      </c>
      <c r="AA132" s="94" t="s">
        <v>90</v>
      </c>
      <c r="AB132" s="9" t="s">
        <v>91</v>
      </c>
      <c r="AC132" s="68" t="s">
        <v>92</v>
      </c>
      <c r="AD132" s="69" t="str">
        <f t="shared" si="14"/>
        <v>(다운백 없음)</v>
      </c>
      <c r="AE132" s="65" t="s">
        <v>73</v>
      </c>
      <c r="AF132" s="39" t="s">
        <v>308</v>
      </c>
      <c r="AG132" s="10" t="s">
        <v>75</v>
      </c>
      <c r="AH132" s="4">
        <v>650</v>
      </c>
      <c r="AI132" s="11" t="s">
        <v>76</v>
      </c>
      <c r="AJ132" s="4" t="s">
        <v>241</v>
      </c>
      <c r="AK132" s="36">
        <v>2213</v>
      </c>
      <c r="AL132" s="30">
        <v>440387000</v>
      </c>
      <c r="AM132" s="30">
        <v>184</v>
      </c>
      <c r="AN132" s="30">
        <v>36467901</v>
      </c>
      <c r="AO132" s="30">
        <v>1085</v>
      </c>
      <c r="AP132" s="30">
        <v>205138407</v>
      </c>
      <c r="AQ132" s="30">
        <v>1631</v>
      </c>
      <c r="AR132" s="30">
        <v>306391692</v>
      </c>
      <c r="AS132" s="52">
        <f t="shared" si="13"/>
        <v>0.73700858563036598</v>
      </c>
    </row>
    <row r="133" spans="1:45" x14ac:dyDescent="0.3">
      <c r="A133" s="1" t="str">
        <f t="shared" ref="A133:A196" si="15">B133&amp;I133</f>
        <v>DWDJ78046CRS</v>
      </c>
      <c r="B133" s="32" t="s">
        <v>305</v>
      </c>
      <c r="C133" s="10" t="str">
        <f t="shared" si="11"/>
        <v>DJ780</v>
      </c>
      <c r="D133" s="10" t="s">
        <v>55</v>
      </c>
      <c r="E133" s="10" t="str">
        <f t="shared" ref="E133:E196" si="16">MID($B133,2,1)</f>
        <v>W</v>
      </c>
      <c r="F133" s="10" t="str">
        <f t="shared" ref="F133:F196" si="17">MID($B133,3,2)</f>
        <v>DJ</v>
      </c>
      <c r="G133" s="10" t="s">
        <v>56</v>
      </c>
      <c r="H133" s="4" t="s">
        <v>306</v>
      </c>
      <c r="I133" s="10" t="s">
        <v>79</v>
      </c>
      <c r="J133" s="4" t="str">
        <f t="shared" si="12"/>
        <v/>
      </c>
      <c r="K133" s="4">
        <v>1</v>
      </c>
      <c r="L133" s="30">
        <v>199000</v>
      </c>
      <c r="M133" s="78" t="s">
        <v>83</v>
      </c>
      <c r="N133" s="98" t="s">
        <v>307</v>
      </c>
      <c r="O133" s="10" t="s">
        <v>61</v>
      </c>
      <c r="P133" s="63">
        <v>100</v>
      </c>
      <c r="Q133" s="94" t="s">
        <v>119</v>
      </c>
      <c r="R133" s="63" t="s">
        <v>301</v>
      </c>
      <c r="S133" s="96" t="s">
        <v>302</v>
      </c>
      <c r="T133" s="10" t="s">
        <v>65</v>
      </c>
      <c r="U133" s="10"/>
      <c r="V133" s="10" t="s">
        <v>66</v>
      </c>
      <c r="W133" s="10"/>
      <c r="X133" s="9" t="s">
        <v>67</v>
      </c>
      <c r="Y133" s="10" t="s">
        <v>88</v>
      </c>
      <c r="Z133" s="94" t="s">
        <v>89</v>
      </c>
      <c r="AA133" s="94" t="s">
        <v>90</v>
      </c>
      <c r="AB133" s="9" t="s">
        <v>91</v>
      </c>
      <c r="AC133" s="68" t="s">
        <v>92</v>
      </c>
      <c r="AD133" s="69" t="str">
        <f t="shared" si="14"/>
        <v>(다운백 없음)</v>
      </c>
      <c r="AE133" s="65" t="s">
        <v>73</v>
      </c>
      <c r="AF133" s="39" t="s">
        <v>308</v>
      </c>
      <c r="AG133" s="10" t="s">
        <v>75</v>
      </c>
      <c r="AH133" s="4">
        <v>650</v>
      </c>
      <c r="AI133" s="11" t="s">
        <v>76</v>
      </c>
      <c r="AJ133" s="4" t="s">
        <v>241</v>
      </c>
      <c r="AK133" s="36">
        <v>2315</v>
      </c>
      <c r="AL133" s="30">
        <v>460685000</v>
      </c>
      <c r="AM133" s="30">
        <v>166</v>
      </c>
      <c r="AN133" s="30">
        <v>32940270</v>
      </c>
      <c r="AO133" s="30">
        <v>1108</v>
      </c>
      <c r="AP133" s="30">
        <v>212668553</v>
      </c>
      <c r="AQ133" s="30">
        <v>1572</v>
      </c>
      <c r="AR133" s="30">
        <v>300536536</v>
      </c>
      <c r="AS133" s="52">
        <f t="shared" si="13"/>
        <v>0.67904967602591793</v>
      </c>
    </row>
    <row r="134" spans="1:45" x14ac:dyDescent="0.3">
      <c r="A134" s="1" t="str">
        <f t="shared" si="15"/>
        <v>DWDJ78046BKS</v>
      </c>
      <c r="B134" s="32" t="s">
        <v>305</v>
      </c>
      <c r="C134" s="10" t="str">
        <f t="shared" ref="C134:C197" si="18">MID(B134,3,5)</f>
        <v>DJ780</v>
      </c>
      <c r="D134" s="10" t="s">
        <v>55</v>
      </c>
      <c r="E134" s="10" t="str">
        <f t="shared" si="16"/>
        <v>W</v>
      </c>
      <c r="F134" s="10" t="str">
        <f t="shared" si="17"/>
        <v>DJ</v>
      </c>
      <c r="G134" s="10" t="s">
        <v>56</v>
      </c>
      <c r="H134" s="4" t="s">
        <v>306</v>
      </c>
      <c r="I134" s="10" t="s">
        <v>78</v>
      </c>
      <c r="J134" s="4" t="str">
        <f t="shared" ref="J134:J197" si="19">IF(B134=B133,"",1)</f>
        <v/>
      </c>
      <c r="K134" s="4">
        <v>1</v>
      </c>
      <c r="L134" s="30">
        <v>199000</v>
      </c>
      <c r="M134" s="78" t="s">
        <v>83</v>
      </c>
      <c r="N134" s="98" t="s">
        <v>307</v>
      </c>
      <c r="O134" s="10" t="s">
        <v>61</v>
      </c>
      <c r="P134" s="63">
        <v>100</v>
      </c>
      <c r="Q134" s="94" t="s">
        <v>119</v>
      </c>
      <c r="R134" s="63" t="s">
        <v>301</v>
      </c>
      <c r="S134" s="96" t="s">
        <v>302</v>
      </c>
      <c r="T134" s="10" t="s">
        <v>65</v>
      </c>
      <c r="U134" s="10"/>
      <c r="V134" s="10" t="s">
        <v>66</v>
      </c>
      <c r="W134" s="10"/>
      <c r="X134" s="9" t="s">
        <v>67</v>
      </c>
      <c r="Y134" s="10" t="s">
        <v>88</v>
      </c>
      <c r="Z134" s="94" t="s">
        <v>89</v>
      </c>
      <c r="AA134" s="94" t="s">
        <v>90</v>
      </c>
      <c r="AB134" s="9" t="s">
        <v>91</v>
      </c>
      <c r="AC134" s="68" t="s">
        <v>92</v>
      </c>
      <c r="AD134" s="69" t="str">
        <f t="shared" si="14"/>
        <v>(다운백 없음)</v>
      </c>
      <c r="AE134" s="65" t="s">
        <v>73</v>
      </c>
      <c r="AF134" s="39" t="s">
        <v>308</v>
      </c>
      <c r="AG134" s="10" t="s">
        <v>75</v>
      </c>
      <c r="AH134" s="4">
        <v>650</v>
      </c>
      <c r="AI134" s="11" t="s">
        <v>76</v>
      </c>
      <c r="AJ134" s="4" t="s">
        <v>241</v>
      </c>
      <c r="AK134" s="36">
        <v>3013</v>
      </c>
      <c r="AL134" s="30">
        <v>599587000</v>
      </c>
      <c r="AM134" s="30">
        <v>243</v>
      </c>
      <c r="AN134" s="30">
        <v>48232297</v>
      </c>
      <c r="AO134" s="30">
        <v>1563</v>
      </c>
      <c r="AP134" s="30">
        <v>295397586</v>
      </c>
      <c r="AQ134" s="30">
        <v>2292</v>
      </c>
      <c r="AR134" s="30">
        <v>428645736</v>
      </c>
      <c r="AS134" s="52">
        <f t="shared" ref="AS134:AS197" si="20">AQ134/AK134</f>
        <v>0.76070361765682049</v>
      </c>
    </row>
    <row r="135" spans="1:45" x14ac:dyDescent="0.3">
      <c r="A135" s="1" t="str">
        <f t="shared" si="15"/>
        <v>DMDJ79046GRD</v>
      </c>
      <c r="B135" s="32" t="s">
        <v>309</v>
      </c>
      <c r="C135" s="10" t="str">
        <f t="shared" si="18"/>
        <v>DJ790</v>
      </c>
      <c r="D135" s="10" t="s">
        <v>55</v>
      </c>
      <c r="E135" s="10" t="str">
        <f t="shared" si="16"/>
        <v>M</v>
      </c>
      <c r="F135" s="10" t="str">
        <f t="shared" si="17"/>
        <v>DJ</v>
      </c>
      <c r="G135" s="10" t="s">
        <v>56</v>
      </c>
      <c r="H135" s="4" t="s">
        <v>310</v>
      </c>
      <c r="I135" s="10" t="s">
        <v>215</v>
      </c>
      <c r="J135" s="4">
        <f t="shared" si="19"/>
        <v>1</v>
      </c>
      <c r="K135" s="4">
        <v>1</v>
      </c>
      <c r="L135" s="30">
        <v>279000</v>
      </c>
      <c r="M135" s="78" t="s">
        <v>83</v>
      </c>
      <c r="N135" s="98" t="s">
        <v>304</v>
      </c>
      <c r="O135" s="10" t="s">
        <v>61</v>
      </c>
      <c r="P135" s="63">
        <v>100</v>
      </c>
      <c r="Q135" s="94" t="s">
        <v>119</v>
      </c>
      <c r="R135" s="63" t="s">
        <v>301</v>
      </c>
      <c r="S135" s="96" t="s">
        <v>302</v>
      </c>
      <c r="T135" s="10" t="s">
        <v>65</v>
      </c>
      <c r="U135" s="10"/>
      <c r="V135" s="10" t="s">
        <v>66</v>
      </c>
      <c r="W135" s="10"/>
      <c r="X135" s="9" t="s">
        <v>67</v>
      </c>
      <c r="Y135" s="10" t="s">
        <v>88</v>
      </c>
      <c r="Z135" s="94" t="s">
        <v>89</v>
      </c>
      <c r="AA135" s="94" t="s">
        <v>90</v>
      </c>
      <c r="AB135" s="9" t="s">
        <v>91</v>
      </c>
      <c r="AC135" s="68" t="s">
        <v>92</v>
      </c>
      <c r="AD135" s="69" t="str">
        <f t="shared" si="14"/>
        <v>(다운백 없음)</v>
      </c>
      <c r="AE135" s="65" t="s">
        <v>73</v>
      </c>
      <c r="AF135" s="39" t="s">
        <v>311</v>
      </c>
      <c r="AG135" s="10" t="s">
        <v>75</v>
      </c>
      <c r="AH135" s="4">
        <v>650</v>
      </c>
      <c r="AI135" s="11" t="s">
        <v>76</v>
      </c>
      <c r="AJ135" s="4" t="s">
        <v>241</v>
      </c>
      <c r="AK135" s="36">
        <v>4321</v>
      </c>
      <c r="AL135" s="30">
        <v>1205559000</v>
      </c>
      <c r="AM135" s="30">
        <v>200</v>
      </c>
      <c r="AN135" s="30">
        <v>38953530</v>
      </c>
      <c r="AO135" s="30">
        <v>2001</v>
      </c>
      <c r="AP135" s="30">
        <v>426187355</v>
      </c>
      <c r="AQ135" s="30">
        <v>3265</v>
      </c>
      <c r="AR135" s="30">
        <v>672079275</v>
      </c>
      <c r="AS135" s="52">
        <f t="shared" si="20"/>
        <v>0.75561212682249479</v>
      </c>
    </row>
    <row r="136" spans="1:45" x14ac:dyDescent="0.3">
      <c r="A136" s="1" t="str">
        <f t="shared" si="15"/>
        <v>DMDJ79046NYD</v>
      </c>
      <c r="B136" s="32" t="s">
        <v>309</v>
      </c>
      <c r="C136" s="10" t="str">
        <f t="shared" si="18"/>
        <v>DJ790</v>
      </c>
      <c r="D136" s="10" t="s">
        <v>55</v>
      </c>
      <c r="E136" s="10" t="str">
        <f t="shared" si="16"/>
        <v>M</v>
      </c>
      <c r="F136" s="10" t="str">
        <f t="shared" si="17"/>
        <v>DJ</v>
      </c>
      <c r="G136" s="10" t="s">
        <v>56</v>
      </c>
      <c r="H136" s="4" t="s">
        <v>310</v>
      </c>
      <c r="I136" s="10" t="s">
        <v>281</v>
      </c>
      <c r="J136" s="4" t="str">
        <f t="shared" si="19"/>
        <v/>
      </c>
      <c r="K136" s="4">
        <v>1</v>
      </c>
      <c r="L136" s="30">
        <v>279000</v>
      </c>
      <c r="M136" s="78" t="s">
        <v>83</v>
      </c>
      <c r="N136" s="98" t="s">
        <v>304</v>
      </c>
      <c r="O136" s="10" t="s">
        <v>61</v>
      </c>
      <c r="P136" s="63">
        <v>100</v>
      </c>
      <c r="Q136" s="94" t="s">
        <v>119</v>
      </c>
      <c r="R136" s="63" t="s">
        <v>301</v>
      </c>
      <c r="S136" s="96" t="s">
        <v>302</v>
      </c>
      <c r="T136" s="10" t="s">
        <v>65</v>
      </c>
      <c r="U136" s="10"/>
      <c r="V136" s="10" t="s">
        <v>66</v>
      </c>
      <c r="W136" s="10"/>
      <c r="X136" s="9" t="s">
        <v>67</v>
      </c>
      <c r="Y136" s="10" t="s">
        <v>88</v>
      </c>
      <c r="Z136" s="94" t="s">
        <v>89</v>
      </c>
      <c r="AA136" s="94" t="s">
        <v>90</v>
      </c>
      <c r="AB136" s="9" t="s">
        <v>91</v>
      </c>
      <c r="AC136" s="68" t="s">
        <v>92</v>
      </c>
      <c r="AD136" s="69" t="str">
        <f t="shared" si="14"/>
        <v>(다운백 없음)</v>
      </c>
      <c r="AE136" s="65" t="s">
        <v>73</v>
      </c>
      <c r="AF136" s="39" t="s">
        <v>311</v>
      </c>
      <c r="AG136" s="10" t="s">
        <v>75</v>
      </c>
      <c r="AH136" s="4">
        <v>650</v>
      </c>
      <c r="AI136" s="11" t="s">
        <v>76</v>
      </c>
      <c r="AJ136" s="4" t="s">
        <v>241</v>
      </c>
      <c r="AK136" s="36">
        <v>1205</v>
      </c>
      <c r="AL136" s="30">
        <v>336195000</v>
      </c>
      <c r="AM136" s="30">
        <v>49</v>
      </c>
      <c r="AN136" s="30">
        <v>9486580</v>
      </c>
      <c r="AO136" s="30">
        <v>751</v>
      </c>
      <c r="AP136" s="30">
        <v>158949883</v>
      </c>
      <c r="AQ136" s="30">
        <v>1078</v>
      </c>
      <c r="AR136" s="30">
        <v>222339044</v>
      </c>
      <c r="AS136" s="52">
        <f t="shared" si="20"/>
        <v>0.89460580912863075</v>
      </c>
    </row>
    <row r="137" spans="1:45" x14ac:dyDescent="0.3">
      <c r="A137" s="1" t="str">
        <f t="shared" si="15"/>
        <v>DMDJ79046BKS</v>
      </c>
      <c r="B137" s="32" t="s">
        <v>309</v>
      </c>
      <c r="C137" s="10" t="str">
        <f t="shared" si="18"/>
        <v>DJ790</v>
      </c>
      <c r="D137" s="10" t="s">
        <v>55</v>
      </c>
      <c r="E137" s="10" t="str">
        <f t="shared" si="16"/>
        <v>M</v>
      </c>
      <c r="F137" s="10" t="str">
        <f t="shared" si="17"/>
        <v>DJ</v>
      </c>
      <c r="G137" s="10" t="s">
        <v>56</v>
      </c>
      <c r="H137" s="4" t="s">
        <v>310</v>
      </c>
      <c r="I137" s="10" t="s">
        <v>78</v>
      </c>
      <c r="J137" s="4" t="str">
        <f t="shared" si="19"/>
        <v/>
      </c>
      <c r="K137" s="4">
        <v>1</v>
      </c>
      <c r="L137" s="30">
        <v>279000</v>
      </c>
      <c r="M137" s="78" t="s">
        <v>83</v>
      </c>
      <c r="N137" s="98" t="s">
        <v>304</v>
      </c>
      <c r="O137" s="10" t="s">
        <v>61</v>
      </c>
      <c r="P137" s="63">
        <v>100</v>
      </c>
      <c r="Q137" s="94" t="s">
        <v>119</v>
      </c>
      <c r="R137" s="63" t="s">
        <v>301</v>
      </c>
      <c r="S137" s="96" t="s">
        <v>302</v>
      </c>
      <c r="T137" s="10" t="s">
        <v>65</v>
      </c>
      <c r="U137" s="10"/>
      <c r="V137" s="10" t="s">
        <v>66</v>
      </c>
      <c r="W137" s="10"/>
      <c r="X137" s="9" t="s">
        <v>67</v>
      </c>
      <c r="Y137" s="10" t="s">
        <v>88</v>
      </c>
      <c r="Z137" s="94" t="s">
        <v>89</v>
      </c>
      <c r="AA137" s="94" t="s">
        <v>90</v>
      </c>
      <c r="AB137" s="9" t="s">
        <v>91</v>
      </c>
      <c r="AC137" s="68" t="s">
        <v>92</v>
      </c>
      <c r="AD137" s="69" t="str">
        <f t="shared" si="14"/>
        <v>(다운백 없음)</v>
      </c>
      <c r="AE137" s="65" t="s">
        <v>73</v>
      </c>
      <c r="AF137" s="39" t="s">
        <v>311</v>
      </c>
      <c r="AG137" s="10" t="s">
        <v>75</v>
      </c>
      <c r="AH137" s="4">
        <v>650</v>
      </c>
      <c r="AI137" s="11" t="s">
        <v>76</v>
      </c>
      <c r="AJ137" s="4" t="s">
        <v>241</v>
      </c>
      <c r="AK137" s="36">
        <v>12813</v>
      </c>
      <c r="AL137" s="30">
        <v>3574827000</v>
      </c>
      <c r="AM137" s="30">
        <v>754</v>
      </c>
      <c r="AN137" s="30">
        <v>146782250</v>
      </c>
      <c r="AO137" s="30">
        <v>5685</v>
      </c>
      <c r="AP137" s="30">
        <v>1175236703</v>
      </c>
      <c r="AQ137" s="30">
        <v>10329</v>
      </c>
      <c r="AR137" s="30">
        <v>2072729026</v>
      </c>
      <c r="AS137" s="52">
        <f t="shared" si="20"/>
        <v>0.80613439475532667</v>
      </c>
    </row>
    <row r="138" spans="1:45" x14ac:dyDescent="0.3">
      <c r="A138" s="1" t="str">
        <f t="shared" si="15"/>
        <v>DMDJ79046BGS</v>
      </c>
      <c r="B138" s="32" t="s">
        <v>309</v>
      </c>
      <c r="C138" s="10" t="str">
        <f t="shared" si="18"/>
        <v>DJ790</v>
      </c>
      <c r="D138" s="10" t="s">
        <v>55</v>
      </c>
      <c r="E138" s="10" t="str">
        <f t="shared" si="16"/>
        <v>M</v>
      </c>
      <c r="F138" s="10" t="str">
        <f t="shared" si="17"/>
        <v>DJ</v>
      </c>
      <c r="G138" s="10" t="s">
        <v>56</v>
      </c>
      <c r="H138" s="4" t="s">
        <v>310</v>
      </c>
      <c r="I138" s="10" t="s">
        <v>82</v>
      </c>
      <c r="J138" s="4" t="str">
        <f t="shared" si="19"/>
        <v/>
      </c>
      <c r="K138" s="4">
        <v>1</v>
      </c>
      <c r="L138" s="30">
        <v>279000</v>
      </c>
      <c r="M138" s="78" t="s">
        <v>83</v>
      </c>
      <c r="N138" s="98" t="s">
        <v>304</v>
      </c>
      <c r="O138" s="10" t="s">
        <v>61</v>
      </c>
      <c r="P138" s="63">
        <v>100</v>
      </c>
      <c r="Q138" s="94" t="s">
        <v>119</v>
      </c>
      <c r="R138" s="63" t="s">
        <v>301</v>
      </c>
      <c r="S138" s="96" t="s">
        <v>302</v>
      </c>
      <c r="T138" s="10" t="s">
        <v>65</v>
      </c>
      <c r="U138" s="10"/>
      <c r="V138" s="10" t="s">
        <v>66</v>
      </c>
      <c r="W138" s="10"/>
      <c r="X138" s="9" t="s">
        <v>67</v>
      </c>
      <c r="Y138" s="10" t="s">
        <v>88</v>
      </c>
      <c r="Z138" s="94" t="s">
        <v>89</v>
      </c>
      <c r="AA138" s="94" t="s">
        <v>90</v>
      </c>
      <c r="AB138" s="9" t="s">
        <v>91</v>
      </c>
      <c r="AC138" s="68" t="s">
        <v>92</v>
      </c>
      <c r="AD138" s="69" t="str">
        <f t="shared" si="14"/>
        <v>(다운백 없음)</v>
      </c>
      <c r="AE138" s="65" t="s">
        <v>73</v>
      </c>
      <c r="AF138" s="39" t="s">
        <v>311</v>
      </c>
      <c r="AG138" s="10" t="s">
        <v>75</v>
      </c>
      <c r="AH138" s="4">
        <v>650</v>
      </c>
      <c r="AI138" s="11" t="s">
        <v>76</v>
      </c>
      <c r="AJ138" s="4" t="s">
        <v>241</v>
      </c>
      <c r="AK138" s="36">
        <v>3720</v>
      </c>
      <c r="AL138" s="30">
        <v>1037880000</v>
      </c>
      <c r="AM138" s="30">
        <v>154</v>
      </c>
      <c r="AN138" s="30">
        <v>29953270</v>
      </c>
      <c r="AO138" s="30">
        <v>1147</v>
      </c>
      <c r="AP138" s="30">
        <v>238186903</v>
      </c>
      <c r="AQ138" s="30">
        <v>1910</v>
      </c>
      <c r="AR138" s="30">
        <v>386117123</v>
      </c>
      <c r="AS138" s="52">
        <f t="shared" si="20"/>
        <v>0.51344086021505375</v>
      </c>
    </row>
    <row r="139" spans="1:45" x14ac:dyDescent="0.3">
      <c r="A139" s="1" t="str">
        <f t="shared" si="15"/>
        <v>DWDJ80046BGS</v>
      </c>
      <c r="B139" s="32" t="s">
        <v>312</v>
      </c>
      <c r="C139" s="10" t="str">
        <f t="shared" si="18"/>
        <v>DJ800</v>
      </c>
      <c r="D139" s="10" t="s">
        <v>55</v>
      </c>
      <c r="E139" s="10" t="str">
        <f t="shared" si="16"/>
        <v>W</v>
      </c>
      <c r="F139" s="10" t="str">
        <f t="shared" si="17"/>
        <v>DJ</v>
      </c>
      <c r="G139" s="10" t="s">
        <v>56</v>
      </c>
      <c r="H139" s="4" t="s">
        <v>313</v>
      </c>
      <c r="I139" s="10" t="s">
        <v>82</v>
      </c>
      <c r="J139" s="4">
        <f t="shared" si="19"/>
        <v>1</v>
      </c>
      <c r="K139" s="4">
        <v>1</v>
      </c>
      <c r="L139" s="43">
        <v>279000</v>
      </c>
      <c r="M139" s="78" t="str">
        <f>M138</f>
        <v>영보</v>
      </c>
      <c r="N139" s="98" t="s">
        <v>307</v>
      </c>
      <c r="O139" s="10" t="str">
        <f>O138</f>
        <v xml:space="preserve">POLYESTER </v>
      </c>
      <c r="P139" s="63">
        <v>100</v>
      </c>
      <c r="Q139" s="94" t="str">
        <f>Q138</f>
        <v>50D</v>
      </c>
      <c r="R139" s="63" t="s">
        <v>301</v>
      </c>
      <c r="S139" s="96" t="s">
        <v>302</v>
      </c>
      <c r="T139" s="10" t="str">
        <f>T138</f>
        <v>Single L</v>
      </c>
      <c r="U139" s="10"/>
      <c r="V139" s="10" t="str">
        <f>V138</f>
        <v>WR</v>
      </c>
      <c r="W139" s="10"/>
      <c r="X139" s="9" t="s">
        <v>67</v>
      </c>
      <c r="Y139" s="10" t="s">
        <v>88</v>
      </c>
      <c r="Z139" s="94" t="s">
        <v>89</v>
      </c>
      <c r="AA139" s="94" t="str">
        <f>AA138</f>
        <v>GU_LV2</v>
      </c>
      <c r="AB139" s="9" t="s">
        <v>91</v>
      </c>
      <c r="AC139" s="68" t="s">
        <v>92</v>
      </c>
      <c r="AD139" s="69" t="str">
        <f t="shared" si="14"/>
        <v>(다운백 없음)</v>
      </c>
      <c r="AE139" s="65" t="s">
        <v>73</v>
      </c>
      <c r="AF139" s="39" t="s">
        <v>314</v>
      </c>
      <c r="AG139" s="10" t="s">
        <v>75</v>
      </c>
      <c r="AH139" s="4">
        <v>650</v>
      </c>
      <c r="AI139" s="11" t="s">
        <v>76</v>
      </c>
      <c r="AJ139" s="4" t="s">
        <v>241</v>
      </c>
      <c r="AK139" s="36">
        <v>2008</v>
      </c>
      <c r="AL139" s="30">
        <v>560232000</v>
      </c>
      <c r="AM139" s="30">
        <v>52</v>
      </c>
      <c r="AN139" s="30">
        <v>10160830</v>
      </c>
      <c r="AO139" s="30">
        <v>1123</v>
      </c>
      <c r="AP139" s="30">
        <v>240984855</v>
      </c>
      <c r="AQ139" s="30">
        <v>1630</v>
      </c>
      <c r="AR139" s="30">
        <v>339158945</v>
      </c>
      <c r="AS139" s="52">
        <f t="shared" si="20"/>
        <v>0.81175298804780871</v>
      </c>
    </row>
    <row r="140" spans="1:45" x14ac:dyDescent="0.3">
      <c r="A140" s="1" t="str">
        <f t="shared" si="15"/>
        <v>DWDJ80046BKS</v>
      </c>
      <c r="B140" s="32" t="s">
        <v>312</v>
      </c>
      <c r="C140" s="10" t="str">
        <f t="shared" si="18"/>
        <v>DJ800</v>
      </c>
      <c r="D140" s="10" t="s">
        <v>55</v>
      </c>
      <c r="E140" s="10" t="str">
        <f t="shared" si="16"/>
        <v>W</v>
      </c>
      <c r="F140" s="10" t="str">
        <f t="shared" si="17"/>
        <v>DJ</v>
      </c>
      <c r="G140" s="10" t="s">
        <v>56</v>
      </c>
      <c r="H140" s="4" t="s">
        <v>313</v>
      </c>
      <c r="I140" s="10" t="s">
        <v>78</v>
      </c>
      <c r="J140" s="4" t="str">
        <f t="shared" si="19"/>
        <v/>
      </c>
      <c r="K140" s="4">
        <v>1</v>
      </c>
      <c r="L140" s="43">
        <v>279000</v>
      </c>
      <c r="M140" s="78" t="s">
        <v>83</v>
      </c>
      <c r="N140" s="98" t="s">
        <v>307</v>
      </c>
      <c r="O140" s="10" t="s">
        <v>61</v>
      </c>
      <c r="P140" s="63">
        <v>100</v>
      </c>
      <c r="Q140" s="94" t="s">
        <v>119</v>
      </c>
      <c r="R140" s="63" t="s">
        <v>301</v>
      </c>
      <c r="S140" s="96" t="s">
        <v>302</v>
      </c>
      <c r="T140" s="10" t="s">
        <v>182</v>
      </c>
      <c r="U140" s="10"/>
      <c r="V140" s="10" t="s">
        <v>66</v>
      </c>
      <c r="W140" s="10"/>
      <c r="X140" s="9" t="s">
        <v>67</v>
      </c>
      <c r="Y140" s="10" t="s">
        <v>88</v>
      </c>
      <c r="Z140" s="94" t="s">
        <v>89</v>
      </c>
      <c r="AA140" s="94" t="s">
        <v>90</v>
      </c>
      <c r="AB140" s="9" t="s">
        <v>91</v>
      </c>
      <c r="AC140" s="68" t="s">
        <v>92</v>
      </c>
      <c r="AD140" s="69" t="str">
        <f t="shared" si="14"/>
        <v>(다운백 없음)</v>
      </c>
      <c r="AE140" s="65" t="s">
        <v>73</v>
      </c>
      <c r="AF140" s="39" t="s">
        <v>314</v>
      </c>
      <c r="AG140" s="10" t="s">
        <v>75</v>
      </c>
      <c r="AH140" s="4">
        <v>650</v>
      </c>
      <c r="AI140" s="11" t="s">
        <v>76</v>
      </c>
      <c r="AJ140" s="4" t="s">
        <v>241</v>
      </c>
      <c r="AK140" s="36">
        <v>2512</v>
      </c>
      <c r="AL140" s="30">
        <v>700848000</v>
      </c>
      <c r="AM140" s="30">
        <v>100</v>
      </c>
      <c r="AN140" s="30">
        <v>19510360</v>
      </c>
      <c r="AO140" s="30">
        <v>1594</v>
      </c>
      <c r="AP140" s="30">
        <v>340225084</v>
      </c>
      <c r="AQ140" s="30">
        <v>2275</v>
      </c>
      <c r="AR140" s="30">
        <v>471060694</v>
      </c>
      <c r="AS140" s="52">
        <f t="shared" si="20"/>
        <v>0.90565286624203822</v>
      </c>
    </row>
    <row r="141" spans="1:45" x14ac:dyDescent="0.3">
      <c r="A141" s="1" t="str">
        <f t="shared" si="15"/>
        <v>DWDJ80046CRS</v>
      </c>
      <c r="B141" s="32" t="s">
        <v>312</v>
      </c>
      <c r="C141" s="10" t="str">
        <f t="shared" si="18"/>
        <v>DJ800</v>
      </c>
      <c r="D141" s="10" t="s">
        <v>55</v>
      </c>
      <c r="E141" s="10" t="str">
        <f t="shared" si="16"/>
        <v>W</v>
      </c>
      <c r="F141" s="10" t="str">
        <f t="shared" si="17"/>
        <v>DJ</v>
      </c>
      <c r="G141" s="10" t="s">
        <v>56</v>
      </c>
      <c r="H141" s="4" t="s">
        <v>313</v>
      </c>
      <c r="I141" s="10" t="s">
        <v>79</v>
      </c>
      <c r="J141" s="4" t="str">
        <f t="shared" si="19"/>
        <v/>
      </c>
      <c r="K141" s="4">
        <v>1</v>
      </c>
      <c r="L141" s="43">
        <v>279000</v>
      </c>
      <c r="M141" s="78" t="s">
        <v>83</v>
      </c>
      <c r="N141" s="98" t="s">
        <v>307</v>
      </c>
      <c r="O141" s="10" t="s">
        <v>61</v>
      </c>
      <c r="P141" s="63">
        <v>100</v>
      </c>
      <c r="Q141" s="94" t="s">
        <v>119</v>
      </c>
      <c r="R141" s="63" t="s">
        <v>301</v>
      </c>
      <c r="S141" s="96" t="s">
        <v>302</v>
      </c>
      <c r="T141" s="10" t="s">
        <v>182</v>
      </c>
      <c r="U141" s="10"/>
      <c r="V141" s="10" t="s">
        <v>66</v>
      </c>
      <c r="W141" s="10"/>
      <c r="X141" s="9" t="s">
        <v>67</v>
      </c>
      <c r="Y141" s="10" t="s">
        <v>88</v>
      </c>
      <c r="Z141" s="94" t="s">
        <v>89</v>
      </c>
      <c r="AA141" s="94" t="s">
        <v>90</v>
      </c>
      <c r="AB141" s="9" t="s">
        <v>91</v>
      </c>
      <c r="AC141" s="68" t="s">
        <v>92</v>
      </c>
      <c r="AD141" s="69" t="str">
        <f t="shared" si="14"/>
        <v>(다운백 없음)</v>
      </c>
      <c r="AE141" s="65" t="s">
        <v>73</v>
      </c>
      <c r="AF141" s="39" t="s">
        <v>314</v>
      </c>
      <c r="AG141" s="10" t="s">
        <v>75</v>
      </c>
      <c r="AH141" s="4">
        <v>650</v>
      </c>
      <c r="AI141" s="11" t="s">
        <v>76</v>
      </c>
      <c r="AJ141" s="4" t="s">
        <v>241</v>
      </c>
      <c r="AK141" s="36">
        <v>2514</v>
      </c>
      <c r="AL141" s="30">
        <v>701406000</v>
      </c>
      <c r="AM141" s="30">
        <v>49</v>
      </c>
      <c r="AN141" s="30">
        <v>9491620</v>
      </c>
      <c r="AO141" s="30">
        <v>758</v>
      </c>
      <c r="AP141" s="30">
        <v>161726804</v>
      </c>
      <c r="AQ141" s="30">
        <v>1303</v>
      </c>
      <c r="AR141" s="30">
        <v>266993815</v>
      </c>
      <c r="AS141" s="52">
        <f t="shared" si="20"/>
        <v>0.51829753381066035</v>
      </c>
    </row>
    <row r="142" spans="1:45" x14ac:dyDescent="0.3">
      <c r="A142" s="1" t="str">
        <f t="shared" si="15"/>
        <v>DMDJ81046BKS</v>
      </c>
      <c r="B142" s="32" t="s">
        <v>315</v>
      </c>
      <c r="C142" s="10" t="str">
        <f t="shared" si="18"/>
        <v>DJ810</v>
      </c>
      <c r="D142" s="10" t="s">
        <v>55</v>
      </c>
      <c r="E142" s="10" t="str">
        <f t="shared" si="16"/>
        <v>M</v>
      </c>
      <c r="F142" s="10" t="str">
        <f t="shared" si="17"/>
        <v>DJ</v>
      </c>
      <c r="G142" s="10" t="s">
        <v>56</v>
      </c>
      <c r="H142" s="4" t="s">
        <v>316</v>
      </c>
      <c r="I142" s="10" t="s">
        <v>78</v>
      </c>
      <c r="J142" s="4">
        <f t="shared" si="19"/>
        <v>1</v>
      </c>
      <c r="K142" s="4">
        <v>1</v>
      </c>
      <c r="L142" s="30">
        <v>299000</v>
      </c>
      <c r="M142" s="78" t="s">
        <v>83</v>
      </c>
      <c r="N142" s="98" t="s">
        <v>304</v>
      </c>
      <c r="O142" s="10" t="s">
        <v>61</v>
      </c>
      <c r="P142" s="63">
        <v>100</v>
      </c>
      <c r="Q142" s="94" t="s">
        <v>119</v>
      </c>
      <c r="R142" s="63" t="s">
        <v>301</v>
      </c>
      <c r="S142" s="96" t="s">
        <v>302</v>
      </c>
      <c r="T142" s="10" t="s">
        <v>65</v>
      </c>
      <c r="U142" s="10"/>
      <c r="V142" s="10" t="s">
        <v>66</v>
      </c>
      <c r="W142" s="10"/>
      <c r="X142" s="9" t="s">
        <v>67</v>
      </c>
      <c r="Y142" s="10" t="s">
        <v>88</v>
      </c>
      <c r="Z142" s="94" t="s">
        <v>89</v>
      </c>
      <c r="AA142" s="94" t="s">
        <v>90</v>
      </c>
      <c r="AB142" s="9" t="s">
        <v>91</v>
      </c>
      <c r="AC142" s="68" t="s">
        <v>92</v>
      </c>
      <c r="AD142" s="69" t="str">
        <f t="shared" si="14"/>
        <v>(다운백 없음)</v>
      </c>
      <c r="AE142" s="65" t="s">
        <v>73</v>
      </c>
      <c r="AF142" s="39" t="s">
        <v>317</v>
      </c>
      <c r="AG142" s="10" t="s">
        <v>75</v>
      </c>
      <c r="AH142" s="4">
        <v>650</v>
      </c>
      <c r="AI142" s="11" t="s">
        <v>76</v>
      </c>
      <c r="AJ142" s="4" t="s">
        <v>241</v>
      </c>
      <c r="AK142" s="36">
        <v>3996</v>
      </c>
      <c r="AL142" s="30">
        <v>1194804000</v>
      </c>
      <c r="AM142" s="30">
        <v>336</v>
      </c>
      <c r="AN142" s="30">
        <v>69851610</v>
      </c>
      <c r="AO142" s="30">
        <v>2259</v>
      </c>
      <c r="AP142" s="30">
        <v>501646894</v>
      </c>
      <c r="AQ142" s="30">
        <v>3668</v>
      </c>
      <c r="AR142" s="30">
        <v>795065064</v>
      </c>
      <c r="AS142" s="52">
        <f t="shared" si="20"/>
        <v>0.91791791791791788</v>
      </c>
    </row>
    <row r="143" spans="1:45" x14ac:dyDescent="0.3">
      <c r="A143" s="1" t="str">
        <f t="shared" si="15"/>
        <v>DMDJ81046DWS</v>
      </c>
      <c r="B143" s="32" t="s">
        <v>315</v>
      </c>
      <c r="C143" s="10" t="str">
        <f t="shared" si="18"/>
        <v>DJ810</v>
      </c>
      <c r="D143" s="10" t="s">
        <v>55</v>
      </c>
      <c r="E143" s="10" t="str">
        <f t="shared" si="16"/>
        <v>M</v>
      </c>
      <c r="F143" s="10" t="str">
        <f t="shared" si="17"/>
        <v>DJ</v>
      </c>
      <c r="G143" s="10" t="s">
        <v>56</v>
      </c>
      <c r="H143" s="4" t="s">
        <v>316</v>
      </c>
      <c r="I143" s="10" t="s">
        <v>318</v>
      </c>
      <c r="J143" s="4" t="str">
        <f t="shared" si="19"/>
        <v/>
      </c>
      <c r="K143" s="4">
        <v>1</v>
      </c>
      <c r="L143" s="30">
        <v>299000</v>
      </c>
      <c r="M143" s="78" t="s">
        <v>83</v>
      </c>
      <c r="N143" s="98" t="s">
        <v>304</v>
      </c>
      <c r="O143" s="10" t="s">
        <v>61</v>
      </c>
      <c r="P143" s="63">
        <v>100</v>
      </c>
      <c r="Q143" s="94" t="s">
        <v>119</v>
      </c>
      <c r="R143" s="63" t="s">
        <v>301</v>
      </c>
      <c r="S143" s="96" t="s">
        <v>302</v>
      </c>
      <c r="T143" s="10" t="s">
        <v>65</v>
      </c>
      <c r="U143" s="10"/>
      <c r="V143" s="10" t="s">
        <v>66</v>
      </c>
      <c r="W143" s="10"/>
      <c r="X143" s="9" t="s">
        <v>67</v>
      </c>
      <c r="Y143" s="10" t="s">
        <v>88</v>
      </c>
      <c r="Z143" s="94" t="s">
        <v>89</v>
      </c>
      <c r="AA143" s="94" t="s">
        <v>90</v>
      </c>
      <c r="AB143" s="9" t="s">
        <v>91</v>
      </c>
      <c r="AC143" s="68" t="s">
        <v>92</v>
      </c>
      <c r="AD143" s="69" t="str">
        <f t="shared" si="14"/>
        <v>(다운백 없음)</v>
      </c>
      <c r="AE143" s="65" t="s">
        <v>73</v>
      </c>
      <c r="AF143" s="39" t="s">
        <v>317</v>
      </c>
      <c r="AG143" s="10" t="s">
        <v>75</v>
      </c>
      <c r="AH143" s="4">
        <v>650</v>
      </c>
      <c r="AI143" s="11" t="s">
        <v>76</v>
      </c>
      <c r="AJ143" s="4" t="s">
        <v>241</v>
      </c>
      <c r="AK143" s="36">
        <v>1309</v>
      </c>
      <c r="AL143" s="30">
        <v>391391000</v>
      </c>
      <c r="AM143" s="30">
        <v>75</v>
      </c>
      <c r="AN143" s="30">
        <v>15538600</v>
      </c>
      <c r="AO143" s="30">
        <v>630</v>
      </c>
      <c r="AP143" s="30">
        <v>141971625</v>
      </c>
      <c r="AQ143" s="30">
        <v>1071</v>
      </c>
      <c r="AR143" s="30">
        <v>233344319</v>
      </c>
      <c r="AS143" s="52">
        <f t="shared" si="20"/>
        <v>0.81818181818181823</v>
      </c>
    </row>
    <row r="144" spans="1:45" x14ac:dyDescent="0.3">
      <c r="A144" s="1" t="str">
        <f t="shared" si="15"/>
        <v>DMDJ81046IVD</v>
      </c>
      <c r="B144" s="32" t="s">
        <v>315</v>
      </c>
      <c r="C144" s="10" t="str">
        <f t="shared" si="18"/>
        <v>DJ810</v>
      </c>
      <c r="D144" s="10" t="s">
        <v>55</v>
      </c>
      <c r="E144" s="10" t="str">
        <f t="shared" si="16"/>
        <v>M</v>
      </c>
      <c r="F144" s="10" t="str">
        <f t="shared" si="17"/>
        <v>DJ</v>
      </c>
      <c r="G144" s="10" t="s">
        <v>56</v>
      </c>
      <c r="H144" s="4" t="s">
        <v>316</v>
      </c>
      <c r="I144" s="10" t="s">
        <v>105</v>
      </c>
      <c r="J144" s="4" t="str">
        <f t="shared" si="19"/>
        <v/>
      </c>
      <c r="K144" s="4">
        <v>1</v>
      </c>
      <c r="L144" s="30">
        <v>299000</v>
      </c>
      <c r="M144" s="78" t="s">
        <v>83</v>
      </c>
      <c r="N144" s="98" t="s">
        <v>304</v>
      </c>
      <c r="O144" s="10" t="s">
        <v>61</v>
      </c>
      <c r="P144" s="63">
        <v>100</v>
      </c>
      <c r="Q144" s="94" t="s">
        <v>119</v>
      </c>
      <c r="R144" s="63" t="s">
        <v>301</v>
      </c>
      <c r="S144" s="96" t="s">
        <v>302</v>
      </c>
      <c r="T144" s="10" t="s">
        <v>65</v>
      </c>
      <c r="U144" s="10"/>
      <c r="V144" s="10" t="s">
        <v>66</v>
      </c>
      <c r="W144" s="10"/>
      <c r="X144" s="9" t="s">
        <v>67</v>
      </c>
      <c r="Y144" s="10" t="s">
        <v>88</v>
      </c>
      <c r="Z144" s="94" t="s">
        <v>89</v>
      </c>
      <c r="AA144" s="94" t="s">
        <v>90</v>
      </c>
      <c r="AB144" s="9" t="s">
        <v>91</v>
      </c>
      <c r="AC144" s="68" t="s">
        <v>92</v>
      </c>
      <c r="AD144" s="69" t="str">
        <f t="shared" si="14"/>
        <v>(다운백 없음)</v>
      </c>
      <c r="AE144" s="65" t="s">
        <v>73</v>
      </c>
      <c r="AF144" s="39" t="s">
        <v>317</v>
      </c>
      <c r="AG144" s="10" t="s">
        <v>75</v>
      </c>
      <c r="AH144" s="4">
        <v>650</v>
      </c>
      <c r="AI144" s="11" t="s">
        <v>76</v>
      </c>
      <c r="AJ144" s="4" t="s">
        <v>241</v>
      </c>
      <c r="AK144" s="36">
        <v>2008</v>
      </c>
      <c r="AL144" s="30">
        <v>600392000</v>
      </c>
      <c r="AM144" s="30">
        <v>77</v>
      </c>
      <c r="AN144" s="30">
        <v>16117590</v>
      </c>
      <c r="AO144" s="30">
        <v>644</v>
      </c>
      <c r="AP144" s="30">
        <v>146394516</v>
      </c>
      <c r="AQ144" s="30">
        <v>1129</v>
      </c>
      <c r="AR144" s="30">
        <v>247601827</v>
      </c>
      <c r="AS144" s="52">
        <f t="shared" si="20"/>
        <v>0.5622509960159362</v>
      </c>
    </row>
    <row r="145" spans="1:45" x14ac:dyDescent="0.3">
      <c r="A145" s="1" t="str">
        <f t="shared" si="15"/>
        <v>DWDJ82046DWS</v>
      </c>
      <c r="B145" s="32" t="s">
        <v>319</v>
      </c>
      <c r="C145" s="10" t="str">
        <f t="shared" si="18"/>
        <v>DJ820</v>
      </c>
      <c r="D145" s="10" t="s">
        <v>55</v>
      </c>
      <c r="E145" s="10" t="str">
        <f t="shared" si="16"/>
        <v>W</v>
      </c>
      <c r="F145" s="10" t="str">
        <f t="shared" si="17"/>
        <v>DJ</v>
      </c>
      <c r="G145" s="10" t="s">
        <v>56</v>
      </c>
      <c r="H145" s="4" t="s">
        <v>320</v>
      </c>
      <c r="I145" s="10" t="s">
        <v>318</v>
      </c>
      <c r="J145" s="4">
        <f t="shared" si="19"/>
        <v>1</v>
      </c>
      <c r="K145" s="4">
        <v>1</v>
      </c>
      <c r="L145" s="30">
        <v>299000</v>
      </c>
      <c r="M145" s="78" t="s">
        <v>83</v>
      </c>
      <c r="N145" s="98" t="s">
        <v>307</v>
      </c>
      <c r="O145" s="10" t="s">
        <v>61</v>
      </c>
      <c r="P145" s="63">
        <v>100</v>
      </c>
      <c r="Q145" s="94" t="s">
        <v>119</v>
      </c>
      <c r="R145" s="63" t="s">
        <v>301</v>
      </c>
      <c r="S145" s="96" t="s">
        <v>302</v>
      </c>
      <c r="T145" s="10" t="s">
        <v>65</v>
      </c>
      <c r="U145" s="10"/>
      <c r="V145" s="10" t="s">
        <v>66</v>
      </c>
      <c r="W145" s="10"/>
      <c r="X145" s="9" t="s">
        <v>67</v>
      </c>
      <c r="Y145" s="10" t="s">
        <v>88</v>
      </c>
      <c r="Z145" s="94" t="s">
        <v>89</v>
      </c>
      <c r="AA145" s="94" t="s">
        <v>90</v>
      </c>
      <c r="AB145" s="9" t="s">
        <v>91</v>
      </c>
      <c r="AC145" s="68" t="s">
        <v>92</v>
      </c>
      <c r="AD145" s="69" t="str">
        <f t="shared" si="14"/>
        <v>(다운백 없음)</v>
      </c>
      <c r="AE145" s="65" t="s">
        <v>73</v>
      </c>
      <c r="AF145" s="39" t="s">
        <v>321</v>
      </c>
      <c r="AG145" s="10" t="s">
        <v>75</v>
      </c>
      <c r="AH145" s="4">
        <v>650</v>
      </c>
      <c r="AI145" s="11" t="s">
        <v>76</v>
      </c>
      <c r="AJ145" s="4" t="s">
        <v>241</v>
      </c>
      <c r="AK145" s="36">
        <v>1207</v>
      </c>
      <c r="AL145" s="30">
        <v>360893000</v>
      </c>
      <c r="AM145" s="30">
        <v>83</v>
      </c>
      <c r="AN145" s="30">
        <v>17361900</v>
      </c>
      <c r="AO145" s="30">
        <v>681</v>
      </c>
      <c r="AP145" s="30">
        <v>157191022</v>
      </c>
      <c r="AQ145" s="30">
        <v>1040</v>
      </c>
      <c r="AR145" s="30">
        <v>232129522</v>
      </c>
      <c r="AS145" s="52">
        <f t="shared" si="20"/>
        <v>0.86164043082021546</v>
      </c>
    </row>
    <row r="146" spans="1:45" x14ac:dyDescent="0.3">
      <c r="A146" s="1" t="str">
        <f t="shared" si="15"/>
        <v>DWDJ82046IVD</v>
      </c>
      <c r="B146" s="32" t="s">
        <v>319</v>
      </c>
      <c r="C146" s="10" t="str">
        <f t="shared" si="18"/>
        <v>DJ820</v>
      </c>
      <c r="D146" s="10" t="s">
        <v>55</v>
      </c>
      <c r="E146" s="10" t="str">
        <f t="shared" si="16"/>
        <v>W</v>
      </c>
      <c r="F146" s="10" t="str">
        <f t="shared" si="17"/>
        <v>DJ</v>
      </c>
      <c r="G146" s="10" t="s">
        <v>56</v>
      </c>
      <c r="H146" s="4" t="s">
        <v>320</v>
      </c>
      <c r="I146" s="10" t="s">
        <v>105</v>
      </c>
      <c r="J146" s="4" t="str">
        <f t="shared" si="19"/>
        <v/>
      </c>
      <c r="K146" s="4">
        <v>1</v>
      </c>
      <c r="L146" s="30">
        <v>299000</v>
      </c>
      <c r="M146" s="78" t="s">
        <v>83</v>
      </c>
      <c r="N146" s="98" t="s">
        <v>307</v>
      </c>
      <c r="O146" s="10" t="s">
        <v>61</v>
      </c>
      <c r="P146" s="63">
        <v>100</v>
      </c>
      <c r="Q146" s="94" t="s">
        <v>119</v>
      </c>
      <c r="R146" s="63" t="s">
        <v>301</v>
      </c>
      <c r="S146" s="96" t="s">
        <v>302</v>
      </c>
      <c r="T146" s="10" t="s">
        <v>65</v>
      </c>
      <c r="U146" s="10"/>
      <c r="V146" s="10" t="s">
        <v>66</v>
      </c>
      <c r="W146" s="10"/>
      <c r="X146" s="9" t="s">
        <v>67</v>
      </c>
      <c r="Y146" s="10" t="s">
        <v>88</v>
      </c>
      <c r="Z146" s="94" t="s">
        <v>89</v>
      </c>
      <c r="AA146" s="94" t="s">
        <v>90</v>
      </c>
      <c r="AB146" s="9" t="s">
        <v>91</v>
      </c>
      <c r="AC146" s="68" t="s">
        <v>92</v>
      </c>
      <c r="AD146" s="69" t="str">
        <f t="shared" si="14"/>
        <v>(다운백 없음)</v>
      </c>
      <c r="AE146" s="65" t="s">
        <v>73</v>
      </c>
      <c r="AF146" s="39" t="s">
        <v>321</v>
      </c>
      <c r="AG146" s="10" t="s">
        <v>75</v>
      </c>
      <c r="AH146" s="4">
        <v>650</v>
      </c>
      <c r="AI146" s="11" t="s">
        <v>76</v>
      </c>
      <c r="AJ146" s="4" t="s">
        <v>241</v>
      </c>
      <c r="AK146" s="36">
        <v>2008</v>
      </c>
      <c r="AL146" s="30">
        <v>600392000</v>
      </c>
      <c r="AM146" s="30">
        <v>121</v>
      </c>
      <c r="AN146" s="30">
        <v>25216149</v>
      </c>
      <c r="AO146" s="30">
        <v>1220</v>
      </c>
      <c r="AP146" s="30">
        <v>282604706</v>
      </c>
      <c r="AQ146" s="30">
        <v>1772</v>
      </c>
      <c r="AR146" s="30">
        <v>397689236</v>
      </c>
      <c r="AS146" s="52">
        <f t="shared" si="20"/>
        <v>0.88247011952191234</v>
      </c>
    </row>
    <row r="147" spans="1:45" x14ac:dyDescent="0.3">
      <c r="A147" s="1" t="str">
        <f t="shared" si="15"/>
        <v>DWDJ82046BKS</v>
      </c>
      <c r="B147" s="32" t="s">
        <v>319</v>
      </c>
      <c r="C147" s="10" t="str">
        <f t="shared" si="18"/>
        <v>DJ820</v>
      </c>
      <c r="D147" s="10" t="s">
        <v>55</v>
      </c>
      <c r="E147" s="10" t="str">
        <f t="shared" si="16"/>
        <v>W</v>
      </c>
      <c r="F147" s="10" t="str">
        <f t="shared" si="17"/>
        <v>DJ</v>
      </c>
      <c r="G147" s="10" t="s">
        <v>56</v>
      </c>
      <c r="H147" s="4" t="s">
        <v>320</v>
      </c>
      <c r="I147" s="10" t="s">
        <v>78</v>
      </c>
      <c r="J147" s="4" t="str">
        <f t="shared" si="19"/>
        <v/>
      </c>
      <c r="K147" s="4">
        <v>1</v>
      </c>
      <c r="L147" s="30">
        <v>299000</v>
      </c>
      <c r="M147" s="78" t="s">
        <v>83</v>
      </c>
      <c r="N147" s="98" t="s">
        <v>307</v>
      </c>
      <c r="O147" s="10" t="s">
        <v>61</v>
      </c>
      <c r="P147" s="63">
        <v>100</v>
      </c>
      <c r="Q147" s="94" t="s">
        <v>119</v>
      </c>
      <c r="R147" s="63" t="s">
        <v>301</v>
      </c>
      <c r="S147" s="96" t="s">
        <v>302</v>
      </c>
      <c r="T147" s="10" t="s">
        <v>65</v>
      </c>
      <c r="U147" s="10"/>
      <c r="V147" s="10" t="s">
        <v>66</v>
      </c>
      <c r="W147" s="10"/>
      <c r="X147" s="9" t="s">
        <v>67</v>
      </c>
      <c r="Y147" s="10" t="s">
        <v>88</v>
      </c>
      <c r="Z147" s="94" t="s">
        <v>89</v>
      </c>
      <c r="AA147" s="94" t="s">
        <v>90</v>
      </c>
      <c r="AB147" s="9" t="s">
        <v>91</v>
      </c>
      <c r="AC147" s="68" t="s">
        <v>92</v>
      </c>
      <c r="AD147" s="69" t="str">
        <f t="shared" si="14"/>
        <v>(다운백 없음)</v>
      </c>
      <c r="AE147" s="65" t="s">
        <v>73</v>
      </c>
      <c r="AF147" s="39" t="s">
        <v>321</v>
      </c>
      <c r="AG147" s="10" t="s">
        <v>75</v>
      </c>
      <c r="AH147" s="4">
        <v>650</v>
      </c>
      <c r="AI147" s="11" t="s">
        <v>76</v>
      </c>
      <c r="AJ147" s="4" t="s">
        <v>241</v>
      </c>
      <c r="AK147" s="36">
        <v>2800</v>
      </c>
      <c r="AL147" s="30">
        <v>837200000</v>
      </c>
      <c r="AM147" s="30">
        <v>203</v>
      </c>
      <c r="AN147" s="30">
        <v>42404900</v>
      </c>
      <c r="AO147" s="30">
        <v>1434</v>
      </c>
      <c r="AP147" s="30">
        <v>320969240</v>
      </c>
      <c r="AQ147" s="30">
        <v>2462</v>
      </c>
      <c r="AR147" s="30">
        <v>535396220</v>
      </c>
      <c r="AS147" s="52">
        <f t="shared" si="20"/>
        <v>0.87928571428571434</v>
      </c>
    </row>
    <row r="148" spans="1:45" s="15" customFormat="1" x14ac:dyDescent="0.3">
      <c r="A148" s="103" t="str">
        <f t="shared" si="15"/>
        <v>DMDJ83046BKS</v>
      </c>
      <c r="B148" s="32" t="s">
        <v>322</v>
      </c>
      <c r="C148" s="39" t="str">
        <f t="shared" si="18"/>
        <v>DJ830</v>
      </c>
      <c r="D148" s="39" t="s">
        <v>55</v>
      </c>
      <c r="E148" s="39" t="str">
        <f t="shared" si="16"/>
        <v>M</v>
      </c>
      <c r="F148" s="39" t="str">
        <f t="shared" si="17"/>
        <v>DJ</v>
      </c>
      <c r="G148" s="39" t="s">
        <v>56</v>
      </c>
      <c r="H148" s="54" t="s">
        <v>323</v>
      </c>
      <c r="I148" s="39" t="s">
        <v>78</v>
      </c>
      <c r="J148" s="54">
        <f t="shared" si="19"/>
        <v>1</v>
      </c>
      <c r="K148" s="54">
        <v>1</v>
      </c>
      <c r="L148" s="107">
        <v>249000</v>
      </c>
      <c r="M148" s="78" t="s">
        <v>217</v>
      </c>
      <c r="N148" s="98" t="s">
        <v>249</v>
      </c>
      <c r="O148" s="39" t="s">
        <v>61</v>
      </c>
      <c r="P148" s="123">
        <v>100</v>
      </c>
      <c r="Q148" s="94" t="s">
        <v>119</v>
      </c>
      <c r="R148" s="123" t="s">
        <v>246</v>
      </c>
      <c r="S148" s="96" t="s">
        <v>121</v>
      </c>
      <c r="T148" s="39" t="s">
        <v>122</v>
      </c>
      <c r="U148" s="39" t="s">
        <v>250</v>
      </c>
      <c r="V148" s="39" t="s">
        <v>66</v>
      </c>
      <c r="W148" s="39"/>
      <c r="X148" s="65" t="s">
        <v>67</v>
      </c>
      <c r="Y148" s="39" t="s">
        <v>68</v>
      </c>
      <c r="Z148" s="94" t="s">
        <v>125</v>
      </c>
      <c r="AA148" s="94" t="s">
        <v>90</v>
      </c>
      <c r="AB148" s="65" t="s">
        <v>71</v>
      </c>
      <c r="AC148" s="39" t="s">
        <v>62</v>
      </c>
      <c r="AD148" s="39" t="s">
        <v>72</v>
      </c>
      <c r="AE148" s="65" t="s">
        <v>73</v>
      </c>
      <c r="AF148" s="39" t="s">
        <v>86</v>
      </c>
      <c r="AG148" s="39" t="s">
        <v>75</v>
      </c>
      <c r="AH148" s="54">
        <v>650</v>
      </c>
      <c r="AI148" s="66" t="s">
        <v>76</v>
      </c>
      <c r="AJ148" s="54" t="s">
        <v>241</v>
      </c>
      <c r="AK148" s="108">
        <v>2807</v>
      </c>
      <c r="AL148" s="107">
        <v>698943000</v>
      </c>
      <c r="AM148" s="107">
        <v>137</v>
      </c>
      <c r="AN148" s="107">
        <v>33630319</v>
      </c>
      <c r="AO148" s="107">
        <v>1456</v>
      </c>
      <c r="AP148" s="107">
        <v>346862235</v>
      </c>
      <c r="AQ148" s="107">
        <v>2307</v>
      </c>
      <c r="AR148" s="107">
        <v>546157017</v>
      </c>
      <c r="AS148" s="106">
        <f t="shared" si="20"/>
        <v>0.82187388671179196</v>
      </c>
    </row>
    <row r="149" spans="1:45" s="15" customFormat="1" x14ac:dyDescent="0.3">
      <c r="A149" s="103" t="str">
        <f t="shared" si="15"/>
        <v>DMDJ83046BGL</v>
      </c>
      <c r="B149" s="32" t="s">
        <v>322</v>
      </c>
      <c r="C149" s="39" t="str">
        <f t="shared" si="18"/>
        <v>DJ830</v>
      </c>
      <c r="D149" s="39" t="s">
        <v>55</v>
      </c>
      <c r="E149" s="39" t="str">
        <f t="shared" si="16"/>
        <v>M</v>
      </c>
      <c r="F149" s="39" t="str">
        <f t="shared" si="17"/>
        <v>DJ</v>
      </c>
      <c r="G149" s="39" t="s">
        <v>56</v>
      </c>
      <c r="H149" s="54" t="s">
        <v>323</v>
      </c>
      <c r="I149" s="39" t="s">
        <v>163</v>
      </c>
      <c r="J149" s="54" t="str">
        <f t="shared" si="19"/>
        <v/>
      </c>
      <c r="K149" s="54">
        <v>1</v>
      </c>
      <c r="L149" s="107">
        <v>249000</v>
      </c>
      <c r="M149" s="78" t="s">
        <v>217</v>
      </c>
      <c r="N149" s="98" t="s">
        <v>249</v>
      </c>
      <c r="O149" s="39" t="s">
        <v>61</v>
      </c>
      <c r="P149" s="123">
        <v>100</v>
      </c>
      <c r="Q149" s="94" t="s">
        <v>119</v>
      </c>
      <c r="R149" s="123" t="s">
        <v>246</v>
      </c>
      <c r="S149" s="96" t="s">
        <v>121</v>
      </c>
      <c r="T149" s="39" t="s">
        <v>122</v>
      </c>
      <c r="U149" s="39" t="s">
        <v>250</v>
      </c>
      <c r="V149" s="39" t="s">
        <v>66</v>
      </c>
      <c r="W149" s="39"/>
      <c r="X149" s="65" t="s">
        <v>67</v>
      </c>
      <c r="Y149" s="39" t="s">
        <v>68</v>
      </c>
      <c r="Z149" s="94" t="s">
        <v>125</v>
      </c>
      <c r="AA149" s="94" t="s">
        <v>90</v>
      </c>
      <c r="AB149" s="65" t="s">
        <v>71</v>
      </c>
      <c r="AC149" s="39" t="s">
        <v>62</v>
      </c>
      <c r="AD149" s="39" t="s">
        <v>72</v>
      </c>
      <c r="AE149" s="65" t="s">
        <v>73</v>
      </c>
      <c r="AF149" s="39" t="s">
        <v>86</v>
      </c>
      <c r="AG149" s="39" t="s">
        <v>75</v>
      </c>
      <c r="AH149" s="54">
        <v>650</v>
      </c>
      <c r="AI149" s="66" t="s">
        <v>76</v>
      </c>
      <c r="AJ149" s="54" t="s">
        <v>241</v>
      </c>
      <c r="AK149" s="108">
        <v>1210</v>
      </c>
      <c r="AL149" s="107">
        <v>301290000</v>
      </c>
      <c r="AM149" s="107">
        <v>42</v>
      </c>
      <c r="AN149" s="107">
        <v>10189380</v>
      </c>
      <c r="AO149" s="107">
        <v>338</v>
      </c>
      <c r="AP149" s="107">
        <v>80855982</v>
      </c>
      <c r="AQ149" s="107">
        <v>548</v>
      </c>
      <c r="AR149" s="107">
        <v>130970509</v>
      </c>
      <c r="AS149" s="106">
        <f t="shared" si="20"/>
        <v>0.45289256198347105</v>
      </c>
    </row>
    <row r="150" spans="1:45" s="15" customFormat="1" x14ac:dyDescent="0.3">
      <c r="A150" s="103" t="str">
        <f t="shared" si="15"/>
        <v>DMDJ83046LKS</v>
      </c>
      <c r="B150" s="32" t="s">
        <v>322</v>
      </c>
      <c r="C150" s="39" t="str">
        <f t="shared" si="18"/>
        <v>DJ830</v>
      </c>
      <c r="D150" s="39" t="s">
        <v>55</v>
      </c>
      <c r="E150" s="39" t="str">
        <f t="shared" si="16"/>
        <v>M</v>
      </c>
      <c r="F150" s="39" t="str">
        <f t="shared" si="17"/>
        <v>DJ</v>
      </c>
      <c r="G150" s="39" t="s">
        <v>56</v>
      </c>
      <c r="H150" s="54" t="s">
        <v>323</v>
      </c>
      <c r="I150" s="39" t="s">
        <v>179</v>
      </c>
      <c r="J150" s="54" t="str">
        <f t="shared" si="19"/>
        <v/>
      </c>
      <c r="K150" s="54">
        <v>1</v>
      </c>
      <c r="L150" s="107">
        <v>249000</v>
      </c>
      <c r="M150" s="78" t="s">
        <v>217</v>
      </c>
      <c r="N150" s="98" t="s">
        <v>249</v>
      </c>
      <c r="O150" s="39" t="s">
        <v>61</v>
      </c>
      <c r="P150" s="123">
        <v>100</v>
      </c>
      <c r="Q150" s="94" t="s">
        <v>119</v>
      </c>
      <c r="R150" s="123" t="s">
        <v>246</v>
      </c>
      <c r="S150" s="96" t="s">
        <v>121</v>
      </c>
      <c r="T150" s="39" t="s">
        <v>122</v>
      </c>
      <c r="U150" s="39" t="s">
        <v>250</v>
      </c>
      <c r="V150" s="39" t="s">
        <v>66</v>
      </c>
      <c r="W150" s="39"/>
      <c r="X150" s="65" t="s">
        <v>67</v>
      </c>
      <c r="Y150" s="39" t="s">
        <v>68</v>
      </c>
      <c r="Z150" s="94" t="s">
        <v>125</v>
      </c>
      <c r="AA150" s="94" t="s">
        <v>90</v>
      </c>
      <c r="AB150" s="65" t="s">
        <v>71</v>
      </c>
      <c r="AC150" s="39" t="s">
        <v>62</v>
      </c>
      <c r="AD150" s="39" t="s">
        <v>72</v>
      </c>
      <c r="AE150" s="65" t="s">
        <v>73</v>
      </c>
      <c r="AF150" s="39" t="s">
        <v>86</v>
      </c>
      <c r="AG150" s="39" t="s">
        <v>75</v>
      </c>
      <c r="AH150" s="54">
        <v>650</v>
      </c>
      <c r="AI150" s="66" t="s">
        <v>76</v>
      </c>
      <c r="AJ150" s="54" t="s">
        <v>241</v>
      </c>
      <c r="AK150" s="108">
        <v>1010</v>
      </c>
      <c r="AL150" s="107">
        <v>251490000</v>
      </c>
      <c r="AM150" s="107">
        <v>33</v>
      </c>
      <c r="AN150" s="107">
        <v>8048400</v>
      </c>
      <c r="AO150" s="107">
        <v>619</v>
      </c>
      <c r="AP150" s="107">
        <v>149646799</v>
      </c>
      <c r="AQ150" s="107">
        <v>828</v>
      </c>
      <c r="AR150" s="107">
        <v>199027943</v>
      </c>
      <c r="AS150" s="106">
        <f t="shared" si="20"/>
        <v>0.81980198019801975</v>
      </c>
    </row>
    <row r="151" spans="1:45" s="15" customFormat="1" x14ac:dyDescent="0.3">
      <c r="A151" s="103" t="str">
        <f t="shared" si="15"/>
        <v>DWDJ84046BKS</v>
      </c>
      <c r="B151" s="32" t="s">
        <v>324</v>
      </c>
      <c r="C151" s="39" t="str">
        <f t="shared" si="18"/>
        <v>DJ840</v>
      </c>
      <c r="D151" s="39" t="s">
        <v>55</v>
      </c>
      <c r="E151" s="39" t="str">
        <f t="shared" si="16"/>
        <v>W</v>
      </c>
      <c r="F151" s="39" t="str">
        <f t="shared" si="17"/>
        <v>DJ</v>
      </c>
      <c r="G151" s="39" t="s">
        <v>56</v>
      </c>
      <c r="H151" s="54" t="s">
        <v>325</v>
      </c>
      <c r="I151" s="39" t="s">
        <v>78</v>
      </c>
      <c r="J151" s="54">
        <f t="shared" si="19"/>
        <v>1</v>
      </c>
      <c r="K151" s="54">
        <v>1</v>
      </c>
      <c r="L151" s="107">
        <v>249000</v>
      </c>
      <c r="M151" s="78" t="s">
        <v>217</v>
      </c>
      <c r="N151" s="98" t="s">
        <v>249</v>
      </c>
      <c r="O151" s="39" t="s">
        <v>61</v>
      </c>
      <c r="P151" s="123">
        <v>100</v>
      </c>
      <c r="Q151" s="94" t="s">
        <v>119</v>
      </c>
      <c r="R151" s="123" t="s">
        <v>246</v>
      </c>
      <c r="S151" s="96" t="s">
        <v>121</v>
      </c>
      <c r="T151" s="39" t="s">
        <v>122</v>
      </c>
      <c r="U151" s="39" t="s">
        <v>250</v>
      </c>
      <c r="V151" s="39" t="s">
        <v>66</v>
      </c>
      <c r="W151" s="39"/>
      <c r="X151" s="65" t="s">
        <v>67</v>
      </c>
      <c r="Y151" s="39" t="s">
        <v>68</v>
      </c>
      <c r="Z151" s="94" t="s">
        <v>125</v>
      </c>
      <c r="AA151" s="94" t="s">
        <v>90</v>
      </c>
      <c r="AB151" s="65" t="s">
        <v>71</v>
      </c>
      <c r="AC151" s="39" t="s">
        <v>62</v>
      </c>
      <c r="AD151" s="39" t="s">
        <v>72</v>
      </c>
      <c r="AE151" s="65" t="s">
        <v>73</v>
      </c>
      <c r="AF151" s="39" t="s">
        <v>326</v>
      </c>
      <c r="AG151" s="39" t="s">
        <v>75</v>
      </c>
      <c r="AH151" s="54">
        <v>650</v>
      </c>
      <c r="AI151" s="66" t="s">
        <v>76</v>
      </c>
      <c r="AJ151" s="54" t="s">
        <v>94</v>
      </c>
      <c r="AK151" s="108">
        <v>1604</v>
      </c>
      <c r="AL151" s="107">
        <v>399396000</v>
      </c>
      <c r="AM151" s="107">
        <v>44</v>
      </c>
      <c r="AN151" s="107">
        <v>10799300</v>
      </c>
      <c r="AO151" s="107">
        <v>902</v>
      </c>
      <c r="AP151" s="107">
        <v>219143062</v>
      </c>
      <c r="AQ151" s="107">
        <v>1209</v>
      </c>
      <c r="AR151" s="107">
        <v>292675135</v>
      </c>
      <c r="AS151" s="106">
        <f t="shared" si="20"/>
        <v>0.75374064837905241</v>
      </c>
    </row>
    <row r="152" spans="1:45" s="15" customFormat="1" x14ac:dyDescent="0.3">
      <c r="A152" s="103" t="str">
        <f t="shared" si="15"/>
        <v>DWDJ84046CRS</v>
      </c>
      <c r="B152" s="32" t="s">
        <v>324</v>
      </c>
      <c r="C152" s="39" t="str">
        <f t="shared" si="18"/>
        <v>DJ840</v>
      </c>
      <c r="D152" s="39" t="s">
        <v>55</v>
      </c>
      <c r="E152" s="39" t="str">
        <f t="shared" si="16"/>
        <v>W</v>
      </c>
      <c r="F152" s="39" t="str">
        <f t="shared" si="17"/>
        <v>DJ</v>
      </c>
      <c r="G152" s="39" t="s">
        <v>56</v>
      </c>
      <c r="H152" s="54" t="s">
        <v>325</v>
      </c>
      <c r="I152" s="39" t="s">
        <v>79</v>
      </c>
      <c r="J152" s="54" t="str">
        <f t="shared" si="19"/>
        <v/>
      </c>
      <c r="K152" s="54">
        <v>1</v>
      </c>
      <c r="L152" s="107">
        <v>249000</v>
      </c>
      <c r="M152" s="78" t="s">
        <v>217</v>
      </c>
      <c r="N152" s="98" t="s">
        <v>249</v>
      </c>
      <c r="O152" s="39" t="s">
        <v>61</v>
      </c>
      <c r="P152" s="123">
        <v>100</v>
      </c>
      <c r="Q152" s="94" t="s">
        <v>119</v>
      </c>
      <c r="R152" s="123" t="s">
        <v>246</v>
      </c>
      <c r="S152" s="96" t="s">
        <v>121</v>
      </c>
      <c r="T152" s="39" t="s">
        <v>122</v>
      </c>
      <c r="U152" s="39" t="s">
        <v>250</v>
      </c>
      <c r="V152" s="39" t="s">
        <v>66</v>
      </c>
      <c r="W152" s="39"/>
      <c r="X152" s="65" t="s">
        <v>67</v>
      </c>
      <c r="Y152" s="39" t="s">
        <v>68</v>
      </c>
      <c r="Z152" s="94" t="s">
        <v>125</v>
      </c>
      <c r="AA152" s="94" t="s">
        <v>90</v>
      </c>
      <c r="AB152" s="65" t="s">
        <v>71</v>
      </c>
      <c r="AC152" s="39" t="s">
        <v>62</v>
      </c>
      <c r="AD152" s="39" t="s">
        <v>72</v>
      </c>
      <c r="AE152" s="65" t="s">
        <v>73</v>
      </c>
      <c r="AF152" s="39" t="s">
        <v>326</v>
      </c>
      <c r="AG152" s="39" t="s">
        <v>75</v>
      </c>
      <c r="AH152" s="54">
        <v>650</v>
      </c>
      <c r="AI152" s="66" t="s">
        <v>76</v>
      </c>
      <c r="AJ152" s="54" t="s">
        <v>94</v>
      </c>
      <c r="AK152" s="108">
        <v>1367</v>
      </c>
      <c r="AL152" s="107">
        <v>340383000</v>
      </c>
      <c r="AM152" s="107">
        <v>37</v>
      </c>
      <c r="AN152" s="107">
        <v>9076476</v>
      </c>
      <c r="AO152" s="107">
        <v>842</v>
      </c>
      <c r="AP152" s="107">
        <v>199763362</v>
      </c>
      <c r="AQ152" s="107">
        <v>1059</v>
      </c>
      <c r="AR152" s="107">
        <v>250672144</v>
      </c>
      <c r="AS152" s="106">
        <f t="shared" si="20"/>
        <v>0.77468910021945869</v>
      </c>
    </row>
    <row r="153" spans="1:45" s="15" customFormat="1" x14ac:dyDescent="0.3">
      <c r="A153" s="103" t="str">
        <f t="shared" si="15"/>
        <v>DWDJ84046SIL</v>
      </c>
      <c r="B153" s="32" t="s">
        <v>324</v>
      </c>
      <c r="C153" s="39" t="str">
        <f t="shared" si="18"/>
        <v>DJ840</v>
      </c>
      <c r="D153" s="39" t="s">
        <v>55</v>
      </c>
      <c r="E153" s="39" t="str">
        <f t="shared" si="16"/>
        <v>W</v>
      </c>
      <c r="F153" s="39" t="str">
        <f t="shared" si="17"/>
        <v>DJ</v>
      </c>
      <c r="G153" s="39" t="s">
        <v>56</v>
      </c>
      <c r="H153" s="54" t="s">
        <v>325</v>
      </c>
      <c r="I153" s="39" t="s">
        <v>178</v>
      </c>
      <c r="J153" s="54" t="str">
        <f t="shared" si="19"/>
        <v/>
      </c>
      <c r="K153" s="54">
        <v>1</v>
      </c>
      <c r="L153" s="107">
        <v>249000</v>
      </c>
      <c r="M153" s="78" t="s">
        <v>217</v>
      </c>
      <c r="N153" s="98" t="s">
        <v>249</v>
      </c>
      <c r="O153" s="39" t="s">
        <v>61</v>
      </c>
      <c r="P153" s="123">
        <v>100</v>
      </c>
      <c r="Q153" s="94" t="s">
        <v>119</v>
      </c>
      <c r="R153" s="123" t="s">
        <v>246</v>
      </c>
      <c r="S153" s="96" t="s">
        <v>121</v>
      </c>
      <c r="T153" s="39" t="s">
        <v>122</v>
      </c>
      <c r="U153" s="39" t="s">
        <v>250</v>
      </c>
      <c r="V153" s="39" t="s">
        <v>66</v>
      </c>
      <c r="W153" s="39"/>
      <c r="X153" s="65" t="s">
        <v>67</v>
      </c>
      <c r="Y153" s="39" t="s">
        <v>68</v>
      </c>
      <c r="Z153" s="94" t="s">
        <v>125</v>
      </c>
      <c r="AA153" s="94" t="s">
        <v>90</v>
      </c>
      <c r="AB153" s="65" t="s">
        <v>71</v>
      </c>
      <c r="AC153" s="39" t="s">
        <v>62</v>
      </c>
      <c r="AD153" s="39" t="s">
        <v>72</v>
      </c>
      <c r="AE153" s="65" t="s">
        <v>73</v>
      </c>
      <c r="AF153" s="39" t="s">
        <v>326</v>
      </c>
      <c r="AG153" s="39" t="s">
        <v>75</v>
      </c>
      <c r="AH153" s="54">
        <v>650</v>
      </c>
      <c r="AI153" s="66" t="s">
        <v>76</v>
      </c>
      <c r="AJ153" s="54" t="s">
        <v>94</v>
      </c>
      <c r="AK153" s="108">
        <v>1004</v>
      </c>
      <c r="AL153" s="107">
        <v>249996000</v>
      </c>
      <c r="AM153" s="107">
        <v>20</v>
      </c>
      <c r="AN153" s="107">
        <v>4843168</v>
      </c>
      <c r="AO153" s="107">
        <v>230</v>
      </c>
      <c r="AP153" s="107">
        <v>55769591</v>
      </c>
      <c r="AQ153" s="107">
        <v>385</v>
      </c>
      <c r="AR153" s="107">
        <v>93128367</v>
      </c>
      <c r="AS153" s="106">
        <f t="shared" si="20"/>
        <v>0.38346613545816732</v>
      </c>
    </row>
    <row r="154" spans="1:45" x14ac:dyDescent="0.3">
      <c r="A154" s="1" t="str">
        <f t="shared" si="15"/>
        <v>DMDJ85046BKS</v>
      </c>
      <c r="B154" s="32" t="s">
        <v>327</v>
      </c>
      <c r="C154" s="10" t="str">
        <f t="shared" si="18"/>
        <v>DJ850</v>
      </c>
      <c r="D154" s="10" t="s">
        <v>55</v>
      </c>
      <c r="E154" s="10" t="str">
        <f t="shared" si="16"/>
        <v>M</v>
      </c>
      <c r="F154" s="10" t="str">
        <f t="shared" si="17"/>
        <v>DJ</v>
      </c>
      <c r="G154" s="10" t="s">
        <v>56</v>
      </c>
      <c r="H154" s="4" t="s">
        <v>328</v>
      </c>
      <c r="I154" s="10" t="s">
        <v>78</v>
      </c>
      <c r="J154" s="4">
        <f t="shared" si="19"/>
        <v>1</v>
      </c>
      <c r="K154" s="4">
        <v>1</v>
      </c>
      <c r="L154" s="30">
        <v>259000</v>
      </c>
      <c r="M154" s="78" t="s">
        <v>217</v>
      </c>
      <c r="N154" s="98" t="s">
        <v>329</v>
      </c>
      <c r="O154" s="10" t="s">
        <v>61</v>
      </c>
      <c r="P154" s="63">
        <v>100</v>
      </c>
      <c r="Q154" s="94" t="s">
        <v>330</v>
      </c>
      <c r="R154" s="63" t="s">
        <v>246</v>
      </c>
      <c r="S154" s="96" t="s">
        <v>331</v>
      </c>
      <c r="T154" s="10" t="s">
        <v>122</v>
      </c>
      <c r="U154" s="10" t="s">
        <v>332</v>
      </c>
      <c r="V154" s="10" t="s">
        <v>66</v>
      </c>
      <c r="W154" s="10"/>
      <c r="X154" s="9" t="s">
        <v>67</v>
      </c>
      <c r="Y154" s="10" t="s">
        <v>68</v>
      </c>
      <c r="Z154" s="94" t="s">
        <v>125</v>
      </c>
      <c r="AA154" s="94" t="s">
        <v>90</v>
      </c>
      <c r="AB154" s="9" t="s">
        <v>71</v>
      </c>
      <c r="AC154" s="10" t="s">
        <v>62</v>
      </c>
      <c r="AD154" s="10" t="s">
        <v>72</v>
      </c>
      <c r="AE154" s="65" t="s">
        <v>73</v>
      </c>
      <c r="AF154" s="39" t="s">
        <v>333</v>
      </c>
      <c r="AG154" s="10" t="s">
        <v>75</v>
      </c>
      <c r="AH154" s="4">
        <v>650</v>
      </c>
      <c r="AI154" s="11" t="s">
        <v>76</v>
      </c>
      <c r="AJ154" s="4" t="s">
        <v>241</v>
      </c>
      <c r="AK154" s="36">
        <v>2507</v>
      </c>
      <c r="AL154" s="30">
        <v>649313000</v>
      </c>
      <c r="AM154" s="30">
        <v>268</v>
      </c>
      <c r="AN154" s="30">
        <v>48295320</v>
      </c>
      <c r="AO154" s="30">
        <v>1778</v>
      </c>
      <c r="AP154" s="30">
        <v>333280939</v>
      </c>
      <c r="AQ154" s="30">
        <v>2477</v>
      </c>
      <c r="AR154" s="30">
        <v>459422069</v>
      </c>
      <c r="AS154" s="52">
        <f t="shared" si="20"/>
        <v>0.98803350618268848</v>
      </c>
    </row>
    <row r="155" spans="1:45" x14ac:dyDescent="0.3">
      <c r="A155" s="1" t="str">
        <f t="shared" si="15"/>
        <v>DMDJ85046BGD</v>
      </c>
      <c r="B155" s="32" t="s">
        <v>327</v>
      </c>
      <c r="C155" s="10" t="str">
        <f t="shared" si="18"/>
        <v>DJ850</v>
      </c>
      <c r="D155" s="10" t="s">
        <v>55</v>
      </c>
      <c r="E155" s="10" t="str">
        <f t="shared" si="16"/>
        <v>M</v>
      </c>
      <c r="F155" s="10" t="str">
        <f t="shared" si="17"/>
        <v>DJ</v>
      </c>
      <c r="G155" s="10" t="s">
        <v>56</v>
      </c>
      <c r="H155" s="4" t="s">
        <v>328</v>
      </c>
      <c r="I155" s="10" t="s">
        <v>260</v>
      </c>
      <c r="J155" s="4" t="str">
        <f t="shared" si="19"/>
        <v/>
      </c>
      <c r="K155" s="4">
        <v>1</v>
      </c>
      <c r="L155" s="30">
        <v>259000</v>
      </c>
      <c r="M155" s="78" t="s">
        <v>217</v>
      </c>
      <c r="N155" s="98" t="s">
        <v>329</v>
      </c>
      <c r="O155" s="10" t="s">
        <v>61</v>
      </c>
      <c r="P155" s="63">
        <v>100</v>
      </c>
      <c r="Q155" s="94" t="s">
        <v>330</v>
      </c>
      <c r="R155" s="63" t="s">
        <v>246</v>
      </c>
      <c r="S155" s="96" t="s">
        <v>331</v>
      </c>
      <c r="T155" s="10" t="s">
        <v>122</v>
      </c>
      <c r="U155" s="10" t="s">
        <v>332</v>
      </c>
      <c r="V155" s="10" t="s">
        <v>66</v>
      </c>
      <c r="W155" s="10"/>
      <c r="X155" s="9" t="s">
        <v>67</v>
      </c>
      <c r="Y155" s="10" t="s">
        <v>68</v>
      </c>
      <c r="Z155" s="94" t="s">
        <v>125</v>
      </c>
      <c r="AA155" s="94" t="s">
        <v>90</v>
      </c>
      <c r="AB155" s="9" t="s">
        <v>71</v>
      </c>
      <c r="AC155" s="10" t="s">
        <v>62</v>
      </c>
      <c r="AD155" s="10" t="s">
        <v>72</v>
      </c>
      <c r="AE155" s="65" t="s">
        <v>73</v>
      </c>
      <c r="AF155" s="39" t="s">
        <v>333</v>
      </c>
      <c r="AG155" s="10" t="s">
        <v>75</v>
      </c>
      <c r="AH155" s="4">
        <v>650</v>
      </c>
      <c r="AI155" s="11" t="s">
        <v>76</v>
      </c>
      <c r="AJ155" s="4" t="s">
        <v>241</v>
      </c>
      <c r="AK155" s="36">
        <v>1007</v>
      </c>
      <c r="AL155" s="30">
        <v>260813000</v>
      </c>
      <c r="AM155" s="30">
        <v>106</v>
      </c>
      <c r="AN155" s="30">
        <v>19151550</v>
      </c>
      <c r="AO155" s="30">
        <v>414</v>
      </c>
      <c r="AP155" s="30">
        <v>76444606</v>
      </c>
      <c r="AQ155" s="30">
        <v>834</v>
      </c>
      <c r="AR155" s="30">
        <v>152027926</v>
      </c>
      <c r="AS155" s="52">
        <f t="shared" si="20"/>
        <v>0.82820258192651441</v>
      </c>
    </row>
    <row r="156" spans="1:45" x14ac:dyDescent="0.3">
      <c r="A156" s="1" t="str">
        <f t="shared" si="15"/>
        <v>DMDJ85046IVD</v>
      </c>
      <c r="B156" s="32" t="s">
        <v>327</v>
      </c>
      <c r="C156" s="10" t="str">
        <f t="shared" si="18"/>
        <v>DJ850</v>
      </c>
      <c r="D156" s="10" t="s">
        <v>55</v>
      </c>
      <c r="E156" s="10" t="str">
        <f t="shared" si="16"/>
        <v>M</v>
      </c>
      <c r="F156" s="10" t="str">
        <f t="shared" si="17"/>
        <v>DJ</v>
      </c>
      <c r="G156" s="10" t="s">
        <v>56</v>
      </c>
      <c r="H156" s="4" t="s">
        <v>328</v>
      </c>
      <c r="I156" s="10" t="s">
        <v>105</v>
      </c>
      <c r="J156" s="4" t="str">
        <f t="shared" si="19"/>
        <v/>
      </c>
      <c r="K156" s="4">
        <v>1</v>
      </c>
      <c r="L156" s="30">
        <v>259000</v>
      </c>
      <c r="M156" s="78" t="s">
        <v>217</v>
      </c>
      <c r="N156" s="98" t="s">
        <v>329</v>
      </c>
      <c r="O156" s="10" t="s">
        <v>61</v>
      </c>
      <c r="P156" s="63">
        <v>100</v>
      </c>
      <c r="Q156" s="94" t="s">
        <v>330</v>
      </c>
      <c r="R156" s="63" t="s">
        <v>246</v>
      </c>
      <c r="S156" s="96" t="s">
        <v>331</v>
      </c>
      <c r="T156" s="10" t="s">
        <v>122</v>
      </c>
      <c r="U156" s="10" t="s">
        <v>332</v>
      </c>
      <c r="V156" s="10" t="s">
        <v>66</v>
      </c>
      <c r="W156" s="10"/>
      <c r="X156" s="9" t="s">
        <v>67</v>
      </c>
      <c r="Y156" s="10" t="s">
        <v>68</v>
      </c>
      <c r="Z156" s="94" t="s">
        <v>125</v>
      </c>
      <c r="AA156" s="94" t="s">
        <v>90</v>
      </c>
      <c r="AB156" s="9" t="s">
        <v>71</v>
      </c>
      <c r="AC156" s="10" t="s">
        <v>62</v>
      </c>
      <c r="AD156" s="10" t="s">
        <v>72</v>
      </c>
      <c r="AE156" s="65" t="s">
        <v>73</v>
      </c>
      <c r="AF156" s="39" t="s">
        <v>333</v>
      </c>
      <c r="AG156" s="10" t="s">
        <v>75</v>
      </c>
      <c r="AH156" s="4">
        <v>650</v>
      </c>
      <c r="AI156" s="11" t="s">
        <v>76</v>
      </c>
      <c r="AJ156" s="4" t="s">
        <v>241</v>
      </c>
      <c r="AK156" s="36">
        <v>1005</v>
      </c>
      <c r="AL156" s="30">
        <v>260295000</v>
      </c>
      <c r="AM156" s="30">
        <v>66</v>
      </c>
      <c r="AN156" s="30">
        <v>11965800</v>
      </c>
      <c r="AO156" s="30">
        <v>273</v>
      </c>
      <c r="AP156" s="30">
        <v>51292890</v>
      </c>
      <c r="AQ156" s="30">
        <v>529</v>
      </c>
      <c r="AR156" s="30">
        <v>97563960</v>
      </c>
      <c r="AS156" s="52">
        <f t="shared" si="20"/>
        <v>0.52636815920398006</v>
      </c>
    </row>
    <row r="157" spans="1:45" x14ac:dyDescent="0.3">
      <c r="A157" s="1" t="str">
        <f t="shared" si="15"/>
        <v>DMDJ75046BKS</v>
      </c>
      <c r="B157" s="32" t="s">
        <v>334</v>
      </c>
      <c r="C157" s="10" t="str">
        <f t="shared" si="18"/>
        <v>DJ750</v>
      </c>
      <c r="D157" s="10" t="s">
        <v>55</v>
      </c>
      <c r="E157" s="10" t="str">
        <f t="shared" si="16"/>
        <v>M</v>
      </c>
      <c r="F157" s="10" t="str">
        <f t="shared" si="17"/>
        <v>DJ</v>
      </c>
      <c r="G157" s="10" t="s">
        <v>56</v>
      </c>
      <c r="H157" s="4" t="s">
        <v>335</v>
      </c>
      <c r="I157" s="10" t="s">
        <v>78</v>
      </c>
      <c r="J157" s="4">
        <f t="shared" si="19"/>
        <v>1</v>
      </c>
      <c r="K157" s="4">
        <v>1</v>
      </c>
      <c r="L157" s="30">
        <v>239000</v>
      </c>
      <c r="M157" s="78" t="s">
        <v>132</v>
      </c>
      <c r="N157" s="98" t="s">
        <v>336</v>
      </c>
      <c r="O157" s="10" t="s">
        <v>143</v>
      </c>
      <c r="P157" s="63">
        <v>100</v>
      </c>
      <c r="Q157" s="94" t="s">
        <v>337</v>
      </c>
      <c r="R157" s="63" t="s">
        <v>338</v>
      </c>
      <c r="S157" s="96" t="s">
        <v>339</v>
      </c>
      <c r="T157" s="10" t="s">
        <v>65</v>
      </c>
      <c r="U157" s="10"/>
      <c r="V157" s="10" t="s">
        <v>66</v>
      </c>
      <c r="W157" s="10"/>
      <c r="X157" s="9" t="s">
        <v>67</v>
      </c>
      <c r="Y157" s="10" t="s">
        <v>340</v>
      </c>
      <c r="Z157" s="94" t="s">
        <v>238</v>
      </c>
      <c r="AA157" s="94" t="s">
        <v>341</v>
      </c>
      <c r="AB157" s="9" t="s">
        <v>342</v>
      </c>
      <c r="AC157" s="68" t="s">
        <v>92</v>
      </c>
      <c r="AD157" s="69" t="str">
        <f t="shared" ref="AD157:AD165" si="21">AC157</f>
        <v>(다운백 없음)</v>
      </c>
      <c r="AE157" s="65" t="s">
        <v>73</v>
      </c>
      <c r="AF157" s="39" t="s">
        <v>343</v>
      </c>
      <c r="AG157" s="10" t="s">
        <v>240</v>
      </c>
      <c r="AH157" s="4">
        <v>650</v>
      </c>
      <c r="AI157" s="11" t="s">
        <v>289</v>
      </c>
      <c r="AJ157" s="4" t="s">
        <v>241</v>
      </c>
      <c r="AK157" s="36">
        <v>3976</v>
      </c>
      <c r="AL157" s="30">
        <v>950264000</v>
      </c>
      <c r="AM157" s="30">
        <v>165</v>
      </c>
      <c r="AN157" s="30">
        <v>37601680</v>
      </c>
      <c r="AO157" s="30">
        <v>1788</v>
      </c>
      <c r="AP157" s="30">
        <v>375744852</v>
      </c>
      <c r="AQ157" s="30">
        <v>2508</v>
      </c>
      <c r="AR157" s="30">
        <v>540412085</v>
      </c>
      <c r="AS157" s="52">
        <f t="shared" si="20"/>
        <v>0.63078470824949695</v>
      </c>
    </row>
    <row r="158" spans="1:45" x14ac:dyDescent="0.3">
      <c r="A158" s="1" t="str">
        <f t="shared" si="15"/>
        <v>DMDJ75046OLS</v>
      </c>
      <c r="B158" s="32" t="s">
        <v>344</v>
      </c>
      <c r="C158" s="10" t="str">
        <f t="shared" si="18"/>
        <v>DJ750</v>
      </c>
      <c r="D158" s="10" t="s">
        <v>55</v>
      </c>
      <c r="E158" s="10" t="str">
        <f t="shared" si="16"/>
        <v>M</v>
      </c>
      <c r="F158" s="10" t="str">
        <f t="shared" si="17"/>
        <v>DJ</v>
      </c>
      <c r="G158" s="10" t="s">
        <v>56</v>
      </c>
      <c r="H158" s="4" t="s">
        <v>335</v>
      </c>
      <c r="I158" s="10" t="s">
        <v>345</v>
      </c>
      <c r="J158" s="4" t="str">
        <f t="shared" si="19"/>
        <v/>
      </c>
      <c r="K158" s="4">
        <v>1</v>
      </c>
      <c r="L158" s="30">
        <v>239000</v>
      </c>
      <c r="M158" s="78" t="s">
        <v>132</v>
      </c>
      <c r="N158" s="98" t="s">
        <v>336</v>
      </c>
      <c r="O158" s="10" t="s">
        <v>143</v>
      </c>
      <c r="P158" s="63">
        <v>100</v>
      </c>
      <c r="Q158" s="94" t="s">
        <v>337</v>
      </c>
      <c r="R158" s="63" t="s">
        <v>338</v>
      </c>
      <c r="S158" s="96" t="s">
        <v>339</v>
      </c>
      <c r="T158" s="10" t="s">
        <v>65</v>
      </c>
      <c r="U158" s="10"/>
      <c r="V158" s="10" t="s">
        <v>66</v>
      </c>
      <c r="W158" s="10"/>
      <c r="X158" s="9" t="s">
        <v>67</v>
      </c>
      <c r="Y158" s="10" t="s">
        <v>340</v>
      </c>
      <c r="Z158" s="94" t="s">
        <v>238</v>
      </c>
      <c r="AA158" s="94" t="s">
        <v>341</v>
      </c>
      <c r="AB158" s="9" t="s">
        <v>342</v>
      </c>
      <c r="AC158" s="68" t="s">
        <v>92</v>
      </c>
      <c r="AD158" s="69" t="str">
        <f t="shared" si="21"/>
        <v>(다운백 없음)</v>
      </c>
      <c r="AE158" s="65" t="s">
        <v>73</v>
      </c>
      <c r="AF158" s="39" t="s">
        <v>343</v>
      </c>
      <c r="AG158" s="10" t="s">
        <v>240</v>
      </c>
      <c r="AH158" s="4">
        <v>650</v>
      </c>
      <c r="AI158" s="11" t="s">
        <v>289</v>
      </c>
      <c r="AJ158" s="4" t="s">
        <v>241</v>
      </c>
      <c r="AK158" s="36">
        <v>789</v>
      </c>
      <c r="AL158" s="30">
        <v>188571000</v>
      </c>
      <c r="AM158" s="30">
        <v>25</v>
      </c>
      <c r="AN158" s="30">
        <v>5935000</v>
      </c>
      <c r="AO158" s="30">
        <v>276</v>
      </c>
      <c r="AP158" s="30">
        <v>62665471</v>
      </c>
      <c r="AQ158" s="30">
        <v>372</v>
      </c>
      <c r="AR158" s="30">
        <v>84557694</v>
      </c>
      <c r="AS158" s="52">
        <f t="shared" si="20"/>
        <v>0.47148288973384028</v>
      </c>
    </row>
    <row r="159" spans="1:45" x14ac:dyDescent="0.3">
      <c r="A159" s="1" t="str">
        <f t="shared" si="15"/>
        <v>DMDJ75046BGS</v>
      </c>
      <c r="B159" s="32" t="s">
        <v>344</v>
      </c>
      <c r="C159" s="10" t="str">
        <f t="shared" si="18"/>
        <v>DJ750</v>
      </c>
      <c r="D159" s="10" t="s">
        <v>55</v>
      </c>
      <c r="E159" s="10" t="str">
        <f t="shared" si="16"/>
        <v>M</v>
      </c>
      <c r="F159" s="10" t="str">
        <f t="shared" si="17"/>
        <v>DJ</v>
      </c>
      <c r="G159" s="10" t="s">
        <v>56</v>
      </c>
      <c r="H159" s="4" t="s">
        <v>335</v>
      </c>
      <c r="I159" s="10" t="s">
        <v>82</v>
      </c>
      <c r="J159" s="4" t="str">
        <f t="shared" si="19"/>
        <v/>
      </c>
      <c r="K159" s="4">
        <v>1</v>
      </c>
      <c r="L159" s="30">
        <v>239000</v>
      </c>
      <c r="M159" s="78" t="s">
        <v>132</v>
      </c>
      <c r="N159" s="98" t="s">
        <v>336</v>
      </c>
      <c r="O159" s="10" t="s">
        <v>143</v>
      </c>
      <c r="P159" s="63">
        <v>100</v>
      </c>
      <c r="Q159" s="94" t="s">
        <v>337</v>
      </c>
      <c r="R159" s="63" t="s">
        <v>338</v>
      </c>
      <c r="S159" s="96" t="s">
        <v>339</v>
      </c>
      <c r="T159" s="10" t="s">
        <v>182</v>
      </c>
      <c r="U159" s="10"/>
      <c r="V159" s="10" t="s">
        <v>66</v>
      </c>
      <c r="W159" s="10"/>
      <c r="X159" s="9" t="s">
        <v>67</v>
      </c>
      <c r="Y159" s="10" t="s">
        <v>340</v>
      </c>
      <c r="Z159" s="94" t="s">
        <v>238</v>
      </c>
      <c r="AA159" s="94" t="s">
        <v>341</v>
      </c>
      <c r="AB159" s="9" t="s">
        <v>342</v>
      </c>
      <c r="AC159" s="68" t="s">
        <v>92</v>
      </c>
      <c r="AD159" s="69" t="str">
        <f t="shared" si="21"/>
        <v>(다운백 없음)</v>
      </c>
      <c r="AE159" s="65" t="s">
        <v>73</v>
      </c>
      <c r="AF159" s="39" t="s">
        <v>343</v>
      </c>
      <c r="AG159" s="10" t="s">
        <v>240</v>
      </c>
      <c r="AH159" s="4">
        <v>650</v>
      </c>
      <c r="AI159" s="11" t="s">
        <v>289</v>
      </c>
      <c r="AJ159" s="4" t="s">
        <v>241</v>
      </c>
      <c r="AK159" s="36">
        <v>1194</v>
      </c>
      <c r="AL159" s="30">
        <v>285366000</v>
      </c>
      <c r="AM159" s="30">
        <v>16</v>
      </c>
      <c r="AN159" s="30">
        <v>3698400</v>
      </c>
      <c r="AO159" s="30">
        <v>274</v>
      </c>
      <c r="AP159" s="30">
        <v>55092489</v>
      </c>
      <c r="AQ159" s="30">
        <v>386</v>
      </c>
      <c r="AR159" s="30">
        <v>80840792</v>
      </c>
      <c r="AS159" s="52">
        <f t="shared" si="20"/>
        <v>0.32328308207705192</v>
      </c>
    </row>
    <row r="160" spans="1:45" x14ac:dyDescent="0.3">
      <c r="A160" s="1" t="str">
        <f t="shared" si="15"/>
        <v>DWDJ76046BGS</v>
      </c>
      <c r="B160" s="32" t="s">
        <v>346</v>
      </c>
      <c r="C160" s="10" t="str">
        <f t="shared" si="18"/>
        <v>DJ760</v>
      </c>
      <c r="D160" s="10" t="s">
        <v>55</v>
      </c>
      <c r="E160" s="10" t="str">
        <f t="shared" si="16"/>
        <v>W</v>
      </c>
      <c r="F160" s="10" t="str">
        <f t="shared" si="17"/>
        <v>DJ</v>
      </c>
      <c r="G160" s="10" t="s">
        <v>56</v>
      </c>
      <c r="H160" s="4" t="s">
        <v>347</v>
      </c>
      <c r="I160" s="10" t="s">
        <v>82</v>
      </c>
      <c r="J160" s="4">
        <f t="shared" si="19"/>
        <v>1</v>
      </c>
      <c r="K160" s="4">
        <v>1</v>
      </c>
      <c r="L160" s="30">
        <v>239000</v>
      </c>
      <c r="M160" s="78" t="s">
        <v>132</v>
      </c>
      <c r="N160" s="98" t="s">
        <v>336</v>
      </c>
      <c r="O160" s="10" t="s">
        <v>143</v>
      </c>
      <c r="P160" s="63">
        <v>100</v>
      </c>
      <c r="Q160" s="94" t="s">
        <v>337</v>
      </c>
      <c r="R160" s="63" t="s">
        <v>338</v>
      </c>
      <c r="S160" s="96" t="s">
        <v>339</v>
      </c>
      <c r="T160" s="10" t="s">
        <v>182</v>
      </c>
      <c r="U160" s="10"/>
      <c r="V160" s="10" t="s">
        <v>66</v>
      </c>
      <c r="W160" s="10"/>
      <c r="X160" s="9" t="s">
        <v>67</v>
      </c>
      <c r="Y160" s="10" t="s">
        <v>340</v>
      </c>
      <c r="Z160" s="94" t="s">
        <v>238</v>
      </c>
      <c r="AA160" s="94" t="s">
        <v>341</v>
      </c>
      <c r="AB160" s="9" t="s">
        <v>342</v>
      </c>
      <c r="AC160" s="68" t="s">
        <v>92</v>
      </c>
      <c r="AD160" s="69" t="str">
        <f t="shared" si="21"/>
        <v>(다운백 없음)</v>
      </c>
      <c r="AE160" s="65" t="s">
        <v>73</v>
      </c>
      <c r="AF160" s="39" t="s">
        <v>326</v>
      </c>
      <c r="AG160" s="10" t="s">
        <v>240</v>
      </c>
      <c r="AH160" s="4">
        <v>650</v>
      </c>
      <c r="AI160" s="11" t="s">
        <v>289</v>
      </c>
      <c r="AJ160" s="4" t="s">
        <v>241</v>
      </c>
      <c r="AK160" s="36">
        <v>1207</v>
      </c>
      <c r="AL160" s="30">
        <v>288473000</v>
      </c>
      <c r="AM160" s="30">
        <v>15</v>
      </c>
      <c r="AN160" s="30">
        <v>3555000</v>
      </c>
      <c r="AO160" s="30">
        <v>304</v>
      </c>
      <c r="AP160" s="30">
        <v>65917398</v>
      </c>
      <c r="AQ160" s="30">
        <v>401</v>
      </c>
      <c r="AR160" s="30">
        <v>87943578</v>
      </c>
      <c r="AS160" s="52">
        <f t="shared" si="20"/>
        <v>0.33222866611433305</v>
      </c>
    </row>
    <row r="161" spans="1:45" x14ac:dyDescent="0.3">
      <c r="A161" s="1" t="str">
        <f t="shared" si="15"/>
        <v>DWDJ76046OLS</v>
      </c>
      <c r="B161" s="32" t="s">
        <v>346</v>
      </c>
      <c r="C161" s="10" t="str">
        <f t="shared" si="18"/>
        <v>DJ760</v>
      </c>
      <c r="D161" s="10" t="s">
        <v>55</v>
      </c>
      <c r="E161" s="10" t="str">
        <f t="shared" si="16"/>
        <v>W</v>
      </c>
      <c r="F161" s="10" t="str">
        <f t="shared" si="17"/>
        <v>DJ</v>
      </c>
      <c r="G161" s="10" t="s">
        <v>56</v>
      </c>
      <c r="H161" s="4" t="s">
        <v>347</v>
      </c>
      <c r="I161" s="10" t="s">
        <v>345</v>
      </c>
      <c r="J161" s="4" t="str">
        <f t="shared" si="19"/>
        <v/>
      </c>
      <c r="K161" s="4">
        <v>1</v>
      </c>
      <c r="L161" s="30">
        <v>239000</v>
      </c>
      <c r="M161" s="78" t="s">
        <v>132</v>
      </c>
      <c r="N161" s="98" t="s">
        <v>336</v>
      </c>
      <c r="O161" s="10" t="s">
        <v>143</v>
      </c>
      <c r="P161" s="63">
        <v>100</v>
      </c>
      <c r="Q161" s="94" t="s">
        <v>337</v>
      </c>
      <c r="R161" s="63" t="s">
        <v>338</v>
      </c>
      <c r="S161" s="96" t="s">
        <v>339</v>
      </c>
      <c r="T161" s="10" t="s">
        <v>182</v>
      </c>
      <c r="U161" s="10"/>
      <c r="V161" s="10" t="s">
        <v>66</v>
      </c>
      <c r="W161" s="10"/>
      <c r="X161" s="9" t="s">
        <v>67</v>
      </c>
      <c r="Y161" s="10" t="s">
        <v>340</v>
      </c>
      <c r="Z161" s="94" t="s">
        <v>238</v>
      </c>
      <c r="AA161" s="94" t="s">
        <v>341</v>
      </c>
      <c r="AB161" s="9" t="s">
        <v>342</v>
      </c>
      <c r="AC161" s="68" t="s">
        <v>92</v>
      </c>
      <c r="AD161" s="69" t="str">
        <f t="shared" si="21"/>
        <v>(다운백 없음)</v>
      </c>
      <c r="AE161" s="65" t="s">
        <v>73</v>
      </c>
      <c r="AF161" s="39" t="s">
        <v>326</v>
      </c>
      <c r="AG161" s="10" t="s">
        <v>240</v>
      </c>
      <c r="AH161" s="4">
        <v>650</v>
      </c>
      <c r="AI161" s="11" t="s">
        <v>289</v>
      </c>
      <c r="AJ161" s="4" t="s">
        <v>241</v>
      </c>
      <c r="AK161" s="36">
        <v>789</v>
      </c>
      <c r="AL161" s="30">
        <v>188571000</v>
      </c>
      <c r="AM161" s="30">
        <v>8</v>
      </c>
      <c r="AN161" s="30">
        <v>1902000</v>
      </c>
      <c r="AO161" s="30">
        <v>153</v>
      </c>
      <c r="AP161" s="30">
        <v>35742084</v>
      </c>
      <c r="AQ161" s="30">
        <v>250</v>
      </c>
      <c r="AR161" s="30">
        <v>58393489</v>
      </c>
      <c r="AS161" s="52">
        <f t="shared" si="20"/>
        <v>0.31685678073510776</v>
      </c>
    </row>
    <row r="162" spans="1:45" x14ac:dyDescent="0.3">
      <c r="A162" s="1" t="str">
        <f t="shared" si="15"/>
        <v>DWDJ76046BKS</v>
      </c>
      <c r="B162" s="32" t="s">
        <v>346</v>
      </c>
      <c r="C162" s="10" t="str">
        <f t="shared" si="18"/>
        <v>DJ760</v>
      </c>
      <c r="D162" s="10" t="s">
        <v>55</v>
      </c>
      <c r="E162" s="10" t="str">
        <f t="shared" si="16"/>
        <v>W</v>
      </c>
      <c r="F162" s="10" t="str">
        <f t="shared" si="17"/>
        <v>DJ</v>
      </c>
      <c r="G162" s="10" t="s">
        <v>56</v>
      </c>
      <c r="H162" s="4" t="s">
        <v>347</v>
      </c>
      <c r="I162" s="10" t="s">
        <v>78</v>
      </c>
      <c r="J162" s="4" t="str">
        <f t="shared" si="19"/>
        <v/>
      </c>
      <c r="K162" s="4">
        <v>1</v>
      </c>
      <c r="L162" s="30">
        <v>239000</v>
      </c>
      <c r="M162" s="78" t="s">
        <v>132</v>
      </c>
      <c r="N162" s="98" t="s">
        <v>336</v>
      </c>
      <c r="O162" s="10" t="s">
        <v>143</v>
      </c>
      <c r="P162" s="63">
        <v>100</v>
      </c>
      <c r="Q162" s="94" t="s">
        <v>337</v>
      </c>
      <c r="R162" s="63" t="s">
        <v>338</v>
      </c>
      <c r="S162" s="96" t="s">
        <v>339</v>
      </c>
      <c r="T162" s="10" t="s">
        <v>182</v>
      </c>
      <c r="U162" s="10"/>
      <c r="V162" s="10" t="s">
        <v>66</v>
      </c>
      <c r="W162" s="10"/>
      <c r="X162" s="9" t="s">
        <v>67</v>
      </c>
      <c r="Y162" s="10" t="s">
        <v>340</v>
      </c>
      <c r="Z162" s="94" t="s">
        <v>238</v>
      </c>
      <c r="AA162" s="94" t="s">
        <v>341</v>
      </c>
      <c r="AB162" s="9" t="s">
        <v>342</v>
      </c>
      <c r="AC162" s="68" t="s">
        <v>92</v>
      </c>
      <c r="AD162" s="69" t="str">
        <f t="shared" si="21"/>
        <v>(다운백 없음)</v>
      </c>
      <c r="AE162" s="65" t="s">
        <v>73</v>
      </c>
      <c r="AF162" s="39" t="s">
        <v>326</v>
      </c>
      <c r="AG162" s="10" t="s">
        <v>240</v>
      </c>
      <c r="AH162" s="4">
        <v>650</v>
      </c>
      <c r="AI162" s="11" t="s">
        <v>289</v>
      </c>
      <c r="AJ162" s="4" t="s">
        <v>241</v>
      </c>
      <c r="AK162" s="36">
        <v>1376</v>
      </c>
      <c r="AL162" s="30">
        <v>328864000</v>
      </c>
      <c r="AM162" s="30">
        <v>25</v>
      </c>
      <c r="AN162" s="30">
        <v>5682100</v>
      </c>
      <c r="AO162" s="30">
        <v>370</v>
      </c>
      <c r="AP162" s="30">
        <v>77425819</v>
      </c>
      <c r="AQ162" s="30">
        <v>497</v>
      </c>
      <c r="AR162" s="30">
        <v>106570104</v>
      </c>
      <c r="AS162" s="52">
        <f t="shared" si="20"/>
        <v>0.36119186046511625</v>
      </c>
    </row>
    <row r="163" spans="1:45" x14ac:dyDescent="0.3">
      <c r="A163" s="1" t="str">
        <f t="shared" si="15"/>
        <v>DMDJ87046GRS</v>
      </c>
      <c r="B163" s="32" t="s">
        <v>348</v>
      </c>
      <c r="C163" s="10" t="str">
        <f t="shared" si="18"/>
        <v>DJ870</v>
      </c>
      <c r="D163" s="10" t="s">
        <v>55</v>
      </c>
      <c r="E163" s="10" t="str">
        <f t="shared" si="16"/>
        <v>M</v>
      </c>
      <c r="F163" s="10" t="str">
        <f t="shared" si="17"/>
        <v>DJ</v>
      </c>
      <c r="G163" s="10" t="s">
        <v>56</v>
      </c>
      <c r="H163" s="4" t="s">
        <v>349</v>
      </c>
      <c r="I163" s="10" t="s">
        <v>233</v>
      </c>
      <c r="J163" s="4">
        <f t="shared" si="19"/>
        <v>1</v>
      </c>
      <c r="K163" s="4">
        <v>1</v>
      </c>
      <c r="L163" s="30">
        <v>279000</v>
      </c>
      <c r="M163" s="78" t="s">
        <v>225</v>
      </c>
      <c r="N163" s="98" t="s">
        <v>350</v>
      </c>
      <c r="O163" s="10" t="s">
        <v>143</v>
      </c>
      <c r="P163" s="63">
        <v>100</v>
      </c>
      <c r="Q163" s="94" t="s">
        <v>62</v>
      </c>
      <c r="R163" s="123" t="s">
        <v>351</v>
      </c>
      <c r="S163" s="96" t="s">
        <v>352</v>
      </c>
      <c r="T163" s="10" t="s">
        <v>122</v>
      </c>
      <c r="U163" s="10" t="s">
        <v>332</v>
      </c>
      <c r="V163" s="10" t="s">
        <v>66</v>
      </c>
      <c r="W163" s="10" t="s">
        <v>229</v>
      </c>
      <c r="X163" s="9" t="s">
        <v>67</v>
      </c>
      <c r="Y163" s="10" t="s">
        <v>340</v>
      </c>
      <c r="Z163" s="94" t="s">
        <v>238</v>
      </c>
      <c r="AA163" s="94" t="s">
        <v>353</v>
      </c>
      <c r="AB163" s="9" t="s">
        <v>342</v>
      </c>
      <c r="AC163" s="68" t="s">
        <v>92</v>
      </c>
      <c r="AD163" s="69" t="str">
        <f t="shared" si="21"/>
        <v>(다운백 없음)</v>
      </c>
      <c r="AE163" s="65" t="s">
        <v>73</v>
      </c>
      <c r="AF163" s="39" t="s">
        <v>158</v>
      </c>
      <c r="AG163" s="10" t="s">
        <v>75</v>
      </c>
      <c r="AH163" s="4">
        <v>650</v>
      </c>
      <c r="AI163" s="11" t="s">
        <v>76</v>
      </c>
      <c r="AJ163" s="4" t="s">
        <v>241</v>
      </c>
      <c r="AK163" s="36">
        <v>876</v>
      </c>
      <c r="AL163" s="30">
        <v>244404000</v>
      </c>
      <c r="AM163" s="30">
        <v>30</v>
      </c>
      <c r="AN163" s="30">
        <v>5859000</v>
      </c>
      <c r="AO163" s="30">
        <v>200</v>
      </c>
      <c r="AP163" s="30">
        <v>43011822</v>
      </c>
      <c r="AQ163" s="30">
        <v>532</v>
      </c>
      <c r="AR163" s="30">
        <v>106923442</v>
      </c>
      <c r="AS163" s="52">
        <f t="shared" si="20"/>
        <v>0.60730593607305938</v>
      </c>
    </row>
    <row r="164" spans="1:45" x14ac:dyDescent="0.3">
      <c r="A164" s="1" t="str">
        <f t="shared" si="15"/>
        <v>DMDJ87046MTS</v>
      </c>
      <c r="B164" s="32" t="s">
        <v>348</v>
      </c>
      <c r="C164" s="10" t="str">
        <f t="shared" si="18"/>
        <v>DJ870</v>
      </c>
      <c r="D164" s="10" t="s">
        <v>55</v>
      </c>
      <c r="E164" s="10" t="str">
        <f t="shared" si="16"/>
        <v>M</v>
      </c>
      <c r="F164" s="10" t="str">
        <f t="shared" si="17"/>
        <v>DJ</v>
      </c>
      <c r="G164" s="10" t="s">
        <v>56</v>
      </c>
      <c r="H164" s="4" t="s">
        <v>349</v>
      </c>
      <c r="I164" s="10" t="s">
        <v>265</v>
      </c>
      <c r="J164" s="4" t="str">
        <f t="shared" si="19"/>
        <v/>
      </c>
      <c r="K164" s="4">
        <v>1</v>
      </c>
      <c r="L164" s="30">
        <v>279000</v>
      </c>
      <c r="M164" s="78" t="s">
        <v>225</v>
      </c>
      <c r="N164" s="98" t="s">
        <v>350</v>
      </c>
      <c r="O164" s="10" t="s">
        <v>143</v>
      </c>
      <c r="P164" s="63">
        <v>100</v>
      </c>
      <c r="Q164" s="94" t="s">
        <v>62</v>
      </c>
      <c r="R164" s="123" t="s">
        <v>351</v>
      </c>
      <c r="S164" s="96" t="s">
        <v>352</v>
      </c>
      <c r="T164" s="10" t="s">
        <v>122</v>
      </c>
      <c r="U164" s="10" t="s">
        <v>332</v>
      </c>
      <c r="V164" s="10" t="s">
        <v>66</v>
      </c>
      <c r="W164" s="10" t="s">
        <v>229</v>
      </c>
      <c r="X164" s="9" t="s">
        <v>67</v>
      </c>
      <c r="Y164" s="10" t="s">
        <v>340</v>
      </c>
      <c r="Z164" s="94" t="s">
        <v>238</v>
      </c>
      <c r="AA164" s="94" t="s">
        <v>353</v>
      </c>
      <c r="AB164" s="9" t="s">
        <v>342</v>
      </c>
      <c r="AC164" s="68" t="s">
        <v>92</v>
      </c>
      <c r="AD164" s="69" t="str">
        <f t="shared" si="21"/>
        <v>(다운백 없음)</v>
      </c>
      <c r="AE164" s="65" t="s">
        <v>73</v>
      </c>
      <c r="AF164" s="39" t="s">
        <v>158</v>
      </c>
      <c r="AG164" s="10" t="s">
        <v>75</v>
      </c>
      <c r="AH164" s="4">
        <v>650</v>
      </c>
      <c r="AI164" s="11" t="s">
        <v>76</v>
      </c>
      <c r="AJ164" s="4" t="s">
        <v>241</v>
      </c>
      <c r="AK164" s="36">
        <v>700</v>
      </c>
      <c r="AL164" s="30">
        <v>195300000</v>
      </c>
      <c r="AM164" s="30">
        <v>6</v>
      </c>
      <c r="AN164" s="30">
        <v>1161800</v>
      </c>
      <c r="AO164" s="30">
        <v>66</v>
      </c>
      <c r="AP164" s="30">
        <v>14332400</v>
      </c>
      <c r="AQ164" s="30">
        <v>158</v>
      </c>
      <c r="AR164" s="30">
        <v>31983900</v>
      </c>
      <c r="AS164" s="52">
        <f t="shared" si="20"/>
        <v>0.2257142857142857</v>
      </c>
    </row>
    <row r="165" spans="1:45" x14ac:dyDescent="0.3">
      <c r="A165" s="1" t="str">
        <f t="shared" si="15"/>
        <v>DMDJ87046BKS</v>
      </c>
      <c r="B165" s="32" t="s">
        <v>348</v>
      </c>
      <c r="C165" s="10" t="str">
        <f t="shared" si="18"/>
        <v>DJ870</v>
      </c>
      <c r="D165" s="10" t="s">
        <v>55</v>
      </c>
      <c r="E165" s="10" t="str">
        <f t="shared" si="16"/>
        <v>M</v>
      </c>
      <c r="F165" s="10" t="str">
        <f t="shared" si="17"/>
        <v>DJ</v>
      </c>
      <c r="G165" s="10" t="s">
        <v>56</v>
      </c>
      <c r="H165" s="4" t="s">
        <v>349</v>
      </c>
      <c r="I165" s="10" t="s">
        <v>78</v>
      </c>
      <c r="J165" s="4" t="str">
        <f t="shared" si="19"/>
        <v/>
      </c>
      <c r="K165" s="4">
        <v>1</v>
      </c>
      <c r="L165" s="30">
        <v>279000</v>
      </c>
      <c r="M165" s="78" t="s">
        <v>225</v>
      </c>
      <c r="N165" s="98" t="s">
        <v>350</v>
      </c>
      <c r="O165" s="10" t="s">
        <v>143</v>
      </c>
      <c r="P165" s="63">
        <v>100</v>
      </c>
      <c r="Q165" s="94" t="s">
        <v>62</v>
      </c>
      <c r="R165" s="123" t="s">
        <v>351</v>
      </c>
      <c r="S165" s="96" t="s">
        <v>352</v>
      </c>
      <c r="T165" s="10" t="s">
        <v>122</v>
      </c>
      <c r="U165" s="10" t="s">
        <v>332</v>
      </c>
      <c r="V165" s="10" t="s">
        <v>66</v>
      </c>
      <c r="W165" s="10" t="s">
        <v>229</v>
      </c>
      <c r="X165" s="9" t="s">
        <v>67</v>
      </c>
      <c r="Y165" s="10" t="s">
        <v>340</v>
      </c>
      <c r="Z165" s="94" t="s">
        <v>238</v>
      </c>
      <c r="AA165" s="94" t="s">
        <v>353</v>
      </c>
      <c r="AB165" s="9" t="s">
        <v>342</v>
      </c>
      <c r="AC165" s="68" t="s">
        <v>92</v>
      </c>
      <c r="AD165" s="69" t="str">
        <f t="shared" si="21"/>
        <v>(다운백 없음)</v>
      </c>
      <c r="AE165" s="65" t="s">
        <v>73</v>
      </c>
      <c r="AF165" s="39" t="s">
        <v>158</v>
      </c>
      <c r="AG165" s="10" t="s">
        <v>75</v>
      </c>
      <c r="AH165" s="4">
        <v>650</v>
      </c>
      <c r="AI165" s="11" t="s">
        <v>76</v>
      </c>
      <c r="AJ165" s="4" t="s">
        <v>241</v>
      </c>
      <c r="AK165" s="36">
        <v>2673</v>
      </c>
      <c r="AL165" s="30">
        <v>745767000</v>
      </c>
      <c r="AM165" s="30">
        <v>172</v>
      </c>
      <c r="AN165" s="30">
        <v>33622130</v>
      </c>
      <c r="AO165" s="30">
        <v>1467</v>
      </c>
      <c r="AP165" s="30">
        <v>298579843</v>
      </c>
      <c r="AQ165" s="30">
        <v>2614</v>
      </c>
      <c r="AR165" s="30">
        <v>520127073</v>
      </c>
      <c r="AS165" s="52">
        <f t="shared" si="20"/>
        <v>0.97792742237186681</v>
      </c>
    </row>
    <row r="166" spans="1:45" x14ac:dyDescent="0.3">
      <c r="A166" s="1" t="str">
        <f t="shared" si="15"/>
        <v>DMDJ7E046SAD</v>
      </c>
      <c r="B166" s="32" t="s">
        <v>354</v>
      </c>
      <c r="C166" s="10" t="str">
        <f t="shared" si="18"/>
        <v>DJ7E0</v>
      </c>
      <c r="D166" s="10" t="s">
        <v>55</v>
      </c>
      <c r="E166" s="10" t="str">
        <f t="shared" si="16"/>
        <v>M</v>
      </c>
      <c r="F166" s="10" t="str">
        <f t="shared" si="17"/>
        <v>DJ</v>
      </c>
      <c r="G166" s="10" t="s">
        <v>56</v>
      </c>
      <c r="H166" s="4" t="s">
        <v>355</v>
      </c>
      <c r="I166" s="10" t="s">
        <v>243</v>
      </c>
      <c r="J166" s="4">
        <f t="shared" si="19"/>
        <v>1</v>
      </c>
      <c r="K166" s="4">
        <v>1</v>
      </c>
      <c r="L166" s="30">
        <v>590000</v>
      </c>
      <c r="M166" s="78" t="s">
        <v>132</v>
      </c>
      <c r="N166" s="98" t="s">
        <v>356</v>
      </c>
      <c r="O166" s="10" t="s">
        <v>61</v>
      </c>
      <c r="P166" s="63">
        <v>100</v>
      </c>
      <c r="Q166" s="94" t="s">
        <v>204</v>
      </c>
      <c r="R166" s="63" t="s">
        <v>357</v>
      </c>
      <c r="S166" s="96" t="s">
        <v>358</v>
      </c>
      <c r="T166" s="10" t="s">
        <v>122</v>
      </c>
      <c r="U166" s="10" t="s">
        <v>198</v>
      </c>
      <c r="V166" s="10" t="s">
        <v>66</v>
      </c>
      <c r="W166" s="10"/>
      <c r="X166" s="9" t="s">
        <v>67</v>
      </c>
      <c r="Y166" s="10" t="s">
        <v>68</v>
      </c>
      <c r="Z166" s="94" t="s">
        <v>125</v>
      </c>
      <c r="AA166" s="94" t="s">
        <v>90</v>
      </c>
      <c r="AB166" s="9" t="s">
        <v>71</v>
      </c>
      <c r="AC166" s="10" t="s">
        <v>62</v>
      </c>
      <c r="AD166" s="10" t="s">
        <v>72</v>
      </c>
      <c r="AE166" s="65" t="s">
        <v>73</v>
      </c>
      <c r="AF166" s="39" t="s">
        <v>359</v>
      </c>
      <c r="AG166" s="10" t="s">
        <v>127</v>
      </c>
      <c r="AH166" s="4">
        <v>650</v>
      </c>
      <c r="AI166" s="11" t="s">
        <v>107</v>
      </c>
      <c r="AJ166" s="4" t="s">
        <v>108</v>
      </c>
      <c r="AK166" s="36">
        <v>778</v>
      </c>
      <c r="AL166" s="30">
        <v>459020000</v>
      </c>
      <c r="AM166" s="30">
        <v>28</v>
      </c>
      <c r="AN166" s="30">
        <v>16324300</v>
      </c>
      <c r="AO166" s="30">
        <v>111</v>
      </c>
      <c r="AP166" s="30">
        <v>64307677</v>
      </c>
      <c r="AQ166" s="30">
        <v>277</v>
      </c>
      <c r="AR166" s="30">
        <v>158349328</v>
      </c>
      <c r="AS166" s="52">
        <f t="shared" si="20"/>
        <v>0.35604113110539848</v>
      </c>
    </row>
    <row r="167" spans="1:45" x14ac:dyDescent="0.3">
      <c r="A167" s="1" t="str">
        <f t="shared" si="15"/>
        <v>DMDJ7E046BKS</v>
      </c>
      <c r="B167" s="32" t="s">
        <v>354</v>
      </c>
      <c r="C167" s="10" t="str">
        <f t="shared" si="18"/>
        <v>DJ7E0</v>
      </c>
      <c r="D167" s="10" t="s">
        <v>55</v>
      </c>
      <c r="E167" s="10" t="str">
        <f t="shared" si="16"/>
        <v>M</v>
      </c>
      <c r="F167" s="10" t="str">
        <f t="shared" si="17"/>
        <v>DJ</v>
      </c>
      <c r="G167" s="10" t="s">
        <v>56</v>
      </c>
      <c r="H167" s="4" t="s">
        <v>355</v>
      </c>
      <c r="I167" s="10" t="s">
        <v>78</v>
      </c>
      <c r="J167" s="4" t="str">
        <f t="shared" si="19"/>
        <v/>
      </c>
      <c r="K167" s="4">
        <v>1</v>
      </c>
      <c r="L167" s="30">
        <v>590000</v>
      </c>
      <c r="M167" s="78" t="s">
        <v>132</v>
      </c>
      <c r="N167" s="98" t="s">
        <v>356</v>
      </c>
      <c r="O167" s="10" t="s">
        <v>61</v>
      </c>
      <c r="P167" s="63">
        <v>100</v>
      </c>
      <c r="Q167" s="94" t="s">
        <v>204</v>
      </c>
      <c r="R167" s="63" t="s">
        <v>357</v>
      </c>
      <c r="S167" s="96" t="s">
        <v>358</v>
      </c>
      <c r="T167" s="10" t="s">
        <v>122</v>
      </c>
      <c r="U167" s="10" t="s">
        <v>198</v>
      </c>
      <c r="V167" s="10" t="s">
        <v>66</v>
      </c>
      <c r="W167" s="10"/>
      <c r="X167" s="9" t="s">
        <v>67</v>
      </c>
      <c r="Y167" s="10" t="s">
        <v>68</v>
      </c>
      <c r="Z167" s="94" t="s">
        <v>125</v>
      </c>
      <c r="AA167" s="94" t="s">
        <v>90</v>
      </c>
      <c r="AB167" s="9" t="s">
        <v>71</v>
      </c>
      <c r="AC167" s="10" t="s">
        <v>62</v>
      </c>
      <c r="AD167" s="10" t="s">
        <v>72</v>
      </c>
      <c r="AE167" s="65" t="s">
        <v>73</v>
      </c>
      <c r="AF167" s="39" t="s">
        <v>359</v>
      </c>
      <c r="AG167" s="10" t="s">
        <v>127</v>
      </c>
      <c r="AH167" s="4">
        <v>650</v>
      </c>
      <c r="AI167" s="11" t="s">
        <v>107</v>
      </c>
      <c r="AJ167" s="4" t="s">
        <v>108</v>
      </c>
      <c r="AK167" s="36">
        <v>1472</v>
      </c>
      <c r="AL167" s="30">
        <v>868480000</v>
      </c>
      <c r="AM167" s="30">
        <v>91</v>
      </c>
      <c r="AN167" s="30">
        <v>52983750</v>
      </c>
      <c r="AO167" s="30">
        <v>344</v>
      </c>
      <c r="AP167" s="30">
        <v>198496650</v>
      </c>
      <c r="AQ167" s="30">
        <v>866</v>
      </c>
      <c r="AR167" s="30">
        <v>491651718</v>
      </c>
      <c r="AS167" s="52">
        <f t="shared" si="20"/>
        <v>0.58831521739130432</v>
      </c>
    </row>
    <row r="168" spans="1:45" x14ac:dyDescent="0.3">
      <c r="A168" s="1" t="str">
        <f t="shared" si="15"/>
        <v>DWDJ7F046BKS</v>
      </c>
      <c r="B168" s="32" t="s">
        <v>360</v>
      </c>
      <c r="C168" s="10" t="str">
        <f t="shared" si="18"/>
        <v>DJ7F0</v>
      </c>
      <c r="D168" s="10" t="s">
        <v>55</v>
      </c>
      <c r="E168" s="10" t="str">
        <f t="shared" si="16"/>
        <v>W</v>
      </c>
      <c r="F168" s="10" t="str">
        <f t="shared" si="17"/>
        <v>DJ</v>
      </c>
      <c r="G168" s="10" t="s">
        <v>56</v>
      </c>
      <c r="H168" s="4" t="s">
        <v>361</v>
      </c>
      <c r="I168" s="10" t="s">
        <v>78</v>
      </c>
      <c r="J168" s="4">
        <f t="shared" si="19"/>
        <v>1</v>
      </c>
      <c r="K168" s="4">
        <v>1</v>
      </c>
      <c r="L168" s="30">
        <v>590000</v>
      </c>
      <c r="M168" s="78" t="s">
        <v>132</v>
      </c>
      <c r="N168" s="98" t="s">
        <v>356</v>
      </c>
      <c r="O168" s="10" t="s">
        <v>61</v>
      </c>
      <c r="P168" s="63">
        <v>100</v>
      </c>
      <c r="Q168" s="94" t="s">
        <v>204</v>
      </c>
      <c r="R168" s="63" t="s">
        <v>357</v>
      </c>
      <c r="S168" s="96" t="s">
        <v>358</v>
      </c>
      <c r="T168" s="10" t="s">
        <v>122</v>
      </c>
      <c r="U168" s="10" t="s">
        <v>198</v>
      </c>
      <c r="V168" s="10" t="s">
        <v>66</v>
      </c>
      <c r="W168" s="10"/>
      <c r="X168" s="9" t="s">
        <v>67</v>
      </c>
      <c r="Y168" s="10" t="s">
        <v>68</v>
      </c>
      <c r="Z168" s="94" t="s">
        <v>125</v>
      </c>
      <c r="AA168" s="94" t="s">
        <v>90</v>
      </c>
      <c r="AB168" s="9" t="s">
        <v>71</v>
      </c>
      <c r="AC168" s="10" t="s">
        <v>62</v>
      </c>
      <c r="AD168" s="10" t="s">
        <v>72</v>
      </c>
      <c r="AE168" s="65" t="s">
        <v>73</v>
      </c>
      <c r="AF168" s="39" t="s">
        <v>362</v>
      </c>
      <c r="AG168" s="10" t="s">
        <v>127</v>
      </c>
      <c r="AH168" s="4">
        <v>650</v>
      </c>
      <c r="AI168" s="11" t="s">
        <v>107</v>
      </c>
      <c r="AJ168" s="4" t="s">
        <v>108</v>
      </c>
      <c r="AK168" s="36">
        <v>3389</v>
      </c>
      <c r="AL168" s="30">
        <v>1999510000</v>
      </c>
      <c r="AM168" s="30">
        <v>105</v>
      </c>
      <c r="AN168" s="30">
        <v>61663306</v>
      </c>
      <c r="AO168" s="30">
        <v>431</v>
      </c>
      <c r="AP168" s="30">
        <v>250840811</v>
      </c>
      <c r="AQ168" s="30">
        <v>1086</v>
      </c>
      <c r="AR168" s="30">
        <v>620812896</v>
      </c>
      <c r="AS168" s="52">
        <f t="shared" si="20"/>
        <v>0.32044850988492179</v>
      </c>
    </row>
    <row r="169" spans="1:45" x14ac:dyDescent="0.3">
      <c r="A169" s="1" t="str">
        <f t="shared" si="15"/>
        <v>DWDJ7F046BGL</v>
      </c>
      <c r="B169" s="32" t="s">
        <v>360</v>
      </c>
      <c r="C169" s="10" t="str">
        <f t="shared" si="18"/>
        <v>DJ7F0</v>
      </c>
      <c r="D169" s="10" t="s">
        <v>55</v>
      </c>
      <c r="E169" s="10" t="str">
        <f t="shared" si="16"/>
        <v>W</v>
      </c>
      <c r="F169" s="10" t="str">
        <f t="shared" si="17"/>
        <v>DJ</v>
      </c>
      <c r="G169" s="10" t="s">
        <v>56</v>
      </c>
      <c r="H169" s="4" t="s">
        <v>361</v>
      </c>
      <c r="I169" s="10" t="s">
        <v>163</v>
      </c>
      <c r="J169" s="4" t="str">
        <f t="shared" si="19"/>
        <v/>
      </c>
      <c r="K169" s="4">
        <v>1</v>
      </c>
      <c r="L169" s="30">
        <v>590000</v>
      </c>
      <c r="M169" s="78" t="s">
        <v>132</v>
      </c>
      <c r="N169" s="98" t="s">
        <v>356</v>
      </c>
      <c r="O169" s="10" t="s">
        <v>61</v>
      </c>
      <c r="P169" s="63">
        <v>100</v>
      </c>
      <c r="Q169" s="94" t="s">
        <v>204</v>
      </c>
      <c r="R169" s="63" t="s">
        <v>357</v>
      </c>
      <c r="S169" s="96" t="s">
        <v>358</v>
      </c>
      <c r="T169" s="10" t="s">
        <v>122</v>
      </c>
      <c r="U169" s="10" t="s">
        <v>198</v>
      </c>
      <c r="V169" s="10" t="s">
        <v>66</v>
      </c>
      <c r="W169" s="10"/>
      <c r="X169" s="9" t="s">
        <v>67</v>
      </c>
      <c r="Y169" s="10" t="s">
        <v>68</v>
      </c>
      <c r="Z169" s="94" t="s">
        <v>125</v>
      </c>
      <c r="AA169" s="94" t="s">
        <v>90</v>
      </c>
      <c r="AB169" s="9" t="s">
        <v>71</v>
      </c>
      <c r="AC169" s="10" t="s">
        <v>62</v>
      </c>
      <c r="AD169" s="10" t="s">
        <v>72</v>
      </c>
      <c r="AE169" s="65" t="s">
        <v>73</v>
      </c>
      <c r="AF169" s="39" t="s">
        <v>362</v>
      </c>
      <c r="AG169" s="10" t="s">
        <v>127</v>
      </c>
      <c r="AH169" s="4">
        <v>650</v>
      </c>
      <c r="AI169" s="11" t="s">
        <v>107</v>
      </c>
      <c r="AJ169" s="4" t="s">
        <v>108</v>
      </c>
      <c r="AK169" s="36">
        <v>1000</v>
      </c>
      <c r="AL169" s="30">
        <v>590000000</v>
      </c>
      <c r="AM169" s="30">
        <v>20</v>
      </c>
      <c r="AN169" s="30">
        <v>11672000</v>
      </c>
      <c r="AO169" s="30">
        <v>85</v>
      </c>
      <c r="AP169" s="30">
        <v>49426762</v>
      </c>
      <c r="AQ169" s="30">
        <v>252</v>
      </c>
      <c r="AR169" s="30">
        <v>144263248</v>
      </c>
      <c r="AS169" s="52">
        <f t="shared" si="20"/>
        <v>0.252</v>
      </c>
    </row>
    <row r="170" spans="1:45" x14ac:dyDescent="0.3">
      <c r="A170" s="1" t="str">
        <f t="shared" si="15"/>
        <v>DWDJ7F046IVS</v>
      </c>
      <c r="B170" s="32" t="s">
        <v>360</v>
      </c>
      <c r="C170" s="10" t="str">
        <f t="shared" si="18"/>
        <v>DJ7F0</v>
      </c>
      <c r="D170" s="10" t="s">
        <v>55</v>
      </c>
      <c r="E170" s="10" t="str">
        <f t="shared" si="16"/>
        <v>W</v>
      </c>
      <c r="F170" s="10" t="str">
        <f t="shared" si="17"/>
        <v>DJ</v>
      </c>
      <c r="G170" s="10" t="s">
        <v>56</v>
      </c>
      <c r="H170" s="4" t="s">
        <v>361</v>
      </c>
      <c r="I170" s="10" t="s">
        <v>111</v>
      </c>
      <c r="J170" s="4" t="str">
        <f t="shared" si="19"/>
        <v/>
      </c>
      <c r="K170" s="4">
        <v>1</v>
      </c>
      <c r="L170" s="30">
        <v>590000</v>
      </c>
      <c r="M170" s="78" t="s">
        <v>132</v>
      </c>
      <c r="N170" s="98" t="s">
        <v>356</v>
      </c>
      <c r="O170" s="10" t="s">
        <v>61</v>
      </c>
      <c r="P170" s="63">
        <v>100</v>
      </c>
      <c r="Q170" s="94" t="s">
        <v>204</v>
      </c>
      <c r="R170" s="63" t="s">
        <v>357</v>
      </c>
      <c r="S170" s="96" t="s">
        <v>358</v>
      </c>
      <c r="T170" s="10" t="s">
        <v>122</v>
      </c>
      <c r="U170" s="10" t="s">
        <v>198</v>
      </c>
      <c r="V170" s="10" t="s">
        <v>66</v>
      </c>
      <c r="W170" s="10"/>
      <c r="X170" s="9" t="s">
        <v>67</v>
      </c>
      <c r="Y170" s="10" t="s">
        <v>68</v>
      </c>
      <c r="Z170" s="94" t="s">
        <v>125</v>
      </c>
      <c r="AA170" s="94" t="s">
        <v>90</v>
      </c>
      <c r="AB170" s="9" t="s">
        <v>71</v>
      </c>
      <c r="AC170" s="10" t="s">
        <v>62</v>
      </c>
      <c r="AD170" s="10" t="s">
        <v>72</v>
      </c>
      <c r="AE170" s="65" t="s">
        <v>73</v>
      </c>
      <c r="AF170" s="39" t="s">
        <v>362</v>
      </c>
      <c r="AG170" s="10" t="s">
        <v>127</v>
      </c>
      <c r="AH170" s="4">
        <v>650</v>
      </c>
      <c r="AI170" s="11" t="s">
        <v>107</v>
      </c>
      <c r="AJ170" s="4" t="s">
        <v>108</v>
      </c>
      <c r="AK170" s="36">
        <v>1194</v>
      </c>
      <c r="AL170" s="30">
        <v>704460000</v>
      </c>
      <c r="AM170" s="30">
        <v>25</v>
      </c>
      <c r="AN170" s="30">
        <v>14641000</v>
      </c>
      <c r="AO170" s="30">
        <v>146</v>
      </c>
      <c r="AP170" s="30">
        <v>84540977</v>
      </c>
      <c r="AQ170" s="30">
        <v>313</v>
      </c>
      <c r="AR170" s="30">
        <v>179507653</v>
      </c>
      <c r="AS170" s="52">
        <f t="shared" si="20"/>
        <v>0.26214405360134002</v>
      </c>
    </row>
    <row r="171" spans="1:45" x14ac:dyDescent="0.3">
      <c r="A171" s="1" t="str">
        <f t="shared" si="15"/>
        <v>DMDJ7K046BGS</v>
      </c>
      <c r="B171" s="32" t="s">
        <v>363</v>
      </c>
      <c r="C171" s="10" t="str">
        <f t="shared" si="18"/>
        <v>DJ7K0</v>
      </c>
      <c r="D171" s="10" t="s">
        <v>55</v>
      </c>
      <c r="E171" s="10" t="str">
        <f t="shared" si="16"/>
        <v>M</v>
      </c>
      <c r="F171" s="10" t="str">
        <f t="shared" si="17"/>
        <v>DJ</v>
      </c>
      <c r="G171" s="10" t="s">
        <v>56</v>
      </c>
      <c r="H171" s="4" t="s">
        <v>364</v>
      </c>
      <c r="I171" s="10" t="s">
        <v>82</v>
      </c>
      <c r="J171" s="4">
        <f t="shared" si="19"/>
        <v>1</v>
      </c>
      <c r="K171" s="4">
        <v>1</v>
      </c>
      <c r="L171" s="30">
        <v>490000</v>
      </c>
      <c r="M171" s="78" t="s">
        <v>117</v>
      </c>
      <c r="N171" s="98" t="s">
        <v>365</v>
      </c>
      <c r="O171" s="10" t="s">
        <v>61</v>
      </c>
      <c r="P171" s="63">
        <v>100</v>
      </c>
      <c r="Q171" s="94" t="s">
        <v>204</v>
      </c>
      <c r="R171" s="63" t="s">
        <v>366</v>
      </c>
      <c r="S171" s="96" t="s">
        <v>121</v>
      </c>
      <c r="T171" s="10" t="s">
        <v>122</v>
      </c>
      <c r="U171" s="10" t="s">
        <v>123</v>
      </c>
      <c r="V171" s="10" t="s">
        <v>66</v>
      </c>
      <c r="W171" s="10" t="s">
        <v>124</v>
      </c>
      <c r="X171" s="9" t="s">
        <v>67</v>
      </c>
      <c r="Y171" s="10" t="s">
        <v>68</v>
      </c>
      <c r="Z171" s="94" t="s">
        <v>125</v>
      </c>
      <c r="AA171" s="94" t="s">
        <v>90</v>
      </c>
      <c r="AB171" s="9" t="s">
        <v>71</v>
      </c>
      <c r="AC171" s="10" t="s">
        <v>62</v>
      </c>
      <c r="AD171" s="10" t="s">
        <v>72</v>
      </c>
      <c r="AE171" s="65" t="s">
        <v>73</v>
      </c>
      <c r="AF171" s="39" t="s">
        <v>367</v>
      </c>
      <c r="AG171" s="10" t="s">
        <v>127</v>
      </c>
      <c r="AH171" s="4">
        <v>650</v>
      </c>
      <c r="AI171" s="11" t="s">
        <v>264</v>
      </c>
      <c r="AJ171" s="4" t="s">
        <v>241</v>
      </c>
      <c r="AK171" s="36">
        <v>649</v>
      </c>
      <c r="AL171" s="30">
        <v>318010000</v>
      </c>
      <c r="AM171" s="30">
        <v>38</v>
      </c>
      <c r="AN171" s="30">
        <v>18334489</v>
      </c>
      <c r="AO171" s="30">
        <v>146</v>
      </c>
      <c r="AP171" s="30">
        <v>70531097</v>
      </c>
      <c r="AQ171" s="30">
        <v>348</v>
      </c>
      <c r="AR171" s="30">
        <v>165155571</v>
      </c>
      <c r="AS171" s="52">
        <f t="shared" si="20"/>
        <v>0.53620955315870567</v>
      </c>
    </row>
    <row r="172" spans="1:45" x14ac:dyDescent="0.3">
      <c r="A172" s="1" t="str">
        <f t="shared" si="15"/>
        <v>DMDJ7K046BGD</v>
      </c>
      <c r="B172" s="32" t="s">
        <v>363</v>
      </c>
      <c r="C172" s="10" t="str">
        <f t="shared" si="18"/>
        <v>DJ7K0</v>
      </c>
      <c r="D172" s="10" t="s">
        <v>55</v>
      </c>
      <c r="E172" s="10" t="str">
        <f t="shared" si="16"/>
        <v>M</v>
      </c>
      <c r="F172" s="10" t="str">
        <f t="shared" si="17"/>
        <v>DJ</v>
      </c>
      <c r="G172" s="10" t="s">
        <v>56</v>
      </c>
      <c r="H172" s="4" t="s">
        <v>364</v>
      </c>
      <c r="I172" s="10" t="s">
        <v>260</v>
      </c>
      <c r="J172" s="4" t="str">
        <f t="shared" si="19"/>
        <v/>
      </c>
      <c r="K172" s="4">
        <v>1</v>
      </c>
      <c r="L172" s="30">
        <v>490000</v>
      </c>
      <c r="M172" s="78" t="s">
        <v>117</v>
      </c>
      <c r="N172" s="98" t="s">
        <v>365</v>
      </c>
      <c r="O172" s="10" t="s">
        <v>61</v>
      </c>
      <c r="P172" s="63">
        <v>100</v>
      </c>
      <c r="Q172" s="94" t="s">
        <v>204</v>
      </c>
      <c r="R172" s="63" t="s">
        <v>366</v>
      </c>
      <c r="S172" s="96" t="s">
        <v>121</v>
      </c>
      <c r="T172" s="10" t="s">
        <v>122</v>
      </c>
      <c r="U172" s="10" t="s">
        <v>123</v>
      </c>
      <c r="V172" s="10" t="s">
        <v>66</v>
      </c>
      <c r="W172" s="10" t="s">
        <v>124</v>
      </c>
      <c r="X172" s="9" t="s">
        <v>67</v>
      </c>
      <c r="Y172" s="10" t="s">
        <v>68</v>
      </c>
      <c r="Z172" s="94" t="s">
        <v>125</v>
      </c>
      <c r="AA172" s="94" t="s">
        <v>90</v>
      </c>
      <c r="AB172" s="9" t="s">
        <v>71</v>
      </c>
      <c r="AC172" s="10" t="s">
        <v>62</v>
      </c>
      <c r="AD172" s="10" t="s">
        <v>72</v>
      </c>
      <c r="AE172" s="65" t="s">
        <v>73</v>
      </c>
      <c r="AF172" s="39" t="s">
        <v>367</v>
      </c>
      <c r="AG172" s="10" t="s">
        <v>127</v>
      </c>
      <c r="AH172" s="4">
        <v>650</v>
      </c>
      <c r="AI172" s="11" t="s">
        <v>264</v>
      </c>
      <c r="AJ172" s="4" t="s">
        <v>241</v>
      </c>
      <c r="AK172" s="36">
        <v>958</v>
      </c>
      <c r="AL172" s="30">
        <v>469420000</v>
      </c>
      <c r="AM172" s="30">
        <v>38</v>
      </c>
      <c r="AN172" s="30">
        <v>17841035</v>
      </c>
      <c r="AO172" s="30">
        <v>208</v>
      </c>
      <c r="AP172" s="30">
        <v>99281523</v>
      </c>
      <c r="AQ172" s="30">
        <v>472</v>
      </c>
      <c r="AR172" s="30">
        <v>223552144</v>
      </c>
      <c r="AS172" s="52">
        <f t="shared" si="20"/>
        <v>0.49269311064718163</v>
      </c>
    </row>
    <row r="173" spans="1:45" x14ac:dyDescent="0.3">
      <c r="A173" s="1" t="str">
        <f t="shared" si="15"/>
        <v>DMDJ7K046BKS</v>
      </c>
      <c r="B173" s="32" t="s">
        <v>363</v>
      </c>
      <c r="C173" s="10" t="str">
        <f t="shared" si="18"/>
        <v>DJ7K0</v>
      </c>
      <c r="D173" s="10" t="s">
        <v>55</v>
      </c>
      <c r="E173" s="10" t="str">
        <f t="shared" si="16"/>
        <v>M</v>
      </c>
      <c r="F173" s="10" t="str">
        <f t="shared" si="17"/>
        <v>DJ</v>
      </c>
      <c r="G173" s="10" t="s">
        <v>56</v>
      </c>
      <c r="H173" s="4" t="s">
        <v>364</v>
      </c>
      <c r="I173" s="10" t="s">
        <v>78</v>
      </c>
      <c r="J173" s="4" t="str">
        <f t="shared" si="19"/>
        <v/>
      </c>
      <c r="K173" s="4">
        <v>1</v>
      </c>
      <c r="L173" s="30">
        <v>490000</v>
      </c>
      <c r="M173" s="78" t="s">
        <v>117</v>
      </c>
      <c r="N173" s="98" t="s">
        <v>365</v>
      </c>
      <c r="O173" s="10" t="s">
        <v>61</v>
      </c>
      <c r="P173" s="63">
        <v>100</v>
      </c>
      <c r="Q173" s="94" t="s">
        <v>204</v>
      </c>
      <c r="R173" s="63" t="s">
        <v>366</v>
      </c>
      <c r="S173" s="96" t="s">
        <v>121</v>
      </c>
      <c r="T173" s="10" t="s">
        <v>122</v>
      </c>
      <c r="U173" s="10" t="s">
        <v>123</v>
      </c>
      <c r="V173" s="10" t="s">
        <v>66</v>
      </c>
      <c r="W173" s="10" t="s">
        <v>124</v>
      </c>
      <c r="X173" s="9" t="s">
        <v>67</v>
      </c>
      <c r="Y173" s="10" t="s">
        <v>68</v>
      </c>
      <c r="Z173" s="94" t="s">
        <v>125</v>
      </c>
      <c r="AA173" s="94" t="s">
        <v>90</v>
      </c>
      <c r="AB173" s="9" t="s">
        <v>71</v>
      </c>
      <c r="AC173" s="10" t="s">
        <v>62</v>
      </c>
      <c r="AD173" s="10" t="s">
        <v>72</v>
      </c>
      <c r="AE173" s="65" t="s">
        <v>73</v>
      </c>
      <c r="AF173" s="39" t="s">
        <v>367</v>
      </c>
      <c r="AG173" s="10" t="s">
        <v>127</v>
      </c>
      <c r="AH173" s="4">
        <v>650</v>
      </c>
      <c r="AI173" s="11" t="s">
        <v>264</v>
      </c>
      <c r="AJ173" s="4" t="s">
        <v>241</v>
      </c>
      <c r="AK173" s="36">
        <v>3915</v>
      </c>
      <c r="AL173" s="30">
        <v>1918350000</v>
      </c>
      <c r="AM173" s="30">
        <v>299</v>
      </c>
      <c r="AN173" s="30">
        <v>142027218</v>
      </c>
      <c r="AO173" s="30">
        <v>1309</v>
      </c>
      <c r="AP173" s="30">
        <v>609469319</v>
      </c>
      <c r="AQ173" s="30">
        <v>3034</v>
      </c>
      <c r="AR173" s="30">
        <v>1400379785</v>
      </c>
      <c r="AS173" s="52">
        <f t="shared" si="20"/>
        <v>0.77496807151979563</v>
      </c>
    </row>
    <row r="174" spans="1:45" x14ac:dyDescent="0.3">
      <c r="A174" s="1" t="str">
        <f t="shared" si="15"/>
        <v>DMDJ7K046GRD</v>
      </c>
      <c r="B174" s="32" t="s">
        <v>363</v>
      </c>
      <c r="C174" s="10" t="str">
        <f t="shared" si="18"/>
        <v>DJ7K0</v>
      </c>
      <c r="D174" s="10" t="s">
        <v>55</v>
      </c>
      <c r="E174" s="10" t="str">
        <f t="shared" si="16"/>
        <v>M</v>
      </c>
      <c r="F174" s="10" t="str">
        <f t="shared" si="17"/>
        <v>DJ</v>
      </c>
      <c r="G174" s="10" t="s">
        <v>56</v>
      </c>
      <c r="H174" s="4" t="s">
        <v>364</v>
      </c>
      <c r="I174" s="10" t="s">
        <v>215</v>
      </c>
      <c r="J174" s="4" t="str">
        <f t="shared" si="19"/>
        <v/>
      </c>
      <c r="K174" s="4">
        <v>1</v>
      </c>
      <c r="L174" s="30">
        <v>490000</v>
      </c>
      <c r="M174" s="78" t="s">
        <v>117</v>
      </c>
      <c r="N174" s="98" t="s">
        <v>365</v>
      </c>
      <c r="O174" s="10" t="s">
        <v>61</v>
      </c>
      <c r="P174" s="63">
        <v>100</v>
      </c>
      <c r="Q174" s="94" t="s">
        <v>204</v>
      </c>
      <c r="R174" s="63" t="s">
        <v>366</v>
      </c>
      <c r="S174" s="96" t="s">
        <v>121</v>
      </c>
      <c r="T174" s="10" t="s">
        <v>122</v>
      </c>
      <c r="U174" s="10" t="s">
        <v>123</v>
      </c>
      <c r="V174" s="10" t="s">
        <v>66</v>
      </c>
      <c r="W174" s="10" t="s">
        <v>124</v>
      </c>
      <c r="X174" s="9" t="s">
        <v>67</v>
      </c>
      <c r="Y174" s="10" t="s">
        <v>68</v>
      </c>
      <c r="Z174" s="94" t="s">
        <v>125</v>
      </c>
      <c r="AA174" s="94" t="s">
        <v>90</v>
      </c>
      <c r="AB174" s="9" t="s">
        <v>71</v>
      </c>
      <c r="AC174" s="10" t="s">
        <v>62</v>
      </c>
      <c r="AD174" s="10" t="s">
        <v>72</v>
      </c>
      <c r="AE174" s="65" t="s">
        <v>73</v>
      </c>
      <c r="AF174" s="39" t="s">
        <v>367</v>
      </c>
      <c r="AG174" s="10" t="s">
        <v>127</v>
      </c>
      <c r="AH174" s="4">
        <v>650</v>
      </c>
      <c r="AI174" s="11" t="s">
        <v>264</v>
      </c>
      <c r="AJ174" s="4" t="s">
        <v>241</v>
      </c>
      <c r="AK174" s="36">
        <v>1213</v>
      </c>
      <c r="AL174" s="30">
        <v>594370000</v>
      </c>
      <c r="AM174" s="30">
        <v>116</v>
      </c>
      <c r="AN174" s="30">
        <v>55176156</v>
      </c>
      <c r="AO174" s="30">
        <v>580</v>
      </c>
      <c r="AP174" s="30">
        <v>257083116</v>
      </c>
      <c r="AQ174" s="30">
        <v>986</v>
      </c>
      <c r="AR174" s="30">
        <v>445123352</v>
      </c>
      <c r="AS174" s="52">
        <f t="shared" si="20"/>
        <v>0.81286067600989287</v>
      </c>
    </row>
    <row r="175" spans="1:45" x14ac:dyDescent="0.3">
      <c r="A175" s="1" t="str">
        <f t="shared" si="15"/>
        <v>DWDJ7L046IVS</v>
      </c>
      <c r="B175" s="32" t="s">
        <v>368</v>
      </c>
      <c r="C175" s="10" t="str">
        <f t="shared" si="18"/>
        <v>DJ7L0</v>
      </c>
      <c r="D175" s="10" t="s">
        <v>55</v>
      </c>
      <c r="E175" s="10" t="str">
        <f t="shared" si="16"/>
        <v>W</v>
      </c>
      <c r="F175" s="10" t="str">
        <f t="shared" si="17"/>
        <v>DJ</v>
      </c>
      <c r="G175" s="10" t="s">
        <v>56</v>
      </c>
      <c r="H175" s="4" t="s">
        <v>369</v>
      </c>
      <c r="I175" s="10" t="s">
        <v>111</v>
      </c>
      <c r="J175" s="4">
        <f t="shared" si="19"/>
        <v>1</v>
      </c>
      <c r="K175" s="4">
        <v>1</v>
      </c>
      <c r="L175" s="30">
        <v>490000</v>
      </c>
      <c r="M175" s="78" t="s">
        <v>117</v>
      </c>
      <c r="N175" s="98" t="s">
        <v>365</v>
      </c>
      <c r="O175" s="10" t="s">
        <v>61</v>
      </c>
      <c r="P175" s="63">
        <v>100</v>
      </c>
      <c r="Q175" s="94" t="s">
        <v>204</v>
      </c>
      <c r="R175" s="63" t="s">
        <v>366</v>
      </c>
      <c r="S175" s="96" t="s">
        <v>121</v>
      </c>
      <c r="T175" s="10" t="s">
        <v>122</v>
      </c>
      <c r="U175" s="10" t="s">
        <v>123</v>
      </c>
      <c r="V175" s="10" t="s">
        <v>66</v>
      </c>
      <c r="W175" s="10" t="s">
        <v>124</v>
      </c>
      <c r="X175" s="9" t="s">
        <v>67</v>
      </c>
      <c r="Y175" s="10" t="s">
        <v>68</v>
      </c>
      <c r="Z175" s="94" t="s">
        <v>125</v>
      </c>
      <c r="AA175" s="94" t="s">
        <v>90</v>
      </c>
      <c r="AB175" s="9" t="s">
        <v>71</v>
      </c>
      <c r="AC175" s="10" t="s">
        <v>62</v>
      </c>
      <c r="AD175" s="10" t="s">
        <v>72</v>
      </c>
      <c r="AE175" s="65" t="s">
        <v>73</v>
      </c>
      <c r="AF175" s="39" t="s">
        <v>370</v>
      </c>
      <c r="AG175" s="10" t="s">
        <v>127</v>
      </c>
      <c r="AH175" s="4">
        <v>650</v>
      </c>
      <c r="AI175" s="11" t="s">
        <v>128</v>
      </c>
      <c r="AJ175" s="4" t="s">
        <v>94</v>
      </c>
      <c r="AK175" s="36">
        <v>849</v>
      </c>
      <c r="AL175" s="30">
        <v>416010000</v>
      </c>
      <c r="AM175" s="30">
        <v>8</v>
      </c>
      <c r="AN175" s="30">
        <v>3885900</v>
      </c>
      <c r="AO175" s="30">
        <v>44</v>
      </c>
      <c r="AP175" s="30">
        <v>21061236</v>
      </c>
      <c r="AQ175" s="30">
        <v>116</v>
      </c>
      <c r="AR175" s="30">
        <v>49139375</v>
      </c>
      <c r="AS175" s="52">
        <f t="shared" si="20"/>
        <v>0.13663133097762073</v>
      </c>
    </row>
    <row r="176" spans="1:45" x14ac:dyDescent="0.3">
      <c r="A176" s="1" t="str">
        <f t="shared" si="15"/>
        <v>DWDJ7L046BKS</v>
      </c>
      <c r="B176" s="32" t="s">
        <v>368</v>
      </c>
      <c r="C176" s="10" t="str">
        <f t="shared" si="18"/>
        <v>DJ7L0</v>
      </c>
      <c r="D176" s="10" t="s">
        <v>55</v>
      </c>
      <c r="E176" s="10" t="str">
        <f t="shared" si="16"/>
        <v>W</v>
      </c>
      <c r="F176" s="10" t="str">
        <f t="shared" si="17"/>
        <v>DJ</v>
      </c>
      <c r="G176" s="10" t="s">
        <v>56</v>
      </c>
      <c r="H176" s="4" t="s">
        <v>369</v>
      </c>
      <c r="I176" s="10" t="s">
        <v>78</v>
      </c>
      <c r="J176" s="4" t="str">
        <f t="shared" si="19"/>
        <v/>
      </c>
      <c r="K176" s="4">
        <v>1</v>
      </c>
      <c r="L176" s="30">
        <v>490000</v>
      </c>
      <c r="M176" s="78" t="s">
        <v>117</v>
      </c>
      <c r="N176" s="98" t="s">
        <v>365</v>
      </c>
      <c r="O176" s="10" t="s">
        <v>61</v>
      </c>
      <c r="P176" s="63">
        <v>100</v>
      </c>
      <c r="Q176" s="94" t="s">
        <v>204</v>
      </c>
      <c r="R176" s="63" t="s">
        <v>366</v>
      </c>
      <c r="S176" s="96" t="s">
        <v>121</v>
      </c>
      <c r="T176" s="10" t="s">
        <v>122</v>
      </c>
      <c r="U176" s="10" t="s">
        <v>123</v>
      </c>
      <c r="V176" s="10" t="s">
        <v>66</v>
      </c>
      <c r="W176" s="10" t="s">
        <v>124</v>
      </c>
      <c r="X176" s="9" t="s">
        <v>67</v>
      </c>
      <c r="Y176" s="10" t="s">
        <v>68</v>
      </c>
      <c r="Z176" s="94" t="s">
        <v>125</v>
      </c>
      <c r="AA176" s="94" t="s">
        <v>90</v>
      </c>
      <c r="AB176" s="9" t="s">
        <v>71</v>
      </c>
      <c r="AC176" s="10" t="s">
        <v>62</v>
      </c>
      <c r="AD176" s="10" t="s">
        <v>72</v>
      </c>
      <c r="AE176" s="65" t="s">
        <v>73</v>
      </c>
      <c r="AF176" s="39" t="s">
        <v>370</v>
      </c>
      <c r="AG176" s="10" t="s">
        <v>127</v>
      </c>
      <c r="AH176" s="4">
        <v>650</v>
      </c>
      <c r="AI176" s="11" t="s">
        <v>128</v>
      </c>
      <c r="AJ176" s="4" t="s">
        <v>94</v>
      </c>
      <c r="AK176" s="36">
        <v>1165</v>
      </c>
      <c r="AL176" s="30">
        <v>570850000</v>
      </c>
      <c r="AM176" s="30">
        <v>14</v>
      </c>
      <c r="AN176" s="30">
        <v>6849000</v>
      </c>
      <c r="AO176" s="30">
        <v>131</v>
      </c>
      <c r="AP176" s="30">
        <v>62116066</v>
      </c>
      <c r="AQ176" s="30">
        <v>392</v>
      </c>
      <c r="AR176" s="30">
        <v>161969542</v>
      </c>
      <c r="AS176" s="52">
        <f t="shared" si="20"/>
        <v>0.33648068669527897</v>
      </c>
    </row>
    <row r="177" spans="1:45" x14ac:dyDescent="0.3">
      <c r="A177" s="1" t="str">
        <f t="shared" si="15"/>
        <v>DWDJ7L046BGL</v>
      </c>
      <c r="B177" s="32" t="s">
        <v>368</v>
      </c>
      <c r="C177" s="10" t="str">
        <f t="shared" si="18"/>
        <v>DJ7L0</v>
      </c>
      <c r="D177" s="10" t="s">
        <v>55</v>
      </c>
      <c r="E177" s="10" t="str">
        <f t="shared" si="16"/>
        <v>W</v>
      </c>
      <c r="F177" s="10" t="str">
        <f t="shared" si="17"/>
        <v>DJ</v>
      </c>
      <c r="G177" s="10" t="s">
        <v>56</v>
      </c>
      <c r="H177" s="4" t="s">
        <v>369</v>
      </c>
      <c r="I177" s="10" t="s">
        <v>163</v>
      </c>
      <c r="J177" s="4" t="str">
        <f t="shared" si="19"/>
        <v/>
      </c>
      <c r="K177" s="4">
        <v>1</v>
      </c>
      <c r="L177" s="30">
        <v>490000</v>
      </c>
      <c r="M177" s="78" t="s">
        <v>117</v>
      </c>
      <c r="N177" s="98" t="s">
        <v>365</v>
      </c>
      <c r="O177" s="10" t="s">
        <v>61</v>
      </c>
      <c r="P177" s="63">
        <v>100</v>
      </c>
      <c r="Q177" s="94" t="s">
        <v>204</v>
      </c>
      <c r="R177" s="63" t="s">
        <v>366</v>
      </c>
      <c r="S177" s="96" t="s">
        <v>121</v>
      </c>
      <c r="T177" s="10" t="s">
        <v>122</v>
      </c>
      <c r="U177" s="10" t="s">
        <v>123</v>
      </c>
      <c r="V177" s="10" t="s">
        <v>66</v>
      </c>
      <c r="W177" s="10" t="s">
        <v>124</v>
      </c>
      <c r="X177" s="9" t="s">
        <v>67</v>
      </c>
      <c r="Y177" s="10" t="s">
        <v>68</v>
      </c>
      <c r="Z177" s="94" t="s">
        <v>125</v>
      </c>
      <c r="AA177" s="94" t="s">
        <v>90</v>
      </c>
      <c r="AB177" s="9" t="s">
        <v>71</v>
      </c>
      <c r="AC177" s="10" t="s">
        <v>62</v>
      </c>
      <c r="AD177" s="10" t="s">
        <v>72</v>
      </c>
      <c r="AE177" s="65" t="s">
        <v>73</v>
      </c>
      <c r="AF177" s="39" t="s">
        <v>370</v>
      </c>
      <c r="AG177" s="10" t="s">
        <v>127</v>
      </c>
      <c r="AH177" s="4">
        <v>650</v>
      </c>
      <c r="AI177" s="11" t="s">
        <v>128</v>
      </c>
      <c r="AJ177" s="4" t="s">
        <v>94</v>
      </c>
      <c r="AK177" s="36">
        <v>869</v>
      </c>
      <c r="AL177" s="30">
        <v>425810000</v>
      </c>
      <c r="AM177" s="30">
        <v>7</v>
      </c>
      <c r="AN177" s="30">
        <v>3415000</v>
      </c>
      <c r="AO177" s="30">
        <v>45</v>
      </c>
      <c r="AP177" s="30">
        <v>21882780</v>
      </c>
      <c r="AQ177" s="30">
        <v>121</v>
      </c>
      <c r="AR177" s="30">
        <v>51832439</v>
      </c>
      <c r="AS177" s="52">
        <f t="shared" si="20"/>
        <v>0.13924050632911392</v>
      </c>
    </row>
    <row r="178" spans="1:45" x14ac:dyDescent="0.3">
      <c r="A178" s="1" t="str">
        <f t="shared" si="15"/>
        <v>DMDJ7O046LKS</v>
      </c>
      <c r="B178" s="32" t="s">
        <v>371</v>
      </c>
      <c r="C178" s="10" t="str">
        <f t="shared" si="18"/>
        <v>DJ7O0</v>
      </c>
      <c r="D178" s="10" t="s">
        <v>55</v>
      </c>
      <c r="E178" s="10" t="str">
        <f t="shared" si="16"/>
        <v>M</v>
      </c>
      <c r="F178" s="10" t="str">
        <f t="shared" si="17"/>
        <v>DJ</v>
      </c>
      <c r="G178" s="10" t="s">
        <v>56</v>
      </c>
      <c r="H178" s="4" t="s">
        <v>372</v>
      </c>
      <c r="I178" s="10" t="s">
        <v>179</v>
      </c>
      <c r="J178" s="4">
        <f t="shared" si="19"/>
        <v>1</v>
      </c>
      <c r="K178" s="4">
        <v>1</v>
      </c>
      <c r="L178" s="30">
        <v>750000</v>
      </c>
      <c r="M178" s="78" t="s">
        <v>117</v>
      </c>
      <c r="N178" s="98" t="s">
        <v>365</v>
      </c>
      <c r="O178" s="10" t="s">
        <v>61</v>
      </c>
      <c r="P178" s="63">
        <v>100</v>
      </c>
      <c r="Q178" s="94" t="s">
        <v>204</v>
      </c>
      <c r="R178" s="63" t="s">
        <v>366</v>
      </c>
      <c r="S178" s="96" t="s">
        <v>121</v>
      </c>
      <c r="T178" s="10" t="s">
        <v>122</v>
      </c>
      <c r="U178" s="10" t="s">
        <v>123</v>
      </c>
      <c r="V178" s="10" t="s">
        <v>66</v>
      </c>
      <c r="W178" s="10" t="s">
        <v>124</v>
      </c>
      <c r="X178" s="9" t="s">
        <v>67</v>
      </c>
      <c r="Y178" s="10" t="s">
        <v>68</v>
      </c>
      <c r="Z178" s="94" t="s">
        <v>125</v>
      </c>
      <c r="AA178" s="94" t="s">
        <v>90</v>
      </c>
      <c r="AB178" s="9" t="s">
        <v>71</v>
      </c>
      <c r="AC178" s="10" t="s">
        <v>62</v>
      </c>
      <c r="AD178" s="10" t="s">
        <v>72</v>
      </c>
      <c r="AE178" s="65" t="s">
        <v>73</v>
      </c>
      <c r="AF178" s="39" t="s">
        <v>373</v>
      </c>
      <c r="AG178" s="10" t="s">
        <v>127</v>
      </c>
      <c r="AH178" s="4">
        <v>650</v>
      </c>
      <c r="AI178" s="11" t="s">
        <v>107</v>
      </c>
      <c r="AJ178" s="4" t="s">
        <v>108</v>
      </c>
      <c r="AK178" s="36">
        <v>1055</v>
      </c>
      <c r="AL178" s="30">
        <v>791250000</v>
      </c>
      <c r="AM178" s="30">
        <v>21</v>
      </c>
      <c r="AN178" s="30">
        <v>15698819</v>
      </c>
      <c r="AO178" s="30">
        <v>85</v>
      </c>
      <c r="AP178" s="30">
        <v>61766228</v>
      </c>
      <c r="AQ178" s="30">
        <v>255</v>
      </c>
      <c r="AR178" s="30">
        <v>181668374</v>
      </c>
      <c r="AS178" s="52">
        <f t="shared" si="20"/>
        <v>0.24170616113744076</v>
      </c>
    </row>
    <row r="179" spans="1:45" x14ac:dyDescent="0.3">
      <c r="A179" s="1" t="str">
        <f t="shared" si="15"/>
        <v>DMDJ7O046BKS</v>
      </c>
      <c r="B179" s="32" t="s">
        <v>371</v>
      </c>
      <c r="C179" s="10" t="str">
        <f t="shared" si="18"/>
        <v>DJ7O0</v>
      </c>
      <c r="D179" s="10" t="s">
        <v>55</v>
      </c>
      <c r="E179" s="10" t="str">
        <f t="shared" si="16"/>
        <v>M</v>
      </c>
      <c r="F179" s="10" t="str">
        <f t="shared" si="17"/>
        <v>DJ</v>
      </c>
      <c r="G179" s="10" t="s">
        <v>56</v>
      </c>
      <c r="H179" s="4" t="s">
        <v>372</v>
      </c>
      <c r="I179" s="10" t="s">
        <v>78</v>
      </c>
      <c r="J179" s="4" t="str">
        <f t="shared" si="19"/>
        <v/>
      </c>
      <c r="K179" s="4">
        <v>1</v>
      </c>
      <c r="L179" s="30">
        <v>750000</v>
      </c>
      <c r="M179" s="78" t="s">
        <v>117</v>
      </c>
      <c r="N179" s="98" t="s">
        <v>365</v>
      </c>
      <c r="O179" s="10" t="s">
        <v>61</v>
      </c>
      <c r="P179" s="63">
        <v>100</v>
      </c>
      <c r="Q179" s="94" t="s">
        <v>204</v>
      </c>
      <c r="R179" s="63" t="s">
        <v>366</v>
      </c>
      <c r="S179" s="96" t="s">
        <v>121</v>
      </c>
      <c r="T179" s="10" t="s">
        <v>122</v>
      </c>
      <c r="U179" s="10" t="s">
        <v>123</v>
      </c>
      <c r="V179" s="10" t="s">
        <v>66</v>
      </c>
      <c r="W179" s="10" t="s">
        <v>124</v>
      </c>
      <c r="X179" s="9" t="s">
        <v>67</v>
      </c>
      <c r="Y179" s="10" t="s">
        <v>68</v>
      </c>
      <c r="Z179" s="94" t="s">
        <v>125</v>
      </c>
      <c r="AA179" s="94" t="s">
        <v>90</v>
      </c>
      <c r="AB179" s="9" t="s">
        <v>71</v>
      </c>
      <c r="AC179" s="10" t="s">
        <v>62</v>
      </c>
      <c r="AD179" s="10" t="s">
        <v>72</v>
      </c>
      <c r="AE179" s="65" t="s">
        <v>73</v>
      </c>
      <c r="AF179" s="39" t="s">
        <v>373</v>
      </c>
      <c r="AG179" s="10" t="s">
        <v>127</v>
      </c>
      <c r="AH179" s="4">
        <v>650</v>
      </c>
      <c r="AI179" s="11" t="s">
        <v>107</v>
      </c>
      <c r="AJ179" s="4" t="s">
        <v>108</v>
      </c>
      <c r="AK179" s="36">
        <v>2134</v>
      </c>
      <c r="AL179" s="30">
        <v>1600500000</v>
      </c>
      <c r="AM179" s="30">
        <v>69</v>
      </c>
      <c r="AN179" s="30">
        <v>49947814</v>
      </c>
      <c r="AO179" s="30">
        <v>299</v>
      </c>
      <c r="AP179" s="30">
        <v>217530276</v>
      </c>
      <c r="AQ179" s="30">
        <v>775</v>
      </c>
      <c r="AR179" s="30">
        <v>554820654</v>
      </c>
      <c r="AS179" s="52">
        <f t="shared" si="20"/>
        <v>0.36316776007497659</v>
      </c>
    </row>
    <row r="180" spans="1:45" x14ac:dyDescent="0.3">
      <c r="A180" s="1" t="str">
        <f t="shared" si="15"/>
        <v>DWDJ7P046BGL</v>
      </c>
      <c r="B180" s="32" t="s">
        <v>374</v>
      </c>
      <c r="C180" s="10" t="str">
        <f t="shared" si="18"/>
        <v>DJ7P0</v>
      </c>
      <c r="D180" s="10" t="s">
        <v>55</v>
      </c>
      <c r="E180" s="10" t="str">
        <f t="shared" si="16"/>
        <v>W</v>
      </c>
      <c r="F180" s="10" t="str">
        <f t="shared" si="17"/>
        <v>DJ</v>
      </c>
      <c r="G180" s="10" t="s">
        <v>56</v>
      </c>
      <c r="H180" s="4" t="s">
        <v>375</v>
      </c>
      <c r="I180" s="10" t="s">
        <v>163</v>
      </c>
      <c r="J180" s="4">
        <f t="shared" si="19"/>
        <v>1</v>
      </c>
      <c r="K180" s="4">
        <v>1</v>
      </c>
      <c r="L180" s="30">
        <v>750000</v>
      </c>
      <c r="M180" s="78" t="s">
        <v>117</v>
      </c>
      <c r="N180" s="98" t="s">
        <v>365</v>
      </c>
      <c r="O180" s="10" t="s">
        <v>61</v>
      </c>
      <c r="P180" s="63">
        <v>100</v>
      </c>
      <c r="Q180" s="94" t="s">
        <v>204</v>
      </c>
      <c r="R180" s="63" t="s">
        <v>366</v>
      </c>
      <c r="S180" s="96" t="s">
        <v>121</v>
      </c>
      <c r="T180" s="10" t="s">
        <v>122</v>
      </c>
      <c r="U180" s="10" t="s">
        <v>123</v>
      </c>
      <c r="V180" s="10" t="s">
        <v>66</v>
      </c>
      <c r="W180" s="10" t="s">
        <v>124</v>
      </c>
      <c r="X180" s="9" t="s">
        <v>67</v>
      </c>
      <c r="Y180" s="10" t="s">
        <v>68</v>
      </c>
      <c r="Z180" s="94" t="s">
        <v>125</v>
      </c>
      <c r="AA180" s="94" t="s">
        <v>90</v>
      </c>
      <c r="AB180" s="9" t="s">
        <v>71</v>
      </c>
      <c r="AC180" s="10" t="s">
        <v>62</v>
      </c>
      <c r="AD180" s="10" t="s">
        <v>72</v>
      </c>
      <c r="AE180" s="65" t="s">
        <v>73</v>
      </c>
      <c r="AF180" s="39" t="s">
        <v>214</v>
      </c>
      <c r="AG180" s="10" t="s">
        <v>127</v>
      </c>
      <c r="AH180" s="4">
        <v>650</v>
      </c>
      <c r="AI180" s="11" t="s">
        <v>107</v>
      </c>
      <c r="AJ180" s="4" t="s">
        <v>108</v>
      </c>
      <c r="AK180" s="36">
        <v>1098</v>
      </c>
      <c r="AL180" s="30">
        <v>823500000</v>
      </c>
      <c r="AM180" s="30">
        <v>13</v>
      </c>
      <c r="AN180" s="30">
        <v>9273860</v>
      </c>
      <c r="AO180" s="30">
        <v>49</v>
      </c>
      <c r="AP180" s="30">
        <v>35628995</v>
      </c>
      <c r="AQ180" s="30">
        <v>124</v>
      </c>
      <c r="AR180" s="30">
        <v>87784084</v>
      </c>
      <c r="AS180" s="52">
        <f t="shared" si="20"/>
        <v>0.11293260473588343</v>
      </c>
    </row>
    <row r="181" spans="1:45" x14ac:dyDescent="0.3">
      <c r="A181" s="1" t="str">
        <f t="shared" si="15"/>
        <v>DWDJ7P046BDS</v>
      </c>
      <c r="B181" s="32" t="s">
        <v>374</v>
      </c>
      <c r="C181" s="10" t="str">
        <f t="shared" si="18"/>
        <v>DJ7P0</v>
      </c>
      <c r="D181" s="10" t="s">
        <v>55</v>
      </c>
      <c r="E181" s="10" t="str">
        <f t="shared" si="16"/>
        <v>W</v>
      </c>
      <c r="F181" s="10" t="str">
        <f t="shared" si="17"/>
        <v>DJ</v>
      </c>
      <c r="G181" s="10" t="s">
        <v>56</v>
      </c>
      <c r="H181" s="4" t="s">
        <v>375</v>
      </c>
      <c r="I181" s="10" t="s">
        <v>155</v>
      </c>
      <c r="J181" s="4" t="str">
        <f t="shared" si="19"/>
        <v/>
      </c>
      <c r="K181" s="4">
        <v>1</v>
      </c>
      <c r="L181" s="30">
        <v>750000</v>
      </c>
      <c r="M181" s="78" t="s">
        <v>117</v>
      </c>
      <c r="N181" s="98" t="s">
        <v>365</v>
      </c>
      <c r="O181" s="10" t="s">
        <v>61</v>
      </c>
      <c r="P181" s="63">
        <v>100</v>
      </c>
      <c r="Q181" s="94" t="s">
        <v>204</v>
      </c>
      <c r="R181" s="63" t="s">
        <v>366</v>
      </c>
      <c r="S181" s="96" t="s">
        <v>121</v>
      </c>
      <c r="T181" s="10" t="s">
        <v>122</v>
      </c>
      <c r="U181" s="10" t="s">
        <v>123</v>
      </c>
      <c r="V181" s="10" t="s">
        <v>66</v>
      </c>
      <c r="W181" s="10" t="s">
        <v>124</v>
      </c>
      <c r="X181" s="9" t="s">
        <v>67</v>
      </c>
      <c r="Y181" s="10" t="s">
        <v>68</v>
      </c>
      <c r="Z181" s="94" t="s">
        <v>125</v>
      </c>
      <c r="AA181" s="94" t="s">
        <v>90</v>
      </c>
      <c r="AB181" s="9" t="s">
        <v>71</v>
      </c>
      <c r="AC181" s="10" t="s">
        <v>62</v>
      </c>
      <c r="AD181" s="10" t="s">
        <v>72</v>
      </c>
      <c r="AE181" s="65" t="s">
        <v>73</v>
      </c>
      <c r="AF181" s="39" t="s">
        <v>214</v>
      </c>
      <c r="AG181" s="10" t="s">
        <v>127</v>
      </c>
      <c r="AH181" s="4">
        <v>650</v>
      </c>
      <c r="AI181" s="11" t="s">
        <v>107</v>
      </c>
      <c r="AJ181" s="4" t="s">
        <v>108</v>
      </c>
      <c r="AK181" s="36">
        <v>810</v>
      </c>
      <c r="AL181" s="30">
        <v>607500000</v>
      </c>
      <c r="AM181" s="30">
        <v>3</v>
      </c>
      <c r="AN181" s="30">
        <v>2230000</v>
      </c>
      <c r="AO181" s="30">
        <v>16</v>
      </c>
      <c r="AP181" s="30">
        <v>11674220</v>
      </c>
      <c r="AQ181" s="30">
        <v>41</v>
      </c>
      <c r="AR181" s="30">
        <v>29454220</v>
      </c>
      <c r="AS181" s="52">
        <f t="shared" si="20"/>
        <v>5.0617283950617285E-2</v>
      </c>
    </row>
    <row r="182" spans="1:45" x14ac:dyDescent="0.3">
      <c r="A182" s="1" t="str">
        <f t="shared" si="15"/>
        <v>DWDJ7P046BKS</v>
      </c>
      <c r="B182" s="32" t="s">
        <v>374</v>
      </c>
      <c r="C182" s="10" t="str">
        <f t="shared" si="18"/>
        <v>DJ7P0</v>
      </c>
      <c r="D182" s="10" t="s">
        <v>55</v>
      </c>
      <c r="E182" s="10" t="str">
        <f t="shared" si="16"/>
        <v>W</v>
      </c>
      <c r="F182" s="10" t="str">
        <f t="shared" si="17"/>
        <v>DJ</v>
      </c>
      <c r="G182" s="10" t="s">
        <v>56</v>
      </c>
      <c r="H182" s="4" t="s">
        <v>375</v>
      </c>
      <c r="I182" s="10" t="s">
        <v>78</v>
      </c>
      <c r="J182" s="4" t="str">
        <f t="shared" si="19"/>
        <v/>
      </c>
      <c r="K182" s="4">
        <v>1</v>
      </c>
      <c r="L182" s="30">
        <v>750000</v>
      </c>
      <c r="M182" s="78" t="s">
        <v>117</v>
      </c>
      <c r="N182" s="98" t="s">
        <v>365</v>
      </c>
      <c r="O182" s="10" t="s">
        <v>61</v>
      </c>
      <c r="P182" s="63">
        <v>100</v>
      </c>
      <c r="Q182" s="94" t="s">
        <v>204</v>
      </c>
      <c r="R182" s="63" t="s">
        <v>366</v>
      </c>
      <c r="S182" s="96" t="s">
        <v>121</v>
      </c>
      <c r="T182" s="10" t="s">
        <v>122</v>
      </c>
      <c r="U182" s="10" t="s">
        <v>123</v>
      </c>
      <c r="V182" s="10" t="s">
        <v>66</v>
      </c>
      <c r="W182" s="10" t="s">
        <v>124</v>
      </c>
      <c r="X182" s="9" t="s">
        <v>67</v>
      </c>
      <c r="Y182" s="10" t="s">
        <v>68</v>
      </c>
      <c r="Z182" s="94" t="s">
        <v>125</v>
      </c>
      <c r="AA182" s="94" t="s">
        <v>90</v>
      </c>
      <c r="AB182" s="9" t="s">
        <v>71</v>
      </c>
      <c r="AC182" s="10" t="s">
        <v>62</v>
      </c>
      <c r="AD182" s="10" t="s">
        <v>72</v>
      </c>
      <c r="AE182" s="65" t="s">
        <v>73</v>
      </c>
      <c r="AF182" s="39" t="s">
        <v>214</v>
      </c>
      <c r="AG182" s="10" t="s">
        <v>127</v>
      </c>
      <c r="AH182" s="4">
        <v>650</v>
      </c>
      <c r="AI182" s="11" t="s">
        <v>107</v>
      </c>
      <c r="AJ182" s="4" t="s">
        <v>108</v>
      </c>
      <c r="AK182" s="36">
        <v>1596</v>
      </c>
      <c r="AL182" s="30">
        <v>1197000000</v>
      </c>
      <c r="AM182" s="30">
        <v>27</v>
      </c>
      <c r="AN182" s="30">
        <v>18994118</v>
      </c>
      <c r="AO182" s="30">
        <v>114</v>
      </c>
      <c r="AP182" s="30">
        <v>82518656</v>
      </c>
      <c r="AQ182" s="30">
        <v>310</v>
      </c>
      <c r="AR182" s="30">
        <v>219943383</v>
      </c>
      <c r="AS182" s="52">
        <f t="shared" si="20"/>
        <v>0.19423558897243107</v>
      </c>
    </row>
    <row r="183" spans="1:45" x14ac:dyDescent="0.3">
      <c r="A183" s="1" t="str">
        <f t="shared" si="15"/>
        <v>DMDJ8A046BKS</v>
      </c>
      <c r="B183" s="32" t="s">
        <v>376</v>
      </c>
      <c r="C183" s="10" t="str">
        <f t="shared" si="18"/>
        <v>DJ8A0</v>
      </c>
      <c r="D183" s="10" t="s">
        <v>55</v>
      </c>
      <c r="E183" s="10" t="str">
        <f t="shared" si="16"/>
        <v>M</v>
      </c>
      <c r="F183" s="10" t="str">
        <f t="shared" si="17"/>
        <v>DJ</v>
      </c>
      <c r="G183" s="10" t="s">
        <v>56</v>
      </c>
      <c r="H183" s="4" t="s">
        <v>377</v>
      </c>
      <c r="I183" s="10" t="s">
        <v>78</v>
      </c>
      <c r="J183" s="4">
        <f t="shared" si="19"/>
        <v>1</v>
      </c>
      <c r="K183" s="4">
        <v>1</v>
      </c>
      <c r="L183" s="30">
        <v>550000</v>
      </c>
      <c r="M183" s="78" t="s">
        <v>225</v>
      </c>
      <c r="N183" s="98" t="s">
        <v>226</v>
      </c>
      <c r="O183" s="10" t="s">
        <v>61</v>
      </c>
      <c r="P183" s="63">
        <v>100</v>
      </c>
      <c r="Q183" s="94" t="s">
        <v>119</v>
      </c>
      <c r="R183" s="63" t="s">
        <v>126</v>
      </c>
      <c r="S183" s="96" t="s">
        <v>227</v>
      </c>
      <c r="T183" s="10" t="s">
        <v>228</v>
      </c>
      <c r="U183" s="10" t="s">
        <v>198</v>
      </c>
      <c r="V183" s="10" t="s">
        <v>66</v>
      </c>
      <c r="W183" s="10" t="s">
        <v>229</v>
      </c>
      <c r="X183" s="9" t="s">
        <v>67</v>
      </c>
      <c r="Y183" s="10" t="s">
        <v>68</v>
      </c>
      <c r="Z183" s="94" t="s">
        <v>125</v>
      </c>
      <c r="AA183" s="94" t="s">
        <v>90</v>
      </c>
      <c r="AB183" s="9" t="s">
        <v>71</v>
      </c>
      <c r="AC183" s="10" t="s">
        <v>144</v>
      </c>
      <c r="AD183" s="10" t="s">
        <v>279</v>
      </c>
      <c r="AE183" s="65" t="s">
        <v>73</v>
      </c>
      <c r="AF183" s="39" t="s">
        <v>214</v>
      </c>
      <c r="AG183" s="10" t="s">
        <v>127</v>
      </c>
      <c r="AH183" s="4">
        <v>650</v>
      </c>
      <c r="AI183" s="11" t="s">
        <v>264</v>
      </c>
      <c r="AJ183" s="4" t="s">
        <v>241</v>
      </c>
      <c r="AK183" s="36">
        <v>2329</v>
      </c>
      <c r="AL183" s="30">
        <v>1280950000</v>
      </c>
      <c r="AM183" s="30">
        <v>81</v>
      </c>
      <c r="AN183" s="30">
        <v>43814842</v>
      </c>
      <c r="AO183" s="30">
        <v>386</v>
      </c>
      <c r="AP183" s="30">
        <v>204544718</v>
      </c>
      <c r="AQ183" s="30">
        <v>838</v>
      </c>
      <c r="AR183" s="30">
        <v>439143994</v>
      </c>
      <c r="AS183" s="52">
        <f t="shared" si="20"/>
        <v>0.35981107771575782</v>
      </c>
    </row>
    <row r="184" spans="1:45" x14ac:dyDescent="0.3">
      <c r="A184" s="1" t="str">
        <f t="shared" si="15"/>
        <v>DMDJ8A046BGD</v>
      </c>
      <c r="B184" s="32" t="s">
        <v>376</v>
      </c>
      <c r="C184" s="10" t="str">
        <f t="shared" si="18"/>
        <v>DJ8A0</v>
      </c>
      <c r="D184" s="10" t="s">
        <v>55</v>
      </c>
      <c r="E184" s="10" t="str">
        <f t="shared" si="16"/>
        <v>M</v>
      </c>
      <c r="F184" s="10" t="str">
        <f t="shared" si="17"/>
        <v>DJ</v>
      </c>
      <c r="G184" s="10" t="s">
        <v>56</v>
      </c>
      <c r="H184" s="4" t="s">
        <v>377</v>
      </c>
      <c r="I184" s="10" t="s">
        <v>260</v>
      </c>
      <c r="J184" s="4" t="str">
        <f t="shared" si="19"/>
        <v/>
      </c>
      <c r="K184" s="4">
        <v>1</v>
      </c>
      <c r="L184" s="30">
        <v>550000</v>
      </c>
      <c r="M184" s="78" t="s">
        <v>225</v>
      </c>
      <c r="N184" s="98" t="s">
        <v>226</v>
      </c>
      <c r="O184" s="10" t="s">
        <v>61</v>
      </c>
      <c r="P184" s="63">
        <v>100</v>
      </c>
      <c r="Q184" s="94" t="s">
        <v>119</v>
      </c>
      <c r="R184" s="63" t="s">
        <v>126</v>
      </c>
      <c r="S184" s="96" t="s">
        <v>227</v>
      </c>
      <c r="T184" s="10" t="s">
        <v>228</v>
      </c>
      <c r="U184" s="10" t="s">
        <v>198</v>
      </c>
      <c r="V184" s="10" t="s">
        <v>66</v>
      </c>
      <c r="W184" s="10" t="s">
        <v>229</v>
      </c>
      <c r="X184" s="9" t="s">
        <v>67</v>
      </c>
      <c r="Y184" s="10" t="s">
        <v>68</v>
      </c>
      <c r="Z184" s="94" t="s">
        <v>125</v>
      </c>
      <c r="AA184" s="94" t="s">
        <v>90</v>
      </c>
      <c r="AB184" s="9" t="s">
        <v>71</v>
      </c>
      <c r="AC184" s="10" t="s">
        <v>144</v>
      </c>
      <c r="AD184" s="10" t="s">
        <v>279</v>
      </c>
      <c r="AE184" s="65" t="s">
        <v>73</v>
      </c>
      <c r="AF184" s="39" t="s">
        <v>214</v>
      </c>
      <c r="AG184" s="10" t="s">
        <v>127</v>
      </c>
      <c r="AH184" s="4">
        <v>650</v>
      </c>
      <c r="AI184" s="11" t="s">
        <v>264</v>
      </c>
      <c r="AJ184" s="4" t="s">
        <v>241</v>
      </c>
      <c r="AK184" s="36">
        <v>706</v>
      </c>
      <c r="AL184" s="30">
        <v>388300000</v>
      </c>
      <c r="AM184" s="30">
        <v>10</v>
      </c>
      <c r="AN184" s="30">
        <v>5456715</v>
      </c>
      <c r="AO184" s="30">
        <v>65</v>
      </c>
      <c r="AP184" s="30">
        <v>35516586</v>
      </c>
      <c r="AQ184" s="30">
        <v>174</v>
      </c>
      <c r="AR184" s="30">
        <v>91815522</v>
      </c>
      <c r="AS184" s="52">
        <f t="shared" si="20"/>
        <v>0.24645892351274787</v>
      </c>
    </row>
    <row r="185" spans="1:45" x14ac:dyDescent="0.3">
      <c r="A185" s="1" t="str">
        <f t="shared" si="15"/>
        <v>DWDJ8B046IVD</v>
      </c>
      <c r="B185" s="32" t="s">
        <v>378</v>
      </c>
      <c r="C185" s="10" t="str">
        <f t="shared" si="18"/>
        <v>DJ8B0</v>
      </c>
      <c r="D185" s="10" t="s">
        <v>55</v>
      </c>
      <c r="E185" s="10" t="str">
        <f t="shared" si="16"/>
        <v>W</v>
      </c>
      <c r="F185" s="10" t="str">
        <f t="shared" si="17"/>
        <v>DJ</v>
      </c>
      <c r="G185" s="10" t="s">
        <v>56</v>
      </c>
      <c r="H185" s="4" t="s">
        <v>379</v>
      </c>
      <c r="I185" s="10" t="s">
        <v>105</v>
      </c>
      <c r="J185" s="4">
        <f t="shared" si="19"/>
        <v>1</v>
      </c>
      <c r="K185" s="4">
        <v>1</v>
      </c>
      <c r="L185" s="30">
        <v>550000</v>
      </c>
      <c r="M185" s="78" t="s">
        <v>225</v>
      </c>
      <c r="N185" s="98" t="s">
        <v>226</v>
      </c>
      <c r="O185" s="10" t="s">
        <v>61</v>
      </c>
      <c r="P185" s="63">
        <v>100</v>
      </c>
      <c r="Q185" s="94" t="s">
        <v>119</v>
      </c>
      <c r="R185" s="63" t="s">
        <v>126</v>
      </c>
      <c r="S185" s="96" t="s">
        <v>227</v>
      </c>
      <c r="T185" s="10" t="s">
        <v>228</v>
      </c>
      <c r="U185" s="10" t="s">
        <v>198</v>
      </c>
      <c r="V185" s="10" t="s">
        <v>66</v>
      </c>
      <c r="W185" s="10" t="s">
        <v>229</v>
      </c>
      <c r="X185" s="9" t="s">
        <v>67</v>
      </c>
      <c r="Y185" s="10" t="s">
        <v>68</v>
      </c>
      <c r="Z185" s="94" t="s">
        <v>125</v>
      </c>
      <c r="AA185" s="94" t="s">
        <v>90</v>
      </c>
      <c r="AB185" s="9" t="s">
        <v>71</v>
      </c>
      <c r="AC185" s="10" t="s">
        <v>144</v>
      </c>
      <c r="AD185" s="10" t="s">
        <v>279</v>
      </c>
      <c r="AE185" s="65" t="s">
        <v>73</v>
      </c>
      <c r="AF185" s="39" t="s">
        <v>175</v>
      </c>
      <c r="AG185" s="10" t="s">
        <v>127</v>
      </c>
      <c r="AH185" s="4">
        <v>650</v>
      </c>
      <c r="AI185" s="11" t="s">
        <v>264</v>
      </c>
      <c r="AJ185" s="4" t="s">
        <v>241</v>
      </c>
      <c r="AK185" s="36">
        <v>914</v>
      </c>
      <c r="AL185" s="30">
        <v>502700000</v>
      </c>
      <c r="AM185" s="30">
        <v>16</v>
      </c>
      <c r="AN185" s="30">
        <v>8528312</v>
      </c>
      <c r="AO185" s="30">
        <v>83</v>
      </c>
      <c r="AP185" s="30">
        <v>44526467</v>
      </c>
      <c r="AQ185" s="30">
        <v>233</v>
      </c>
      <c r="AR185" s="30">
        <v>122710032</v>
      </c>
      <c r="AS185" s="52">
        <f t="shared" si="20"/>
        <v>0.25492341356673959</v>
      </c>
    </row>
    <row r="186" spans="1:45" x14ac:dyDescent="0.3">
      <c r="A186" s="1" t="str">
        <f t="shared" si="15"/>
        <v>DWDJ8B046BKS</v>
      </c>
      <c r="B186" s="32" t="s">
        <v>378</v>
      </c>
      <c r="C186" s="10" t="str">
        <f t="shared" si="18"/>
        <v>DJ8B0</v>
      </c>
      <c r="D186" s="10" t="s">
        <v>55</v>
      </c>
      <c r="E186" s="10" t="str">
        <f t="shared" si="16"/>
        <v>W</v>
      </c>
      <c r="F186" s="10" t="str">
        <f t="shared" si="17"/>
        <v>DJ</v>
      </c>
      <c r="G186" s="10" t="s">
        <v>56</v>
      </c>
      <c r="H186" s="4" t="s">
        <v>379</v>
      </c>
      <c r="I186" s="10" t="s">
        <v>78</v>
      </c>
      <c r="J186" s="4" t="str">
        <f t="shared" si="19"/>
        <v/>
      </c>
      <c r="K186" s="4">
        <v>1</v>
      </c>
      <c r="L186" s="30">
        <v>550000</v>
      </c>
      <c r="M186" s="78" t="s">
        <v>225</v>
      </c>
      <c r="N186" s="98" t="s">
        <v>226</v>
      </c>
      <c r="O186" s="10" t="s">
        <v>61</v>
      </c>
      <c r="P186" s="63">
        <v>100</v>
      </c>
      <c r="Q186" s="94" t="s">
        <v>119</v>
      </c>
      <c r="R186" s="63" t="s">
        <v>126</v>
      </c>
      <c r="S186" s="96" t="s">
        <v>227</v>
      </c>
      <c r="T186" s="10" t="s">
        <v>228</v>
      </c>
      <c r="U186" s="10" t="s">
        <v>198</v>
      </c>
      <c r="V186" s="10" t="s">
        <v>66</v>
      </c>
      <c r="W186" s="10" t="s">
        <v>229</v>
      </c>
      <c r="X186" s="9" t="s">
        <v>67</v>
      </c>
      <c r="Y186" s="10" t="s">
        <v>68</v>
      </c>
      <c r="Z186" s="94" t="s">
        <v>125</v>
      </c>
      <c r="AA186" s="94" t="s">
        <v>90</v>
      </c>
      <c r="AB186" s="9" t="s">
        <v>71</v>
      </c>
      <c r="AC186" s="10" t="s">
        <v>144</v>
      </c>
      <c r="AD186" s="10" t="s">
        <v>279</v>
      </c>
      <c r="AE186" s="65" t="s">
        <v>73</v>
      </c>
      <c r="AF186" s="39" t="s">
        <v>175</v>
      </c>
      <c r="AG186" s="10" t="s">
        <v>127</v>
      </c>
      <c r="AH186" s="4">
        <v>650</v>
      </c>
      <c r="AI186" s="11" t="s">
        <v>264</v>
      </c>
      <c r="AJ186" s="4" t="s">
        <v>241</v>
      </c>
      <c r="AK186" s="36">
        <v>1207</v>
      </c>
      <c r="AL186" s="30">
        <v>663850000</v>
      </c>
      <c r="AM186" s="30">
        <v>26</v>
      </c>
      <c r="AN186" s="30">
        <v>13999430</v>
      </c>
      <c r="AO186" s="30">
        <v>153</v>
      </c>
      <c r="AP186" s="30">
        <v>82406466</v>
      </c>
      <c r="AQ186" s="30">
        <v>371</v>
      </c>
      <c r="AR186" s="30">
        <v>197336385</v>
      </c>
      <c r="AS186" s="52">
        <f t="shared" si="20"/>
        <v>0.30737365368682684</v>
      </c>
    </row>
    <row r="187" spans="1:45" x14ac:dyDescent="0.3">
      <c r="A187" s="1" t="str">
        <f t="shared" si="15"/>
        <v>DXDJ8C046BKN</v>
      </c>
      <c r="B187" s="32" t="s">
        <v>380</v>
      </c>
      <c r="C187" s="10" t="str">
        <f t="shared" si="18"/>
        <v>DJ8C0</v>
      </c>
      <c r="D187" s="10" t="s">
        <v>55</v>
      </c>
      <c r="E187" s="10" t="str">
        <f t="shared" si="16"/>
        <v>X</v>
      </c>
      <c r="F187" s="10" t="str">
        <f t="shared" si="17"/>
        <v>DJ</v>
      </c>
      <c r="G187" s="10" t="s">
        <v>56</v>
      </c>
      <c r="H187" s="4" t="s">
        <v>381</v>
      </c>
      <c r="I187" s="10" t="s">
        <v>140</v>
      </c>
      <c r="J187" s="4">
        <f t="shared" si="19"/>
        <v>1</v>
      </c>
      <c r="K187" s="4">
        <v>1</v>
      </c>
      <c r="L187" s="30">
        <v>279000</v>
      </c>
      <c r="M187" s="78" t="s">
        <v>217</v>
      </c>
      <c r="N187" s="98" t="s">
        <v>382</v>
      </c>
      <c r="O187" s="10" t="s">
        <v>61</v>
      </c>
      <c r="P187" s="63">
        <v>100</v>
      </c>
      <c r="Q187" s="94" t="s">
        <v>219</v>
      </c>
      <c r="R187" s="63" t="s">
        <v>220</v>
      </c>
      <c r="S187" s="96" t="s">
        <v>221</v>
      </c>
      <c r="T187" s="10" t="s">
        <v>65</v>
      </c>
      <c r="U187" s="10"/>
      <c r="V187" s="10" t="s">
        <v>222</v>
      </c>
      <c r="W187" s="10"/>
      <c r="X187" s="9" t="s">
        <v>67</v>
      </c>
      <c r="Y187" s="10" t="s">
        <v>68</v>
      </c>
      <c r="Z187" s="94" t="s">
        <v>154</v>
      </c>
      <c r="AA187" s="94" t="s">
        <v>185</v>
      </c>
      <c r="AB187" s="9" t="s">
        <v>71</v>
      </c>
      <c r="AC187" s="10" t="s">
        <v>85</v>
      </c>
      <c r="AD187" s="10" t="s">
        <v>208</v>
      </c>
      <c r="AE187" s="65" t="s">
        <v>137</v>
      </c>
      <c r="AF187" s="39" t="s">
        <v>383</v>
      </c>
      <c r="AG187" s="10" t="s">
        <v>127</v>
      </c>
      <c r="AH187" s="4">
        <v>650</v>
      </c>
      <c r="AI187" s="11" t="s">
        <v>264</v>
      </c>
      <c r="AJ187" s="55" t="s">
        <v>384</v>
      </c>
      <c r="AK187" s="36">
        <v>3324</v>
      </c>
      <c r="AL187" s="30">
        <v>927396000</v>
      </c>
      <c r="AM187" s="30">
        <v>396</v>
      </c>
      <c r="AN187" s="30">
        <v>108900651</v>
      </c>
      <c r="AO187" s="30">
        <v>1625</v>
      </c>
      <c r="AP187" s="30">
        <v>444025582</v>
      </c>
      <c r="AQ187" s="30">
        <v>3117</v>
      </c>
      <c r="AR187" s="30">
        <v>835043570</v>
      </c>
      <c r="AS187" s="52">
        <f t="shared" si="20"/>
        <v>0.93772563176895307</v>
      </c>
    </row>
    <row r="188" spans="1:45" x14ac:dyDescent="0.3">
      <c r="A188" s="1" t="str">
        <f t="shared" si="15"/>
        <v>DXDJ8C046BES</v>
      </c>
      <c r="B188" s="32" t="s">
        <v>380</v>
      </c>
      <c r="C188" s="10" t="str">
        <f t="shared" si="18"/>
        <v>DJ8C0</v>
      </c>
      <c r="D188" s="10" t="s">
        <v>55</v>
      </c>
      <c r="E188" s="10" t="str">
        <f t="shared" si="16"/>
        <v>X</v>
      </c>
      <c r="F188" s="10" t="str">
        <f t="shared" si="17"/>
        <v>DJ</v>
      </c>
      <c r="G188" s="10" t="s">
        <v>56</v>
      </c>
      <c r="H188" s="4" t="s">
        <v>381</v>
      </c>
      <c r="I188" s="10" t="s">
        <v>385</v>
      </c>
      <c r="J188" s="4" t="str">
        <f t="shared" si="19"/>
        <v/>
      </c>
      <c r="K188" s="4">
        <v>1</v>
      </c>
      <c r="L188" s="30">
        <v>279000</v>
      </c>
      <c r="M188" s="78" t="s">
        <v>217</v>
      </c>
      <c r="N188" s="98" t="s">
        <v>329</v>
      </c>
      <c r="O188" s="10" t="s">
        <v>61</v>
      </c>
      <c r="P188" s="63">
        <v>100</v>
      </c>
      <c r="Q188" s="94" t="s">
        <v>330</v>
      </c>
      <c r="R188" s="63" t="s">
        <v>246</v>
      </c>
      <c r="S188" s="96" t="s">
        <v>331</v>
      </c>
      <c r="T188" s="10" t="s">
        <v>122</v>
      </c>
      <c r="U188" s="10" t="s">
        <v>332</v>
      </c>
      <c r="V188" s="10" t="s">
        <v>66</v>
      </c>
      <c r="W188" s="10"/>
      <c r="X188" s="9" t="s">
        <v>67</v>
      </c>
      <c r="Y188" s="10" t="s">
        <v>68</v>
      </c>
      <c r="Z188" s="94" t="s">
        <v>125</v>
      </c>
      <c r="AA188" s="94" t="s">
        <v>90</v>
      </c>
      <c r="AB188" s="9" t="s">
        <v>71</v>
      </c>
      <c r="AC188" s="10" t="s">
        <v>85</v>
      </c>
      <c r="AD188" s="10" t="s">
        <v>208</v>
      </c>
      <c r="AE188" s="65" t="s">
        <v>137</v>
      </c>
      <c r="AF188" s="39" t="s">
        <v>367</v>
      </c>
      <c r="AG188" s="10" t="s">
        <v>127</v>
      </c>
      <c r="AH188" s="4">
        <v>650</v>
      </c>
      <c r="AI188" s="11" t="s">
        <v>264</v>
      </c>
      <c r="AJ188" s="55" t="s">
        <v>384</v>
      </c>
      <c r="AK188" s="36">
        <v>1587</v>
      </c>
      <c r="AL188" s="30">
        <v>442773000</v>
      </c>
      <c r="AM188" s="30">
        <v>107</v>
      </c>
      <c r="AN188" s="30">
        <v>29336900</v>
      </c>
      <c r="AO188" s="30">
        <v>500</v>
      </c>
      <c r="AP188" s="30">
        <v>134666190</v>
      </c>
      <c r="AQ188" s="30">
        <v>1113</v>
      </c>
      <c r="AR188" s="30">
        <v>295866879</v>
      </c>
      <c r="AS188" s="52">
        <f t="shared" si="20"/>
        <v>0.70132325141776941</v>
      </c>
    </row>
    <row r="189" spans="1:45" x14ac:dyDescent="0.3">
      <c r="A189" s="1" t="str">
        <f t="shared" si="15"/>
        <v>DXDJ8C046BKS</v>
      </c>
      <c r="B189" s="32" t="s">
        <v>380</v>
      </c>
      <c r="C189" s="10" t="str">
        <f t="shared" si="18"/>
        <v>DJ8C0</v>
      </c>
      <c r="D189" s="10" t="s">
        <v>55</v>
      </c>
      <c r="E189" s="10" t="str">
        <f t="shared" si="16"/>
        <v>X</v>
      </c>
      <c r="F189" s="10" t="str">
        <f t="shared" si="17"/>
        <v>DJ</v>
      </c>
      <c r="G189" s="10" t="s">
        <v>56</v>
      </c>
      <c r="H189" s="4" t="s">
        <v>381</v>
      </c>
      <c r="I189" s="10" t="s">
        <v>78</v>
      </c>
      <c r="J189" s="4" t="str">
        <f t="shared" si="19"/>
        <v/>
      </c>
      <c r="K189" s="4">
        <v>1</v>
      </c>
      <c r="L189" s="30">
        <v>279000</v>
      </c>
      <c r="M189" s="78" t="s">
        <v>217</v>
      </c>
      <c r="N189" s="98" t="s">
        <v>329</v>
      </c>
      <c r="O189" s="10" t="s">
        <v>61</v>
      </c>
      <c r="P189" s="63">
        <v>100</v>
      </c>
      <c r="Q189" s="94" t="s">
        <v>330</v>
      </c>
      <c r="R189" s="63" t="s">
        <v>246</v>
      </c>
      <c r="S189" s="96" t="s">
        <v>331</v>
      </c>
      <c r="T189" s="10" t="s">
        <v>122</v>
      </c>
      <c r="U189" s="10" t="s">
        <v>332</v>
      </c>
      <c r="V189" s="10" t="s">
        <v>66</v>
      </c>
      <c r="W189" s="10"/>
      <c r="X189" s="9" t="s">
        <v>67</v>
      </c>
      <c r="Y189" s="10" t="s">
        <v>68</v>
      </c>
      <c r="Z189" s="94" t="s">
        <v>125</v>
      </c>
      <c r="AA189" s="94" t="s">
        <v>90</v>
      </c>
      <c r="AB189" s="9" t="s">
        <v>71</v>
      </c>
      <c r="AC189" s="10" t="s">
        <v>85</v>
      </c>
      <c r="AD189" s="10" t="s">
        <v>208</v>
      </c>
      <c r="AE189" s="65" t="s">
        <v>137</v>
      </c>
      <c r="AF189" s="39" t="s">
        <v>367</v>
      </c>
      <c r="AG189" s="10" t="s">
        <v>127</v>
      </c>
      <c r="AH189" s="4">
        <v>650</v>
      </c>
      <c r="AI189" s="11" t="s">
        <v>264</v>
      </c>
      <c r="AJ189" s="55" t="s">
        <v>384</v>
      </c>
      <c r="AK189" s="36">
        <v>10994</v>
      </c>
      <c r="AL189" s="30">
        <v>3067326000</v>
      </c>
      <c r="AM189" s="30">
        <v>892</v>
      </c>
      <c r="AN189" s="30">
        <v>243895770</v>
      </c>
      <c r="AO189" s="30">
        <v>3974</v>
      </c>
      <c r="AP189" s="30">
        <v>1065284249</v>
      </c>
      <c r="AQ189" s="30">
        <v>8158</v>
      </c>
      <c r="AR189" s="30">
        <v>2161266529</v>
      </c>
      <c r="AS189" s="52">
        <f t="shared" si="20"/>
        <v>0.74204111333454614</v>
      </c>
    </row>
    <row r="190" spans="1:45" x14ac:dyDescent="0.3">
      <c r="A190" s="1" t="str">
        <f t="shared" si="15"/>
        <v>DXDJ8C046GRS</v>
      </c>
      <c r="B190" s="32" t="s">
        <v>380</v>
      </c>
      <c r="C190" s="10" t="str">
        <f t="shared" si="18"/>
        <v>DJ8C0</v>
      </c>
      <c r="D190" s="10" t="s">
        <v>55</v>
      </c>
      <c r="E190" s="10" t="str">
        <f t="shared" si="16"/>
        <v>X</v>
      </c>
      <c r="F190" s="10" t="str">
        <f t="shared" si="17"/>
        <v>DJ</v>
      </c>
      <c r="G190" s="10" t="s">
        <v>56</v>
      </c>
      <c r="H190" s="4" t="s">
        <v>381</v>
      </c>
      <c r="I190" s="10" t="s">
        <v>233</v>
      </c>
      <c r="J190" s="4" t="str">
        <f t="shared" si="19"/>
        <v/>
      </c>
      <c r="K190" s="4">
        <v>1</v>
      </c>
      <c r="L190" s="30">
        <v>279000</v>
      </c>
      <c r="M190" s="78" t="s">
        <v>217</v>
      </c>
      <c r="N190" s="98" t="s">
        <v>329</v>
      </c>
      <c r="O190" s="10" t="s">
        <v>61</v>
      </c>
      <c r="P190" s="63">
        <v>100</v>
      </c>
      <c r="Q190" s="94" t="s">
        <v>330</v>
      </c>
      <c r="R190" s="63" t="s">
        <v>246</v>
      </c>
      <c r="S190" s="96" t="s">
        <v>331</v>
      </c>
      <c r="T190" s="10" t="s">
        <v>122</v>
      </c>
      <c r="U190" s="10" t="s">
        <v>332</v>
      </c>
      <c r="V190" s="10" t="s">
        <v>66</v>
      </c>
      <c r="W190" s="10"/>
      <c r="X190" s="9" t="s">
        <v>67</v>
      </c>
      <c r="Y190" s="10" t="s">
        <v>68</v>
      </c>
      <c r="Z190" s="94" t="s">
        <v>125</v>
      </c>
      <c r="AA190" s="94" t="s">
        <v>90</v>
      </c>
      <c r="AB190" s="9" t="s">
        <v>71</v>
      </c>
      <c r="AC190" s="10" t="s">
        <v>85</v>
      </c>
      <c r="AD190" s="10" t="s">
        <v>208</v>
      </c>
      <c r="AE190" s="65" t="s">
        <v>137</v>
      </c>
      <c r="AF190" s="39" t="s">
        <v>367</v>
      </c>
      <c r="AG190" s="10" t="s">
        <v>127</v>
      </c>
      <c r="AH190" s="4">
        <v>650</v>
      </c>
      <c r="AI190" s="11" t="s">
        <v>264</v>
      </c>
      <c r="AJ190" s="55" t="s">
        <v>384</v>
      </c>
      <c r="AK190" s="36">
        <v>3424</v>
      </c>
      <c r="AL190" s="30">
        <v>955296000</v>
      </c>
      <c r="AM190" s="30">
        <v>128</v>
      </c>
      <c r="AN190" s="30">
        <v>35240101</v>
      </c>
      <c r="AO190" s="30">
        <v>601</v>
      </c>
      <c r="AP190" s="30">
        <v>161025428</v>
      </c>
      <c r="AQ190" s="30">
        <v>1484</v>
      </c>
      <c r="AR190" s="30">
        <v>399102608</v>
      </c>
      <c r="AS190" s="52">
        <f t="shared" si="20"/>
        <v>0.43341121495327101</v>
      </c>
    </row>
    <row r="191" spans="1:45" x14ac:dyDescent="0.3">
      <c r="A191" s="1" t="str">
        <f t="shared" si="15"/>
        <v>DXDJ8C046IVS</v>
      </c>
      <c r="B191" s="32" t="s">
        <v>380</v>
      </c>
      <c r="C191" s="10" t="str">
        <f t="shared" si="18"/>
        <v>DJ8C0</v>
      </c>
      <c r="D191" s="10" t="s">
        <v>55</v>
      </c>
      <c r="E191" s="10" t="str">
        <f t="shared" si="16"/>
        <v>X</v>
      </c>
      <c r="F191" s="10" t="str">
        <f t="shared" si="17"/>
        <v>DJ</v>
      </c>
      <c r="G191" s="10" t="s">
        <v>56</v>
      </c>
      <c r="H191" s="4" t="s">
        <v>381</v>
      </c>
      <c r="I191" s="10" t="s">
        <v>111</v>
      </c>
      <c r="J191" s="4" t="str">
        <f t="shared" si="19"/>
        <v/>
      </c>
      <c r="K191" s="4">
        <v>1</v>
      </c>
      <c r="L191" s="30">
        <v>279000</v>
      </c>
      <c r="M191" s="78" t="s">
        <v>217</v>
      </c>
      <c r="N191" s="98" t="s">
        <v>329</v>
      </c>
      <c r="O191" s="10" t="s">
        <v>61</v>
      </c>
      <c r="P191" s="63">
        <v>100</v>
      </c>
      <c r="Q191" s="94" t="s">
        <v>330</v>
      </c>
      <c r="R191" s="63" t="s">
        <v>246</v>
      </c>
      <c r="S191" s="96" t="s">
        <v>331</v>
      </c>
      <c r="T191" s="10" t="s">
        <v>122</v>
      </c>
      <c r="U191" s="10" t="s">
        <v>332</v>
      </c>
      <c r="V191" s="10" t="s">
        <v>66</v>
      </c>
      <c r="W191" s="10"/>
      <c r="X191" s="9" t="s">
        <v>67</v>
      </c>
      <c r="Y191" s="10" t="s">
        <v>68</v>
      </c>
      <c r="Z191" s="94" t="s">
        <v>125</v>
      </c>
      <c r="AA191" s="94" t="s">
        <v>90</v>
      </c>
      <c r="AB191" s="9" t="s">
        <v>71</v>
      </c>
      <c r="AC191" s="10" t="s">
        <v>85</v>
      </c>
      <c r="AD191" s="10" t="s">
        <v>208</v>
      </c>
      <c r="AE191" s="65" t="s">
        <v>137</v>
      </c>
      <c r="AF191" s="39" t="s">
        <v>367</v>
      </c>
      <c r="AG191" s="10" t="s">
        <v>127</v>
      </c>
      <c r="AH191" s="4">
        <v>650</v>
      </c>
      <c r="AI191" s="11" t="s">
        <v>264</v>
      </c>
      <c r="AJ191" s="55" t="s">
        <v>384</v>
      </c>
      <c r="AK191" s="36">
        <v>2123</v>
      </c>
      <c r="AL191" s="30">
        <v>592317000</v>
      </c>
      <c r="AM191" s="30">
        <v>120</v>
      </c>
      <c r="AN191" s="30">
        <v>32794867</v>
      </c>
      <c r="AO191" s="30">
        <v>542</v>
      </c>
      <c r="AP191" s="30">
        <v>148120438</v>
      </c>
      <c r="AQ191" s="30">
        <v>1106</v>
      </c>
      <c r="AR191" s="30">
        <v>295487004</v>
      </c>
      <c r="AS191" s="52">
        <f t="shared" si="20"/>
        <v>0.5209609043805935</v>
      </c>
    </row>
    <row r="192" spans="1:45" x14ac:dyDescent="0.3">
      <c r="A192" s="1" t="str">
        <f t="shared" si="15"/>
        <v>DXDJ8C046GRN</v>
      </c>
      <c r="B192" s="32" t="s">
        <v>380</v>
      </c>
      <c r="C192" s="10" t="str">
        <f t="shared" si="18"/>
        <v>DJ8C0</v>
      </c>
      <c r="D192" s="10" t="s">
        <v>55</v>
      </c>
      <c r="E192" s="10" t="str">
        <f t="shared" si="16"/>
        <v>X</v>
      </c>
      <c r="F192" s="10" t="str">
        <f t="shared" si="17"/>
        <v>DJ</v>
      </c>
      <c r="G192" s="10" t="s">
        <v>56</v>
      </c>
      <c r="H192" s="4" t="s">
        <v>381</v>
      </c>
      <c r="I192" s="10" t="s">
        <v>386</v>
      </c>
      <c r="J192" s="4" t="str">
        <f t="shared" si="19"/>
        <v/>
      </c>
      <c r="K192" s="4">
        <v>1</v>
      </c>
      <c r="L192" s="30">
        <v>279000</v>
      </c>
      <c r="M192" s="78" t="s">
        <v>217</v>
      </c>
      <c r="N192" s="98" t="s">
        <v>218</v>
      </c>
      <c r="O192" s="10" t="s">
        <v>61</v>
      </c>
      <c r="P192" s="63">
        <v>100</v>
      </c>
      <c r="Q192" s="94" t="s">
        <v>219</v>
      </c>
      <c r="R192" s="63" t="s">
        <v>220</v>
      </c>
      <c r="S192" s="96" t="s">
        <v>221</v>
      </c>
      <c r="T192" s="10" t="s">
        <v>65</v>
      </c>
      <c r="U192" s="10"/>
      <c r="V192" s="10" t="s">
        <v>222</v>
      </c>
      <c r="W192" s="10"/>
      <c r="X192" s="9" t="s">
        <v>67</v>
      </c>
      <c r="Y192" s="10" t="s">
        <v>68</v>
      </c>
      <c r="Z192" s="94" t="s">
        <v>154</v>
      </c>
      <c r="AA192" s="94" t="s">
        <v>185</v>
      </c>
      <c r="AB192" s="9" t="s">
        <v>71</v>
      </c>
      <c r="AC192" s="10" t="s">
        <v>85</v>
      </c>
      <c r="AD192" s="10" t="s">
        <v>208</v>
      </c>
      <c r="AE192" s="65" t="s">
        <v>137</v>
      </c>
      <c r="AF192" s="39" t="s">
        <v>383</v>
      </c>
      <c r="AG192" s="10" t="s">
        <v>127</v>
      </c>
      <c r="AH192" s="4">
        <v>650</v>
      </c>
      <c r="AI192" s="11" t="s">
        <v>264</v>
      </c>
      <c r="AJ192" s="55" t="s">
        <v>384</v>
      </c>
      <c r="AK192" s="36">
        <v>3447</v>
      </c>
      <c r="AL192" s="30">
        <v>961713000</v>
      </c>
      <c r="AM192" s="30">
        <v>185</v>
      </c>
      <c r="AN192" s="30">
        <v>51142460</v>
      </c>
      <c r="AO192" s="30">
        <v>601</v>
      </c>
      <c r="AP192" s="30">
        <v>164886047</v>
      </c>
      <c r="AQ192" s="30">
        <v>2018</v>
      </c>
      <c r="AR192" s="30">
        <v>554972566</v>
      </c>
      <c r="AS192" s="52">
        <f t="shared" si="20"/>
        <v>0.58543661154627213</v>
      </c>
    </row>
    <row r="193" spans="1:45" x14ac:dyDescent="0.3">
      <c r="A193" s="1" t="str">
        <f t="shared" si="15"/>
        <v>DXDJ8C046BKP</v>
      </c>
      <c r="B193" s="32" t="s">
        <v>380</v>
      </c>
      <c r="C193" s="10" t="str">
        <f t="shared" si="18"/>
        <v>DJ8C0</v>
      </c>
      <c r="D193" s="10" t="s">
        <v>148</v>
      </c>
      <c r="E193" s="10" t="str">
        <f t="shared" si="16"/>
        <v>X</v>
      </c>
      <c r="F193" s="10" t="str">
        <f t="shared" si="17"/>
        <v>DJ</v>
      </c>
      <c r="G193" s="10" t="s">
        <v>56</v>
      </c>
      <c r="H193" s="4" t="s">
        <v>381</v>
      </c>
      <c r="I193" s="10" t="s">
        <v>387</v>
      </c>
      <c r="J193" s="4" t="str">
        <f t="shared" si="19"/>
        <v/>
      </c>
      <c r="K193" s="4">
        <v>1</v>
      </c>
      <c r="L193" s="30">
        <v>279000</v>
      </c>
      <c r="M193" s="78" t="s">
        <v>217</v>
      </c>
      <c r="N193" s="98" t="s">
        <v>329</v>
      </c>
      <c r="O193" s="10" t="s">
        <v>61</v>
      </c>
      <c r="P193" s="63">
        <v>100</v>
      </c>
      <c r="Q193" s="94" t="s">
        <v>330</v>
      </c>
      <c r="R193" s="63" t="s">
        <v>246</v>
      </c>
      <c r="S193" s="96" t="s">
        <v>331</v>
      </c>
      <c r="T193" s="10" t="s">
        <v>122</v>
      </c>
      <c r="U193" s="10" t="s">
        <v>332</v>
      </c>
      <c r="V193" s="10" t="s">
        <v>66</v>
      </c>
      <c r="W193" s="10"/>
      <c r="X193" s="9" t="s">
        <v>67</v>
      </c>
      <c r="Y193" s="10" t="s">
        <v>68</v>
      </c>
      <c r="Z193" s="94" t="s">
        <v>125</v>
      </c>
      <c r="AA193" s="94" t="s">
        <v>90</v>
      </c>
      <c r="AB193" s="9" t="s">
        <v>71</v>
      </c>
      <c r="AC193" s="10" t="s">
        <v>85</v>
      </c>
      <c r="AD193" s="10" t="s">
        <v>208</v>
      </c>
      <c r="AE193" s="65" t="s">
        <v>137</v>
      </c>
      <c r="AF193" s="39" t="s">
        <v>367</v>
      </c>
      <c r="AG193" s="10" t="s">
        <v>127</v>
      </c>
      <c r="AH193" s="4">
        <v>650</v>
      </c>
      <c r="AI193" s="11" t="s">
        <v>264</v>
      </c>
      <c r="AJ193" s="55" t="s">
        <v>384</v>
      </c>
      <c r="AK193" s="36">
        <v>504</v>
      </c>
      <c r="AL193" s="30">
        <v>140616000</v>
      </c>
      <c r="AM193" s="30">
        <v>36</v>
      </c>
      <c r="AN193" s="30">
        <v>9927610</v>
      </c>
      <c r="AO193" s="30">
        <v>105</v>
      </c>
      <c r="AP193" s="30">
        <v>28921595</v>
      </c>
      <c r="AQ193" s="30">
        <v>345</v>
      </c>
      <c r="AR193" s="30">
        <v>94545158</v>
      </c>
      <c r="AS193" s="52">
        <f t="shared" si="20"/>
        <v>0.68452380952380953</v>
      </c>
    </row>
    <row r="194" spans="1:45" x14ac:dyDescent="0.3">
      <c r="A194" s="1" t="str">
        <f t="shared" si="15"/>
        <v>DXDJ8C046GRP</v>
      </c>
      <c r="B194" s="32" t="s">
        <v>380</v>
      </c>
      <c r="C194" s="10" t="str">
        <f t="shared" si="18"/>
        <v>DJ8C0</v>
      </c>
      <c r="D194" s="10" t="s">
        <v>148</v>
      </c>
      <c r="E194" s="10" t="str">
        <f t="shared" si="16"/>
        <v>X</v>
      </c>
      <c r="F194" s="10" t="str">
        <f t="shared" si="17"/>
        <v>DJ</v>
      </c>
      <c r="G194" s="10" t="s">
        <v>56</v>
      </c>
      <c r="H194" s="4" t="s">
        <v>381</v>
      </c>
      <c r="I194" s="10" t="s">
        <v>388</v>
      </c>
      <c r="J194" s="4" t="str">
        <f t="shared" si="19"/>
        <v/>
      </c>
      <c r="K194" s="4">
        <v>1</v>
      </c>
      <c r="L194" s="30">
        <v>279000</v>
      </c>
      <c r="M194" s="78" t="s">
        <v>217</v>
      </c>
      <c r="N194" s="98" t="s">
        <v>329</v>
      </c>
      <c r="O194" s="10" t="s">
        <v>61</v>
      </c>
      <c r="P194" s="63">
        <v>100</v>
      </c>
      <c r="Q194" s="94" t="s">
        <v>330</v>
      </c>
      <c r="R194" s="63" t="s">
        <v>246</v>
      </c>
      <c r="S194" s="96" t="s">
        <v>331</v>
      </c>
      <c r="T194" s="10" t="s">
        <v>122</v>
      </c>
      <c r="U194" s="10" t="s">
        <v>332</v>
      </c>
      <c r="V194" s="10" t="s">
        <v>66</v>
      </c>
      <c r="W194" s="10"/>
      <c r="X194" s="9" t="s">
        <v>67</v>
      </c>
      <c r="Y194" s="10" t="s">
        <v>68</v>
      </c>
      <c r="Z194" s="94" t="s">
        <v>125</v>
      </c>
      <c r="AA194" s="94" t="s">
        <v>90</v>
      </c>
      <c r="AB194" s="9" t="s">
        <v>71</v>
      </c>
      <c r="AC194" s="10" t="s">
        <v>85</v>
      </c>
      <c r="AD194" s="10" t="s">
        <v>208</v>
      </c>
      <c r="AE194" s="65" t="s">
        <v>137</v>
      </c>
      <c r="AF194" s="39" t="s">
        <v>367</v>
      </c>
      <c r="AG194" s="10" t="s">
        <v>127</v>
      </c>
      <c r="AH194" s="4">
        <v>650</v>
      </c>
      <c r="AI194" s="11" t="s">
        <v>264</v>
      </c>
      <c r="AJ194" s="55" t="s">
        <v>384</v>
      </c>
      <c r="AK194" s="36">
        <v>1006</v>
      </c>
      <c r="AL194" s="30">
        <v>280674000</v>
      </c>
      <c r="AM194" s="30">
        <v>24</v>
      </c>
      <c r="AN194" s="30">
        <v>6543699</v>
      </c>
      <c r="AO194" s="30">
        <v>64</v>
      </c>
      <c r="AP194" s="30">
        <v>17476521</v>
      </c>
      <c r="AQ194" s="30">
        <v>341</v>
      </c>
      <c r="AR194" s="30">
        <v>92367161</v>
      </c>
      <c r="AS194" s="52">
        <f t="shared" si="20"/>
        <v>0.3389662027833002</v>
      </c>
    </row>
    <row r="195" spans="1:45" x14ac:dyDescent="0.3">
      <c r="A195" s="1" t="str">
        <f t="shared" si="15"/>
        <v>DXDJ8C046OLD</v>
      </c>
      <c r="B195" s="32" t="s">
        <v>380</v>
      </c>
      <c r="C195" s="10" t="str">
        <f t="shared" si="18"/>
        <v>DJ8C0</v>
      </c>
      <c r="D195" s="10" t="s">
        <v>148</v>
      </c>
      <c r="E195" s="10" t="str">
        <f t="shared" si="16"/>
        <v>X</v>
      </c>
      <c r="F195" s="10" t="str">
        <f t="shared" si="17"/>
        <v>DJ</v>
      </c>
      <c r="G195" s="10" t="s">
        <v>56</v>
      </c>
      <c r="H195" s="4" t="s">
        <v>381</v>
      </c>
      <c r="I195" s="10" t="s">
        <v>209</v>
      </c>
      <c r="J195" s="4" t="str">
        <f t="shared" si="19"/>
        <v/>
      </c>
      <c r="K195" s="4">
        <v>1</v>
      </c>
      <c r="L195" s="30">
        <v>279000</v>
      </c>
      <c r="M195" s="78" t="s">
        <v>217</v>
      </c>
      <c r="N195" s="98" t="s">
        <v>329</v>
      </c>
      <c r="O195" s="10" t="s">
        <v>61</v>
      </c>
      <c r="P195" s="63">
        <v>100</v>
      </c>
      <c r="Q195" s="94" t="s">
        <v>330</v>
      </c>
      <c r="R195" s="63" t="s">
        <v>246</v>
      </c>
      <c r="S195" s="96" t="s">
        <v>331</v>
      </c>
      <c r="T195" s="10" t="s">
        <v>122</v>
      </c>
      <c r="U195" s="10" t="s">
        <v>332</v>
      </c>
      <c r="V195" s="10" t="s">
        <v>66</v>
      </c>
      <c r="W195" s="10"/>
      <c r="X195" s="9" t="s">
        <v>67</v>
      </c>
      <c r="Y195" s="10" t="s">
        <v>68</v>
      </c>
      <c r="Z195" s="94" t="s">
        <v>125</v>
      </c>
      <c r="AA195" s="94" t="s">
        <v>90</v>
      </c>
      <c r="AB195" s="9" t="s">
        <v>71</v>
      </c>
      <c r="AC195" s="10" t="s">
        <v>85</v>
      </c>
      <c r="AD195" s="10" t="s">
        <v>208</v>
      </c>
      <c r="AE195" s="65" t="s">
        <v>137</v>
      </c>
      <c r="AF195" s="39" t="s">
        <v>367</v>
      </c>
      <c r="AG195" s="10" t="s">
        <v>127</v>
      </c>
      <c r="AH195" s="4">
        <v>650</v>
      </c>
      <c r="AI195" s="11" t="s">
        <v>264</v>
      </c>
      <c r="AJ195" s="55" t="s">
        <v>384</v>
      </c>
      <c r="AK195" s="36">
        <v>1012</v>
      </c>
      <c r="AL195" s="30">
        <v>282348000</v>
      </c>
      <c r="AM195" s="30">
        <v>24</v>
      </c>
      <c r="AN195" s="30">
        <v>6584472</v>
      </c>
      <c r="AO195" s="30">
        <v>24</v>
      </c>
      <c r="AP195" s="30">
        <v>6584472</v>
      </c>
      <c r="AQ195" s="30">
        <v>390</v>
      </c>
      <c r="AR195" s="30">
        <v>100135156</v>
      </c>
      <c r="AS195" s="52">
        <f t="shared" si="20"/>
        <v>0.38537549407114624</v>
      </c>
    </row>
    <row r="196" spans="1:45" x14ac:dyDescent="0.3">
      <c r="A196" s="1" t="str">
        <f t="shared" si="15"/>
        <v>DXDJ8G046GRN</v>
      </c>
      <c r="B196" s="32" t="s">
        <v>389</v>
      </c>
      <c r="C196" s="10" t="str">
        <f t="shared" si="18"/>
        <v>DJ8G0</v>
      </c>
      <c r="D196" s="10" t="s">
        <v>148</v>
      </c>
      <c r="E196" s="10" t="str">
        <f t="shared" si="16"/>
        <v>X</v>
      </c>
      <c r="F196" s="10" t="str">
        <f t="shared" si="17"/>
        <v>DJ</v>
      </c>
      <c r="G196" s="10" t="s">
        <v>56</v>
      </c>
      <c r="H196" s="4" t="s">
        <v>381</v>
      </c>
      <c r="I196" s="10" t="s">
        <v>386</v>
      </c>
      <c r="J196" s="4">
        <f t="shared" si="19"/>
        <v>1</v>
      </c>
      <c r="K196" s="4">
        <v>1</v>
      </c>
      <c r="L196" s="30">
        <v>279000</v>
      </c>
      <c r="M196" s="78" t="s">
        <v>390</v>
      </c>
      <c r="N196" s="98" t="s">
        <v>391</v>
      </c>
      <c r="O196" s="10" t="s">
        <v>61</v>
      </c>
      <c r="P196" s="63">
        <v>100</v>
      </c>
      <c r="Q196" s="94" t="s">
        <v>62</v>
      </c>
      <c r="R196" s="63" t="s">
        <v>392</v>
      </c>
      <c r="S196" s="96" t="s">
        <v>72</v>
      </c>
      <c r="T196" s="10" t="s">
        <v>65</v>
      </c>
      <c r="U196" s="10"/>
      <c r="V196" s="10" t="s">
        <v>222</v>
      </c>
      <c r="W196" s="10"/>
      <c r="X196" s="9" t="s">
        <v>67</v>
      </c>
      <c r="Y196" s="10" t="s">
        <v>68</v>
      </c>
      <c r="Z196" s="94" t="s">
        <v>125</v>
      </c>
      <c r="AA196" s="94" t="s">
        <v>90</v>
      </c>
      <c r="AB196" s="9" t="s">
        <v>71</v>
      </c>
      <c r="AC196" s="10" t="s">
        <v>62</v>
      </c>
      <c r="AD196" s="10" t="s">
        <v>72</v>
      </c>
      <c r="AE196" s="65" t="s">
        <v>137</v>
      </c>
      <c r="AF196" s="39" t="s">
        <v>383</v>
      </c>
      <c r="AG196" s="10" t="s">
        <v>127</v>
      </c>
      <c r="AH196" s="4">
        <v>650</v>
      </c>
      <c r="AI196" s="11" t="s">
        <v>264</v>
      </c>
      <c r="AJ196" s="55" t="s">
        <v>384</v>
      </c>
      <c r="AK196" s="36">
        <v>2500</v>
      </c>
      <c r="AL196" s="30">
        <v>697500000</v>
      </c>
      <c r="AM196" s="30">
        <v>45</v>
      </c>
      <c r="AN196" s="30">
        <v>12545000</v>
      </c>
      <c r="AO196" s="30">
        <v>164</v>
      </c>
      <c r="AP196" s="30">
        <v>45367196</v>
      </c>
      <c r="AQ196" s="30">
        <v>681</v>
      </c>
      <c r="AR196" s="30">
        <v>187999818</v>
      </c>
      <c r="AS196" s="52">
        <f t="shared" si="20"/>
        <v>0.27239999999999998</v>
      </c>
    </row>
    <row r="197" spans="1:45" x14ac:dyDescent="0.3">
      <c r="A197" s="1" t="str">
        <f t="shared" ref="A197:A258" si="22">B197&amp;I197</f>
        <v>DWDJ8D046BKS</v>
      </c>
      <c r="B197" s="32" t="s">
        <v>393</v>
      </c>
      <c r="C197" s="10" t="str">
        <f t="shared" si="18"/>
        <v>DJ8D0</v>
      </c>
      <c r="D197" s="10" t="s">
        <v>55</v>
      </c>
      <c r="E197" s="10" t="str">
        <f t="shared" ref="E197:E258" si="23">MID($B197,2,1)</f>
        <v>W</v>
      </c>
      <c r="F197" s="10" t="str">
        <f t="shared" ref="F197:F258" si="24">MID($B197,3,2)</f>
        <v>DJ</v>
      </c>
      <c r="G197" s="10" t="s">
        <v>56</v>
      </c>
      <c r="H197" s="4" t="s">
        <v>394</v>
      </c>
      <c r="I197" s="10" t="s">
        <v>78</v>
      </c>
      <c r="J197" s="4">
        <f t="shared" si="19"/>
        <v>1</v>
      </c>
      <c r="K197" s="4">
        <v>1</v>
      </c>
      <c r="L197" s="30">
        <v>279000</v>
      </c>
      <c r="M197" s="78" t="s">
        <v>217</v>
      </c>
      <c r="N197" s="98" t="s">
        <v>249</v>
      </c>
      <c r="O197" s="10" t="s">
        <v>61</v>
      </c>
      <c r="P197" s="63">
        <v>100</v>
      </c>
      <c r="Q197" s="94" t="s">
        <v>119</v>
      </c>
      <c r="R197" s="63" t="s">
        <v>246</v>
      </c>
      <c r="S197" s="96" t="s">
        <v>121</v>
      </c>
      <c r="T197" s="10" t="s">
        <v>122</v>
      </c>
      <c r="U197" s="10" t="s">
        <v>250</v>
      </c>
      <c r="V197" s="10" t="s">
        <v>66</v>
      </c>
      <c r="W197" s="10"/>
      <c r="X197" s="9" t="s">
        <v>67</v>
      </c>
      <c r="Y197" s="10" t="s">
        <v>68</v>
      </c>
      <c r="Z197" s="94" t="s">
        <v>125</v>
      </c>
      <c r="AA197" s="94" t="s">
        <v>90</v>
      </c>
      <c r="AB197" s="9" t="s">
        <v>71</v>
      </c>
      <c r="AC197" s="10" t="s">
        <v>85</v>
      </c>
      <c r="AD197" s="10" t="s">
        <v>208</v>
      </c>
      <c r="AE197" s="65" t="s">
        <v>137</v>
      </c>
      <c r="AF197" s="39" t="s">
        <v>395</v>
      </c>
      <c r="AG197" s="10" t="s">
        <v>127</v>
      </c>
      <c r="AH197" s="4">
        <v>650</v>
      </c>
      <c r="AI197" s="11" t="s">
        <v>128</v>
      </c>
      <c r="AJ197" s="4" t="s">
        <v>77</v>
      </c>
      <c r="AK197" s="36">
        <v>4538</v>
      </c>
      <c r="AL197" s="30">
        <v>1266102000</v>
      </c>
      <c r="AM197" s="30">
        <v>293</v>
      </c>
      <c r="AN197" s="30">
        <v>81070404</v>
      </c>
      <c r="AO197" s="30">
        <v>1256</v>
      </c>
      <c r="AP197" s="30">
        <v>346168494</v>
      </c>
      <c r="AQ197" s="30">
        <v>2779</v>
      </c>
      <c r="AR197" s="30">
        <v>757707656</v>
      </c>
      <c r="AS197" s="52">
        <f t="shared" si="20"/>
        <v>0.61238431026884088</v>
      </c>
    </row>
    <row r="198" spans="1:45" x14ac:dyDescent="0.3">
      <c r="A198" s="1" t="str">
        <f t="shared" si="22"/>
        <v>DWDJ8D046BKN</v>
      </c>
      <c r="B198" s="32" t="s">
        <v>393</v>
      </c>
      <c r="C198" s="10" t="str">
        <f t="shared" ref="C198:C258" si="25">MID(B198,3,5)</f>
        <v>DJ8D0</v>
      </c>
      <c r="D198" s="10" t="s">
        <v>55</v>
      </c>
      <c r="E198" s="10" t="str">
        <f t="shared" si="23"/>
        <v>W</v>
      </c>
      <c r="F198" s="10" t="str">
        <f t="shared" si="24"/>
        <v>DJ</v>
      </c>
      <c r="G198" s="10" t="s">
        <v>56</v>
      </c>
      <c r="H198" s="4" t="s">
        <v>394</v>
      </c>
      <c r="I198" s="10" t="s">
        <v>140</v>
      </c>
      <c r="J198" s="4" t="str">
        <f t="shared" ref="J198:J258" si="26">IF(B198=B197,"",1)</f>
        <v/>
      </c>
      <c r="K198" s="4">
        <v>1</v>
      </c>
      <c r="L198" s="30">
        <v>279000</v>
      </c>
      <c r="M198" s="78" t="s">
        <v>217</v>
      </c>
      <c r="N198" s="98" t="s">
        <v>218</v>
      </c>
      <c r="O198" s="10" t="s">
        <v>61</v>
      </c>
      <c r="P198" s="63">
        <v>100</v>
      </c>
      <c r="Q198" s="94" t="s">
        <v>219</v>
      </c>
      <c r="R198" s="63" t="s">
        <v>220</v>
      </c>
      <c r="S198" s="96" t="s">
        <v>221</v>
      </c>
      <c r="T198" s="10" t="s">
        <v>65</v>
      </c>
      <c r="U198" s="10"/>
      <c r="V198" s="10" t="s">
        <v>222</v>
      </c>
      <c r="W198" s="10"/>
      <c r="X198" s="9" t="s">
        <v>67</v>
      </c>
      <c r="Y198" s="10" t="s">
        <v>68</v>
      </c>
      <c r="Z198" s="94" t="s">
        <v>154</v>
      </c>
      <c r="AA198" s="94" t="s">
        <v>185</v>
      </c>
      <c r="AB198" s="9" t="s">
        <v>71</v>
      </c>
      <c r="AC198" s="10" t="s">
        <v>85</v>
      </c>
      <c r="AD198" s="10" t="s">
        <v>208</v>
      </c>
      <c r="AE198" s="65" t="s">
        <v>137</v>
      </c>
      <c r="AF198" s="39" t="s">
        <v>395</v>
      </c>
      <c r="AG198" s="10" t="s">
        <v>127</v>
      </c>
      <c r="AH198" s="4">
        <v>650</v>
      </c>
      <c r="AI198" s="11" t="s">
        <v>128</v>
      </c>
      <c r="AJ198" s="4" t="s">
        <v>77</v>
      </c>
      <c r="AK198" s="36">
        <v>3504</v>
      </c>
      <c r="AL198" s="30">
        <v>977616000</v>
      </c>
      <c r="AM198" s="30">
        <v>355</v>
      </c>
      <c r="AN198" s="30">
        <v>97658748</v>
      </c>
      <c r="AO198" s="30">
        <v>1765</v>
      </c>
      <c r="AP198" s="30">
        <v>484729724</v>
      </c>
      <c r="AQ198" s="30">
        <v>3017</v>
      </c>
      <c r="AR198" s="30">
        <v>820563775</v>
      </c>
      <c r="AS198" s="52">
        <f t="shared" ref="AS198:AS258" si="27">AQ198/AK198</f>
        <v>0.86101598173515981</v>
      </c>
    </row>
    <row r="199" spans="1:45" x14ac:dyDescent="0.3">
      <c r="A199" s="1" t="str">
        <f t="shared" si="22"/>
        <v>DWDJ8D046GRN</v>
      </c>
      <c r="B199" s="32" t="s">
        <v>393</v>
      </c>
      <c r="C199" s="10" t="str">
        <f t="shared" si="25"/>
        <v>DJ8D0</v>
      </c>
      <c r="D199" s="10" t="s">
        <v>55</v>
      </c>
      <c r="E199" s="10" t="str">
        <f t="shared" si="23"/>
        <v>W</v>
      </c>
      <c r="F199" s="10" t="str">
        <f t="shared" si="24"/>
        <v>DJ</v>
      </c>
      <c r="G199" s="10" t="s">
        <v>56</v>
      </c>
      <c r="H199" s="4" t="s">
        <v>394</v>
      </c>
      <c r="I199" s="10" t="s">
        <v>386</v>
      </c>
      <c r="J199" s="4" t="str">
        <f t="shared" si="26"/>
        <v/>
      </c>
      <c r="K199" s="4">
        <v>1</v>
      </c>
      <c r="L199" s="30">
        <v>279000</v>
      </c>
      <c r="M199" s="78" t="s">
        <v>217</v>
      </c>
      <c r="N199" s="98" t="s">
        <v>218</v>
      </c>
      <c r="O199" s="10" t="s">
        <v>61</v>
      </c>
      <c r="P199" s="63">
        <v>100</v>
      </c>
      <c r="Q199" s="94" t="s">
        <v>219</v>
      </c>
      <c r="R199" s="63" t="s">
        <v>220</v>
      </c>
      <c r="S199" s="96" t="s">
        <v>221</v>
      </c>
      <c r="T199" s="10" t="s">
        <v>65</v>
      </c>
      <c r="U199" s="10"/>
      <c r="V199" s="10" t="s">
        <v>222</v>
      </c>
      <c r="W199" s="10"/>
      <c r="X199" s="9" t="s">
        <v>67</v>
      </c>
      <c r="Y199" s="10" t="s">
        <v>68</v>
      </c>
      <c r="Z199" s="94" t="s">
        <v>154</v>
      </c>
      <c r="AA199" s="94" t="s">
        <v>185</v>
      </c>
      <c r="AB199" s="9" t="s">
        <v>71</v>
      </c>
      <c r="AC199" s="10" t="s">
        <v>85</v>
      </c>
      <c r="AD199" s="10" t="s">
        <v>208</v>
      </c>
      <c r="AE199" s="65" t="s">
        <v>137</v>
      </c>
      <c r="AF199" s="39" t="s">
        <v>395</v>
      </c>
      <c r="AG199" s="10" t="s">
        <v>127</v>
      </c>
      <c r="AH199" s="4">
        <v>650</v>
      </c>
      <c r="AI199" s="11" t="s">
        <v>128</v>
      </c>
      <c r="AJ199" s="4" t="s">
        <v>77</v>
      </c>
      <c r="AK199" s="36">
        <v>1009</v>
      </c>
      <c r="AL199" s="30">
        <v>281511000</v>
      </c>
      <c r="AM199" s="30">
        <v>52</v>
      </c>
      <c r="AN199" s="30">
        <v>14333547</v>
      </c>
      <c r="AO199" s="30">
        <v>228</v>
      </c>
      <c r="AP199" s="30">
        <v>62988650</v>
      </c>
      <c r="AQ199" s="30">
        <v>489</v>
      </c>
      <c r="AR199" s="30">
        <v>133230442</v>
      </c>
      <c r="AS199" s="52">
        <f t="shared" si="27"/>
        <v>0.48463825569871161</v>
      </c>
    </row>
    <row r="200" spans="1:45" x14ac:dyDescent="0.3">
      <c r="A200" s="1" t="str">
        <f t="shared" si="22"/>
        <v>DWDJ8D046DMS</v>
      </c>
      <c r="B200" s="32" t="s">
        <v>393</v>
      </c>
      <c r="C200" s="10" t="str">
        <f t="shared" si="25"/>
        <v>DJ8D0</v>
      </c>
      <c r="D200" s="10" t="s">
        <v>55</v>
      </c>
      <c r="E200" s="10" t="str">
        <f t="shared" si="23"/>
        <v>W</v>
      </c>
      <c r="F200" s="10" t="str">
        <f t="shared" si="24"/>
        <v>DJ</v>
      </c>
      <c r="G200" s="10" t="s">
        <v>56</v>
      </c>
      <c r="H200" s="4" t="s">
        <v>394</v>
      </c>
      <c r="I200" s="10" t="s">
        <v>396</v>
      </c>
      <c r="J200" s="4" t="str">
        <f t="shared" si="26"/>
        <v/>
      </c>
      <c r="K200" s="4">
        <v>1</v>
      </c>
      <c r="L200" s="30">
        <v>279000</v>
      </c>
      <c r="M200" s="78" t="s">
        <v>217</v>
      </c>
      <c r="N200" s="98" t="s">
        <v>249</v>
      </c>
      <c r="O200" s="10" t="s">
        <v>61</v>
      </c>
      <c r="P200" s="63">
        <v>100</v>
      </c>
      <c r="Q200" s="94" t="s">
        <v>119</v>
      </c>
      <c r="R200" s="63" t="s">
        <v>246</v>
      </c>
      <c r="S200" s="96" t="s">
        <v>121</v>
      </c>
      <c r="T200" s="10" t="s">
        <v>122</v>
      </c>
      <c r="U200" s="10" t="s">
        <v>250</v>
      </c>
      <c r="V200" s="10" t="s">
        <v>66</v>
      </c>
      <c r="W200" s="10"/>
      <c r="X200" s="9" t="s">
        <v>67</v>
      </c>
      <c r="Y200" s="10" t="s">
        <v>68</v>
      </c>
      <c r="Z200" s="94" t="s">
        <v>125</v>
      </c>
      <c r="AA200" s="94" t="s">
        <v>90</v>
      </c>
      <c r="AB200" s="9" t="s">
        <v>71</v>
      </c>
      <c r="AC200" s="10" t="s">
        <v>85</v>
      </c>
      <c r="AD200" s="10" t="s">
        <v>208</v>
      </c>
      <c r="AE200" s="65" t="s">
        <v>137</v>
      </c>
      <c r="AF200" s="39" t="s">
        <v>395</v>
      </c>
      <c r="AG200" s="10" t="s">
        <v>127</v>
      </c>
      <c r="AH200" s="4">
        <v>650</v>
      </c>
      <c r="AI200" s="11" t="s">
        <v>128</v>
      </c>
      <c r="AJ200" s="4" t="s">
        <v>77</v>
      </c>
      <c r="AK200" s="36">
        <v>1009</v>
      </c>
      <c r="AL200" s="30">
        <v>281511000</v>
      </c>
      <c r="AM200" s="30">
        <v>11</v>
      </c>
      <c r="AN200" s="30">
        <v>2982000</v>
      </c>
      <c r="AO200" s="30">
        <v>35</v>
      </c>
      <c r="AP200" s="30">
        <v>9610100</v>
      </c>
      <c r="AQ200" s="30">
        <v>93</v>
      </c>
      <c r="AR200" s="30">
        <v>25295304</v>
      </c>
      <c r="AS200" s="52">
        <f t="shared" si="27"/>
        <v>9.2170465807730431E-2</v>
      </c>
    </row>
    <row r="201" spans="1:45" x14ac:dyDescent="0.3">
      <c r="A201" s="1" t="str">
        <f t="shared" si="22"/>
        <v>DWDJ8D046CRS</v>
      </c>
      <c r="B201" s="32" t="s">
        <v>393</v>
      </c>
      <c r="C201" s="10" t="str">
        <f t="shared" si="25"/>
        <v>DJ8D0</v>
      </c>
      <c r="D201" s="10" t="s">
        <v>55</v>
      </c>
      <c r="E201" s="10" t="str">
        <f t="shared" si="23"/>
        <v>W</v>
      </c>
      <c r="F201" s="10" t="str">
        <f t="shared" si="24"/>
        <v>DJ</v>
      </c>
      <c r="G201" s="10" t="s">
        <v>56</v>
      </c>
      <c r="H201" s="4" t="s">
        <v>394</v>
      </c>
      <c r="I201" s="10" t="s">
        <v>79</v>
      </c>
      <c r="J201" s="4" t="str">
        <f t="shared" si="26"/>
        <v/>
      </c>
      <c r="K201" s="4">
        <v>1</v>
      </c>
      <c r="L201" s="30">
        <v>279000</v>
      </c>
      <c r="M201" s="78" t="s">
        <v>217</v>
      </c>
      <c r="N201" s="98" t="s">
        <v>249</v>
      </c>
      <c r="O201" s="10" t="s">
        <v>61</v>
      </c>
      <c r="P201" s="63">
        <v>100</v>
      </c>
      <c r="Q201" s="94" t="s">
        <v>119</v>
      </c>
      <c r="R201" s="63" t="s">
        <v>246</v>
      </c>
      <c r="S201" s="96" t="s">
        <v>121</v>
      </c>
      <c r="T201" s="10" t="s">
        <v>122</v>
      </c>
      <c r="U201" s="10" t="s">
        <v>250</v>
      </c>
      <c r="V201" s="10" t="s">
        <v>66</v>
      </c>
      <c r="W201" s="10"/>
      <c r="X201" s="9" t="s">
        <v>67</v>
      </c>
      <c r="Y201" s="10" t="s">
        <v>68</v>
      </c>
      <c r="Z201" s="94" t="s">
        <v>125</v>
      </c>
      <c r="AA201" s="94" t="s">
        <v>90</v>
      </c>
      <c r="AB201" s="9" t="s">
        <v>71</v>
      </c>
      <c r="AC201" s="10" t="s">
        <v>85</v>
      </c>
      <c r="AD201" s="10" t="s">
        <v>208</v>
      </c>
      <c r="AE201" s="65" t="s">
        <v>137</v>
      </c>
      <c r="AF201" s="39" t="s">
        <v>395</v>
      </c>
      <c r="AG201" s="10" t="s">
        <v>127</v>
      </c>
      <c r="AH201" s="4">
        <v>650</v>
      </c>
      <c r="AI201" s="11" t="s">
        <v>128</v>
      </c>
      <c r="AJ201" s="4" t="s">
        <v>77</v>
      </c>
      <c r="AK201" s="36">
        <v>2976</v>
      </c>
      <c r="AL201" s="30">
        <v>830304000</v>
      </c>
      <c r="AM201" s="30">
        <v>178</v>
      </c>
      <c r="AN201" s="30">
        <v>49405604</v>
      </c>
      <c r="AO201" s="30">
        <v>803</v>
      </c>
      <c r="AP201" s="30">
        <v>221177701</v>
      </c>
      <c r="AQ201" s="30">
        <v>1547</v>
      </c>
      <c r="AR201" s="30">
        <v>422045243</v>
      </c>
      <c r="AS201" s="52">
        <f t="shared" si="27"/>
        <v>0.51982526881720426</v>
      </c>
    </row>
    <row r="202" spans="1:45" x14ac:dyDescent="0.3">
      <c r="A202" s="1" t="str">
        <f t="shared" si="22"/>
        <v>DWDJ8D046BRD</v>
      </c>
      <c r="B202" s="32" t="s">
        <v>393</v>
      </c>
      <c r="C202" s="10" t="str">
        <f t="shared" si="25"/>
        <v>DJ8D0</v>
      </c>
      <c r="D202" s="10" t="s">
        <v>55</v>
      </c>
      <c r="E202" s="10" t="str">
        <f t="shared" si="23"/>
        <v>W</v>
      </c>
      <c r="F202" s="10" t="str">
        <f t="shared" si="24"/>
        <v>DJ</v>
      </c>
      <c r="G202" s="10" t="s">
        <v>56</v>
      </c>
      <c r="H202" s="4" t="s">
        <v>394</v>
      </c>
      <c r="I202" s="10" t="s">
        <v>159</v>
      </c>
      <c r="J202" s="4" t="str">
        <f t="shared" si="26"/>
        <v/>
      </c>
      <c r="K202" s="4">
        <v>1</v>
      </c>
      <c r="L202" s="30">
        <v>279000</v>
      </c>
      <c r="M202" s="78" t="s">
        <v>217</v>
      </c>
      <c r="N202" s="98" t="s">
        <v>249</v>
      </c>
      <c r="O202" s="10" t="s">
        <v>61</v>
      </c>
      <c r="P202" s="63">
        <v>100</v>
      </c>
      <c r="Q202" s="94" t="s">
        <v>119</v>
      </c>
      <c r="R202" s="63" t="s">
        <v>246</v>
      </c>
      <c r="S202" s="96" t="s">
        <v>121</v>
      </c>
      <c r="T202" s="10" t="s">
        <v>122</v>
      </c>
      <c r="U202" s="10" t="s">
        <v>250</v>
      </c>
      <c r="V202" s="10" t="s">
        <v>66</v>
      </c>
      <c r="W202" s="10"/>
      <c r="X202" s="9" t="s">
        <v>67</v>
      </c>
      <c r="Y202" s="10" t="s">
        <v>68</v>
      </c>
      <c r="Z202" s="94" t="s">
        <v>125</v>
      </c>
      <c r="AA202" s="94" t="s">
        <v>90</v>
      </c>
      <c r="AB202" s="9" t="s">
        <v>71</v>
      </c>
      <c r="AC202" s="10" t="s">
        <v>85</v>
      </c>
      <c r="AD202" s="10" t="s">
        <v>208</v>
      </c>
      <c r="AE202" s="65" t="s">
        <v>137</v>
      </c>
      <c r="AF202" s="39" t="s">
        <v>395</v>
      </c>
      <c r="AG202" s="10" t="s">
        <v>127</v>
      </c>
      <c r="AH202" s="4">
        <v>650</v>
      </c>
      <c r="AI202" s="11" t="s">
        <v>128</v>
      </c>
      <c r="AJ202" s="4" t="s">
        <v>77</v>
      </c>
      <c r="AK202" s="36">
        <v>1980</v>
      </c>
      <c r="AL202" s="30">
        <v>552420000</v>
      </c>
      <c r="AM202" s="30">
        <v>111</v>
      </c>
      <c r="AN202" s="30">
        <v>30715400</v>
      </c>
      <c r="AO202" s="30">
        <v>504</v>
      </c>
      <c r="AP202" s="30">
        <v>138740220</v>
      </c>
      <c r="AQ202" s="30">
        <v>1021</v>
      </c>
      <c r="AR202" s="30">
        <v>279651535</v>
      </c>
      <c r="AS202" s="52">
        <f t="shared" si="27"/>
        <v>0.5156565656565657</v>
      </c>
    </row>
    <row r="203" spans="1:45" x14ac:dyDescent="0.3">
      <c r="A203" s="1" t="str">
        <f t="shared" si="22"/>
        <v>DWDJ8D046CRN</v>
      </c>
      <c r="B203" s="32" t="s">
        <v>393</v>
      </c>
      <c r="C203" s="10" t="str">
        <f t="shared" si="25"/>
        <v>DJ8D0</v>
      </c>
      <c r="D203" s="10" t="s">
        <v>148</v>
      </c>
      <c r="E203" s="10" t="str">
        <f t="shared" si="23"/>
        <v>W</v>
      </c>
      <c r="F203" s="10" t="str">
        <f t="shared" si="24"/>
        <v>DJ</v>
      </c>
      <c r="G203" s="10" t="s">
        <v>56</v>
      </c>
      <c r="H203" s="4" t="s">
        <v>397</v>
      </c>
      <c r="I203" s="10" t="s">
        <v>176</v>
      </c>
      <c r="J203" s="4" t="str">
        <f t="shared" si="26"/>
        <v/>
      </c>
      <c r="K203" s="4">
        <v>1</v>
      </c>
      <c r="L203" s="30">
        <v>279000</v>
      </c>
      <c r="M203" s="78" t="s">
        <v>217</v>
      </c>
      <c r="N203" s="98" t="s">
        <v>218</v>
      </c>
      <c r="O203" s="10" t="s">
        <v>61</v>
      </c>
      <c r="P203" s="63">
        <v>100</v>
      </c>
      <c r="Q203" s="94" t="s">
        <v>219</v>
      </c>
      <c r="R203" s="63" t="s">
        <v>220</v>
      </c>
      <c r="S203" s="96" t="s">
        <v>221</v>
      </c>
      <c r="T203" s="10" t="s">
        <v>65</v>
      </c>
      <c r="U203" s="10"/>
      <c r="V203" s="10" t="s">
        <v>222</v>
      </c>
      <c r="W203" s="10"/>
      <c r="X203" s="9" t="s">
        <v>67</v>
      </c>
      <c r="Y203" s="10" t="s">
        <v>68</v>
      </c>
      <c r="Z203" s="94" t="s">
        <v>154</v>
      </c>
      <c r="AA203" s="94" t="s">
        <v>185</v>
      </c>
      <c r="AB203" s="9" t="s">
        <v>71</v>
      </c>
      <c r="AC203" s="10" t="s">
        <v>85</v>
      </c>
      <c r="AD203" s="10" t="s">
        <v>208</v>
      </c>
      <c r="AE203" s="65" t="s">
        <v>137</v>
      </c>
      <c r="AF203" s="39" t="s">
        <v>395</v>
      </c>
      <c r="AG203" s="10" t="s">
        <v>127</v>
      </c>
      <c r="AH203" s="4">
        <v>650</v>
      </c>
      <c r="AI203" s="11" t="s">
        <v>128</v>
      </c>
      <c r="AJ203" s="4" t="s">
        <v>77</v>
      </c>
      <c r="AK203" s="36">
        <v>606</v>
      </c>
      <c r="AL203" s="30">
        <v>169074000</v>
      </c>
      <c r="AM203" s="30">
        <v>33</v>
      </c>
      <c r="AN203" s="30">
        <v>9177000</v>
      </c>
      <c r="AO203" s="30">
        <v>180</v>
      </c>
      <c r="AP203" s="30">
        <v>49994760</v>
      </c>
      <c r="AQ203" s="30">
        <v>250</v>
      </c>
      <c r="AR203" s="30">
        <v>69053660</v>
      </c>
      <c r="AS203" s="52">
        <f t="shared" si="27"/>
        <v>0.41254125412541254</v>
      </c>
    </row>
    <row r="204" spans="1:45" x14ac:dyDescent="0.3">
      <c r="A204" s="1" t="str">
        <f t="shared" si="22"/>
        <v>DWDJ8D046PPN</v>
      </c>
      <c r="B204" s="32" t="s">
        <v>398</v>
      </c>
      <c r="C204" s="10" t="str">
        <f t="shared" si="25"/>
        <v>DJ8D0</v>
      </c>
      <c r="D204" s="10" t="s">
        <v>148</v>
      </c>
      <c r="E204" s="10" t="str">
        <f t="shared" si="23"/>
        <v>W</v>
      </c>
      <c r="F204" s="10" t="str">
        <f t="shared" si="24"/>
        <v>DJ</v>
      </c>
      <c r="G204" s="10" t="s">
        <v>56</v>
      </c>
      <c r="H204" s="4" t="s">
        <v>394</v>
      </c>
      <c r="I204" s="10" t="s">
        <v>399</v>
      </c>
      <c r="J204" s="4" t="str">
        <f t="shared" si="26"/>
        <v/>
      </c>
      <c r="K204" s="4">
        <v>1</v>
      </c>
      <c r="L204" s="30">
        <v>279000</v>
      </c>
      <c r="M204" s="78" t="s">
        <v>390</v>
      </c>
      <c r="N204" s="98" t="s">
        <v>391</v>
      </c>
      <c r="O204" s="10" t="s">
        <v>61</v>
      </c>
      <c r="P204" s="63">
        <v>100</v>
      </c>
      <c r="Q204" s="94" t="s">
        <v>62</v>
      </c>
      <c r="R204" s="63" t="s">
        <v>392</v>
      </c>
      <c r="S204" s="96" t="s">
        <v>72</v>
      </c>
      <c r="T204" s="10" t="s">
        <v>65</v>
      </c>
      <c r="U204" s="10"/>
      <c r="V204" s="10" t="s">
        <v>222</v>
      </c>
      <c r="W204" s="10"/>
      <c r="X204" s="9" t="s">
        <v>67</v>
      </c>
      <c r="Y204" s="10" t="s">
        <v>68</v>
      </c>
      <c r="Z204" s="94" t="s">
        <v>154</v>
      </c>
      <c r="AA204" s="94" t="s">
        <v>185</v>
      </c>
      <c r="AB204" s="9" t="s">
        <v>71</v>
      </c>
      <c r="AC204" s="10" t="s">
        <v>85</v>
      </c>
      <c r="AD204" s="10" t="s">
        <v>208</v>
      </c>
      <c r="AE204" s="65" t="s">
        <v>137</v>
      </c>
      <c r="AF204" s="39" t="s">
        <v>395</v>
      </c>
      <c r="AG204" s="10" t="s">
        <v>127</v>
      </c>
      <c r="AH204" s="4">
        <v>650</v>
      </c>
      <c r="AI204" s="11" t="s">
        <v>128</v>
      </c>
      <c r="AJ204" s="4" t="s">
        <v>77</v>
      </c>
      <c r="AK204" s="36">
        <v>809</v>
      </c>
      <c r="AL204" s="30">
        <v>225711000</v>
      </c>
      <c r="AM204" s="30">
        <v>0</v>
      </c>
      <c r="AN204" s="30">
        <v>0</v>
      </c>
      <c r="AO204" s="30">
        <v>0</v>
      </c>
      <c r="AP204" s="30">
        <v>0</v>
      </c>
      <c r="AQ204" s="30">
        <v>24</v>
      </c>
      <c r="AR204" s="30">
        <v>6274800</v>
      </c>
      <c r="AS204" s="52">
        <f t="shared" si="27"/>
        <v>2.9666254635352288E-2</v>
      </c>
    </row>
    <row r="205" spans="1:45" x14ac:dyDescent="0.3">
      <c r="A205" s="1" t="str">
        <f t="shared" si="22"/>
        <v>DMDJ8E046GRD</v>
      </c>
      <c r="B205" s="32" t="s">
        <v>400</v>
      </c>
      <c r="C205" s="10" t="str">
        <f t="shared" si="25"/>
        <v>DJ8E0</v>
      </c>
      <c r="D205" s="10" t="s">
        <v>55</v>
      </c>
      <c r="E205" s="10" t="str">
        <f t="shared" si="23"/>
        <v>M</v>
      </c>
      <c r="F205" s="10" t="str">
        <f t="shared" si="24"/>
        <v>DJ</v>
      </c>
      <c r="G205" s="10" t="s">
        <v>56</v>
      </c>
      <c r="H205" s="4" t="s">
        <v>401</v>
      </c>
      <c r="I205" s="10" t="s">
        <v>215</v>
      </c>
      <c r="J205" s="4">
        <f t="shared" si="26"/>
        <v>1</v>
      </c>
      <c r="K205" s="4">
        <v>1</v>
      </c>
      <c r="L205" s="30">
        <v>359000</v>
      </c>
      <c r="M205" s="78" t="s">
        <v>217</v>
      </c>
      <c r="N205" s="98" t="s">
        <v>329</v>
      </c>
      <c r="O205" s="10" t="s">
        <v>61</v>
      </c>
      <c r="P205" s="63">
        <v>100</v>
      </c>
      <c r="Q205" s="94" t="s">
        <v>330</v>
      </c>
      <c r="R205" s="63" t="s">
        <v>246</v>
      </c>
      <c r="S205" s="96" t="s">
        <v>331</v>
      </c>
      <c r="T205" s="10" t="s">
        <v>122</v>
      </c>
      <c r="U205" s="10" t="s">
        <v>332</v>
      </c>
      <c r="V205" s="10" t="s">
        <v>66</v>
      </c>
      <c r="W205" s="10"/>
      <c r="X205" s="9" t="s">
        <v>67</v>
      </c>
      <c r="Y205" s="10" t="s">
        <v>68</v>
      </c>
      <c r="Z205" s="94" t="s">
        <v>125</v>
      </c>
      <c r="AA205" s="94" t="s">
        <v>90</v>
      </c>
      <c r="AB205" s="9" t="s">
        <v>71</v>
      </c>
      <c r="AC205" s="10" t="s">
        <v>85</v>
      </c>
      <c r="AD205" s="10" t="s">
        <v>208</v>
      </c>
      <c r="AE205" s="65" t="s">
        <v>137</v>
      </c>
      <c r="AF205" s="39" t="s">
        <v>402</v>
      </c>
      <c r="AG205" s="10" t="s">
        <v>127</v>
      </c>
      <c r="AH205" s="4">
        <v>650</v>
      </c>
      <c r="AI205" s="11" t="s">
        <v>107</v>
      </c>
      <c r="AJ205" s="4" t="s">
        <v>108</v>
      </c>
      <c r="AK205" s="36">
        <v>1198</v>
      </c>
      <c r="AL205" s="30">
        <v>430082000</v>
      </c>
      <c r="AM205" s="30">
        <v>14</v>
      </c>
      <c r="AN205" s="30">
        <v>5016000</v>
      </c>
      <c r="AO205" s="30">
        <v>57</v>
      </c>
      <c r="AP205" s="30">
        <v>20252982</v>
      </c>
      <c r="AQ205" s="30">
        <v>376</v>
      </c>
      <c r="AR205" s="30">
        <v>109686717</v>
      </c>
      <c r="AS205" s="52">
        <f t="shared" si="27"/>
        <v>0.31385642737896496</v>
      </c>
    </row>
    <row r="206" spans="1:45" x14ac:dyDescent="0.3">
      <c r="A206" s="1" t="str">
        <f t="shared" si="22"/>
        <v>DMDJ8E046BKS</v>
      </c>
      <c r="B206" s="32" t="s">
        <v>400</v>
      </c>
      <c r="C206" s="10" t="str">
        <f t="shared" si="25"/>
        <v>DJ8E0</v>
      </c>
      <c r="D206" s="10" t="s">
        <v>55</v>
      </c>
      <c r="E206" s="10" t="str">
        <f t="shared" si="23"/>
        <v>M</v>
      </c>
      <c r="F206" s="10" t="str">
        <f t="shared" si="24"/>
        <v>DJ</v>
      </c>
      <c r="G206" s="10" t="s">
        <v>56</v>
      </c>
      <c r="H206" s="4" t="s">
        <v>401</v>
      </c>
      <c r="I206" s="10" t="s">
        <v>78</v>
      </c>
      <c r="J206" s="4" t="str">
        <f t="shared" si="26"/>
        <v/>
      </c>
      <c r="K206" s="4">
        <v>1</v>
      </c>
      <c r="L206" s="30">
        <v>359000</v>
      </c>
      <c r="M206" s="78" t="s">
        <v>217</v>
      </c>
      <c r="N206" s="98" t="s">
        <v>329</v>
      </c>
      <c r="O206" s="10" t="s">
        <v>61</v>
      </c>
      <c r="P206" s="63">
        <v>100</v>
      </c>
      <c r="Q206" s="94" t="s">
        <v>330</v>
      </c>
      <c r="R206" s="63" t="s">
        <v>246</v>
      </c>
      <c r="S206" s="96" t="s">
        <v>331</v>
      </c>
      <c r="T206" s="10" t="s">
        <v>122</v>
      </c>
      <c r="U206" s="10" t="s">
        <v>332</v>
      </c>
      <c r="V206" s="10" t="s">
        <v>66</v>
      </c>
      <c r="W206" s="10"/>
      <c r="X206" s="9" t="s">
        <v>67</v>
      </c>
      <c r="Y206" s="10" t="s">
        <v>68</v>
      </c>
      <c r="Z206" s="94" t="s">
        <v>125</v>
      </c>
      <c r="AA206" s="94" t="s">
        <v>90</v>
      </c>
      <c r="AB206" s="9" t="s">
        <v>71</v>
      </c>
      <c r="AC206" s="10" t="s">
        <v>85</v>
      </c>
      <c r="AD206" s="10" t="s">
        <v>208</v>
      </c>
      <c r="AE206" s="65" t="s">
        <v>137</v>
      </c>
      <c r="AF206" s="39" t="s">
        <v>402</v>
      </c>
      <c r="AG206" s="10" t="s">
        <v>127</v>
      </c>
      <c r="AH206" s="4">
        <v>650</v>
      </c>
      <c r="AI206" s="11" t="s">
        <v>107</v>
      </c>
      <c r="AJ206" s="4" t="s">
        <v>108</v>
      </c>
      <c r="AK206" s="36">
        <v>5006</v>
      </c>
      <c r="AL206" s="30">
        <v>1797154000</v>
      </c>
      <c r="AM206" s="30">
        <v>97</v>
      </c>
      <c r="AN206" s="30">
        <v>34398265</v>
      </c>
      <c r="AO206" s="30">
        <v>437</v>
      </c>
      <c r="AP206" s="30">
        <v>154481325</v>
      </c>
      <c r="AQ206" s="30">
        <v>3173</v>
      </c>
      <c r="AR206" s="30">
        <v>893437875</v>
      </c>
      <c r="AS206" s="52">
        <f t="shared" si="27"/>
        <v>0.63383939272872558</v>
      </c>
    </row>
    <row r="207" spans="1:45" x14ac:dyDescent="0.3">
      <c r="A207" s="1" t="str">
        <f t="shared" si="22"/>
        <v>DMDJ8E046BGD</v>
      </c>
      <c r="B207" s="32" t="s">
        <v>400</v>
      </c>
      <c r="C207" s="10" t="str">
        <f t="shared" si="25"/>
        <v>DJ8E0</v>
      </c>
      <c r="D207" s="10" t="s">
        <v>55</v>
      </c>
      <c r="E207" s="10" t="str">
        <f t="shared" si="23"/>
        <v>M</v>
      </c>
      <c r="F207" s="10" t="str">
        <f t="shared" si="24"/>
        <v>DJ</v>
      </c>
      <c r="G207" s="10" t="s">
        <v>56</v>
      </c>
      <c r="H207" s="4" t="s">
        <v>401</v>
      </c>
      <c r="I207" s="10" t="s">
        <v>260</v>
      </c>
      <c r="J207" s="4" t="str">
        <f t="shared" si="26"/>
        <v/>
      </c>
      <c r="K207" s="4">
        <v>1</v>
      </c>
      <c r="L207" s="30">
        <v>359000</v>
      </c>
      <c r="M207" s="78" t="s">
        <v>217</v>
      </c>
      <c r="N207" s="98" t="s">
        <v>329</v>
      </c>
      <c r="O207" s="10" t="s">
        <v>61</v>
      </c>
      <c r="P207" s="63">
        <v>100</v>
      </c>
      <c r="Q207" s="94" t="s">
        <v>330</v>
      </c>
      <c r="R207" s="63" t="s">
        <v>246</v>
      </c>
      <c r="S207" s="96" t="s">
        <v>331</v>
      </c>
      <c r="T207" s="10" t="s">
        <v>122</v>
      </c>
      <c r="U207" s="10" t="s">
        <v>332</v>
      </c>
      <c r="V207" s="10" t="s">
        <v>66</v>
      </c>
      <c r="W207" s="10"/>
      <c r="X207" s="9" t="s">
        <v>67</v>
      </c>
      <c r="Y207" s="10" t="s">
        <v>68</v>
      </c>
      <c r="Z207" s="94" t="s">
        <v>125</v>
      </c>
      <c r="AA207" s="94" t="s">
        <v>90</v>
      </c>
      <c r="AB207" s="9" t="s">
        <v>71</v>
      </c>
      <c r="AC207" s="10" t="s">
        <v>85</v>
      </c>
      <c r="AD207" s="10" t="s">
        <v>208</v>
      </c>
      <c r="AE207" s="65" t="s">
        <v>137</v>
      </c>
      <c r="AF207" s="39" t="s">
        <v>402</v>
      </c>
      <c r="AG207" s="10" t="s">
        <v>127</v>
      </c>
      <c r="AH207" s="4">
        <v>650</v>
      </c>
      <c r="AI207" s="11" t="s">
        <v>107</v>
      </c>
      <c r="AJ207" s="4" t="s">
        <v>108</v>
      </c>
      <c r="AK207" s="36">
        <v>1009</v>
      </c>
      <c r="AL207" s="30">
        <v>362231000</v>
      </c>
      <c r="AM207" s="30">
        <v>7</v>
      </c>
      <c r="AN207" s="30">
        <v>2503000</v>
      </c>
      <c r="AO207" s="30">
        <v>24</v>
      </c>
      <c r="AP207" s="30">
        <v>8524645</v>
      </c>
      <c r="AQ207" s="30">
        <v>174</v>
      </c>
      <c r="AR207" s="30">
        <v>49945128</v>
      </c>
      <c r="AS207" s="52">
        <f t="shared" si="27"/>
        <v>0.17244796828543113</v>
      </c>
    </row>
    <row r="208" spans="1:45" x14ac:dyDescent="0.3">
      <c r="A208" s="1" t="str">
        <f t="shared" si="22"/>
        <v>DWDJ8F046BKS</v>
      </c>
      <c r="B208" s="32" t="s">
        <v>403</v>
      </c>
      <c r="C208" s="10" t="str">
        <f t="shared" si="25"/>
        <v>DJ8F0</v>
      </c>
      <c r="D208" s="10" t="s">
        <v>55</v>
      </c>
      <c r="E208" s="10" t="str">
        <f t="shared" si="23"/>
        <v>W</v>
      </c>
      <c r="F208" s="10" t="str">
        <f t="shared" si="24"/>
        <v>DJ</v>
      </c>
      <c r="G208" s="10" t="s">
        <v>56</v>
      </c>
      <c r="H208" s="4" t="s">
        <v>404</v>
      </c>
      <c r="I208" s="10" t="s">
        <v>78</v>
      </c>
      <c r="J208" s="4">
        <f t="shared" si="26"/>
        <v>1</v>
      </c>
      <c r="K208" s="4">
        <v>1</v>
      </c>
      <c r="L208" s="30">
        <v>359000</v>
      </c>
      <c r="M208" s="78" t="s">
        <v>217</v>
      </c>
      <c r="N208" s="98" t="s">
        <v>249</v>
      </c>
      <c r="O208" s="10" t="s">
        <v>61</v>
      </c>
      <c r="P208" s="63">
        <v>100</v>
      </c>
      <c r="Q208" s="94" t="s">
        <v>119</v>
      </c>
      <c r="R208" s="63" t="s">
        <v>246</v>
      </c>
      <c r="S208" s="96" t="s">
        <v>121</v>
      </c>
      <c r="T208" s="10" t="s">
        <v>122</v>
      </c>
      <c r="U208" s="10" t="s">
        <v>250</v>
      </c>
      <c r="V208" s="10" t="s">
        <v>66</v>
      </c>
      <c r="W208" s="10"/>
      <c r="X208" s="9" t="s">
        <v>67</v>
      </c>
      <c r="Y208" s="10" t="s">
        <v>68</v>
      </c>
      <c r="Z208" s="94" t="s">
        <v>125</v>
      </c>
      <c r="AA208" s="94" t="s">
        <v>90</v>
      </c>
      <c r="AB208" s="9" t="s">
        <v>71</v>
      </c>
      <c r="AC208" s="10" t="s">
        <v>85</v>
      </c>
      <c r="AD208" s="10" t="s">
        <v>208</v>
      </c>
      <c r="AE208" s="65" t="s">
        <v>137</v>
      </c>
      <c r="AF208" s="39" t="s">
        <v>405</v>
      </c>
      <c r="AG208" s="10" t="s">
        <v>127</v>
      </c>
      <c r="AH208" s="4">
        <v>650</v>
      </c>
      <c r="AI208" s="11" t="s">
        <v>107</v>
      </c>
      <c r="AJ208" s="4" t="s">
        <v>108</v>
      </c>
      <c r="AK208" s="36">
        <v>6997</v>
      </c>
      <c r="AL208" s="30">
        <v>2511923000</v>
      </c>
      <c r="AM208" s="30">
        <v>229</v>
      </c>
      <c r="AN208" s="30">
        <v>80936698</v>
      </c>
      <c r="AO208" s="30">
        <v>982</v>
      </c>
      <c r="AP208" s="30">
        <v>348423459</v>
      </c>
      <c r="AQ208" s="30">
        <v>5386</v>
      </c>
      <c r="AR208" s="30">
        <v>1547352770</v>
      </c>
      <c r="AS208" s="52">
        <f t="shared" si="27"/>
        <v>0.76975846791482061</v>
      </c>
    </row>
    <row r="209" spans="1:45" x14ac:dyDescent="0.3">
      <c r="A209" s="1" t="str">
        <f t="shared" si="22"/>
        <v>DWDJ8F046GRD</v>
      </c>
      <c r="B209" s="32" t="s">
        <v>403</v>
      </c>
      <c r="C209" s="10" t="str">
        <f t="shared" si="25"/>
        <v>DJ8F0</v>
      </c>
      <c r="D209" s="10" t="s">
        <v>55</v>
      </c>
      <c r="E209" s="10" t="str">
        <f t="shared" si="23"/>
        <v>W</v>
      </c>
      <c r="F209" s="10" t="str">
        <f t="shared" si="24"/>
        <v>DJ</v>
      </c>
      <c r="G209" s="10" t="s">
        <v>56</v>
      </c>
      <c r="H209" s="4" t="s">
        <v>404</v>
      </c>
      <c r="I209" s="10" t="s">
        <v>215</v>
      </c>
      <c r="J209" s="4" t="str">
        <f t="shared" si="26"/>
        <v/>
      </c>
      <c r="K209" s="4">
        <v>1</v>
      </c>
      <c r="L209" s="30">
        <v>359000</v>
      </c>
      <c r="M209" s="78" t="s">
        <v>217</v>
      </c>
      <c r="N209" s="98" t="s">
        <v>249</v>
      </c>
      <c r="O209" s="10" t="s">
        <v>61</v>
      </c>
      <c r="P209" s="63">
        <v>100</v>
      </c>
      <c r="Q209" s="94" t="s">
        <v>119</v>
      </c>
      <c r="R209" s="63" t="s">
        <v>246</v>
      </c>
      <c r="S209" s="96" t="s">
        <v>121</v>
      </c>
      <c r="T209" s="10" t="s">
        <v>122</v>
      </c>
      <c r="U209" s="10" t="s">
        <v>250</v>
      </c>
      <c r="V209" s="10" t="s">
        <v>66</v>
      </c>
      <c r="W209" s="10"/>
      <c r="X209" s="9" t="s">
        <v>67</v>
      </c>
      <c r="Y209" s="10" t="s">
        <v>68</v>
      </c>
      <c r="Z209" s="94" t="s">
        <v>125</v>
      </c>
      <c r="AA209" s="94" t="s">
        <v>90</v>
      </c>
      <c r="AB209" s="9" t="s">
        <v>71</v>
      </c>
      <c r="AC209" s="10" t="s">
        <v>85</v>
      </c>
      <c r="AD209" s="10" t="s">
        <v>208</v>
      </c>
      <c r="AE209" s="65" t="s">
        <v>137</v>
      </c>
      <c r="AF209" s="39" t="s">
        <v>405</v>
      </c>
      <c r="AG209" s="10" t="s">
        <v>127</v>
      </c>
      <c r="AH209" s="4">
        <v>650</v>
      </c>
      <c r="AI209" s="11" t="s">
        <v>107</v>
      </c>
      <c r="AJ209" s="4" t="s">
        <v>108</v>
      </c>
      <c r="AK209" s="36">
        <v>1407</v>
      </c>
      <c r="AL209" s="30">
        <v>505113000</v>
      </c>
      <c r="AM209" s="30">
        <v>8</v>
      </c>
      <c r="AN209" s="30">
        <v>2872000</v>
      </c>
      <c r="AO209" s="30">
        <v>38</v>
      </c>
      <c r="AP209" s="30">
        <v>13515370</v>
      </c>
      <c r="AQ209" s="30">
        <v>215</v>
      </c>
      <c r="AR209" s="30">
        <v>61439128</v>
      </c>
      <c r="AS209" s="52">
        <f t="shared" si="27"/>
        <v>0.15280739161336176</v>
      </c>
    </row>
    <row r="210" spans="1:45" x14ac:dyDescent="0.3">
      <c r="A210" s="1" t="str">
        <f t="shared" si="22"/>
        <v>DWDJ8F046BGL</v>
      </c>
      <c r="B210" s="32" t="s">
        <v>403</v>
      </c>
      <c r="C210" s="10" t="str">
        <f t="shared" si="25"/>
        <v>DJ8F0</v>
      </c>
      <c r="D210" s="10" t="s">
        <v>55</v>
      </c>
      <c r="E210" s="10" t="str">
        <f t="shared" si="23"/>
        <v>W</v>
      </c>
      <c r="F210" s="10" t="str">
        <f t="shared" si="24"/>
        <v>DJ</v>
      </c>
      <c r="G210" s="10" t="s">
        <v>56</v>
      </c>
      <c r="H210" s="4" t="s">
        <v>404</v>
      </c>
      <c r="I210" s="10" t="s">
        <v>163</v>
      </c>
      <c r="J210" s="4" t="str">
        <f t="shared" si="26"/>
        <v/>
      </c>
      <c r="K210" s="4">
        <v>1</v>
      </c>
      <c r="L210" s="30">
        <v>359000</v>
      </c>
      <c r="M210" s="78" t="s">
        <v>217</v>
      </c>
      <c r="N210" s="98" t="s">
        <v>249</v>
      </c>
      <c r="O210" s="10" t="s">
        <v>61</v>
      </c>
      <c r="P210" s="63">
        <v>100</v>
      </c>
      <c r="Q210" s="94" t="s">
        <v>119</v>
      </c>
      <c r="R210" s="63" t="s">
        <v>246</v>
      </c>
      <c r="S210" s="96" t="s">
        <v>121</v>
      </c>
      <c r="T210" s="10" t="s">
        <v>122</v>
      </c>
      <c r="U210" s="10" t="s">
        <v>250</v>
      </c>
      <c r="V210" s="10" t="s">
        <v>66</v>
      </c>
      <c r="W210" s="10"/>
      <c r="X210" s="9" t="s">
        <v>67</v>
      </c>
      <c r="Y210" s="10" t="s">
        <v>68</v>
      </c>
      <c r="Z210" s="94" t="s">
        <v>125</v>
      </c>
      <c r="AA210" s="94" t="s">
        <v>90</v>
      </c>
      <c r="AB210" s="9" t="s">
        <v>71</v>
      </c>
      <c r="AC210" s="10" t="s">
        <v>85</v>
      </c>
      <c r="AD210" s="10" t="s">
        <v>208</v>
      </c>
      <c r="AE210" s="65" t="s">
        <v>137</v>
      </c>
      <c r="AF210" s="39" t="s">
        <v>405</v>
      </c>
      <c r="AG210" s="10" t="s">
        <v>127</v>
      </c>
      <c r="AH210" s="4">
        <v>650</v>
      </c>
      <c r="AI210" s="11" t="s">
        <v>107</v>
      </c>
      <c r="AJ210" s="4" t="s">
        <v>108</v>
      </c>
      <c r="AK210" s="36">
        <v>1602</v>
      </c>
      <c r="AL210" s="30">
        <v>575118000</v>
      </c>
      <c r="AM210" s="30">
        <v>46</v>
      </c>
      <c r="AN210" s="30">
        <v>16322500</v>
      </c>
      <c r="AO210" s="30">
        <v>161</v>
      </c>
      <c r="AP210" s="30">
        <v>57029954</v>
      </c>
      <c r="AQ210" s="30">
        <v>861</v>
      </c>
      <c r="AR210" s="30">
        <v>252988525</v>
      </c>
      <c r="AS210" s="52">
        <f t="shared" si="27"/>
        <v>0.53745318352059923</v>
      </c>
    </row>
    <row r="211" spans="1:45" x14ac:dyDescent="0.3">
      <c r="A211" s="1" t="str">
        <f t="shared" si="22"/>
        <v>DWDJ8F046IVS</v>
      </c>
      <c r="B211" s="32" t="s">
        <v>403</v>
      </c>
      <c r="C211" s="10" t="str">
        <f t="shared" si="25"/>
        <v>DJ8F0</v>
      </c>
      <c r="D211" s="10" t="s">
        <v>55</v>
      </c>
      <c r="E211" s="10" t="str">
        <f t="shared" si="23"/>
        <v>W</v>
      </c>
      <c r="F211" s="10" t="str">
        <f t="shared" si="24"/>
        <v>DJ</v>
      </c>
      <c r="G211" s="10" t="s">
        <v>56</v>
      </c>
      <c r="H211" s="4" t="s">
        <v>404</v>
      </c>
      <c r="I211" s="10" t="s">
        <v>111</v>
      </c>
      <c r="J211" s="4" t="str">
        <f t="shared" si="26"/>
        <v/>
      </c>
      <c r="K211" s="4">
        <v>1</v>
      </c>
      <c r="L211" s="30">
        <v>359000</v>
      </c>
      <c r="M211" s="78" t="s">
        <v>217</v>
      </c>
      <c r="N211" s="98" t="s">
        <v>249</v>
      </c>
      <c r="O211" s="10" t="s">
        <v>61</v>
      </c>
      <c r="P211" s="63">
        <v>100</v>
      </c>
      <c r="Q211" s="94" t="s">
        <v>119</v>
      </c>
      <c r="R211" s="63" t="s">
        <v>246</v>
      </c>
      <c r="S211" s="96" t="s">
        <v>121</v>
      </c>
      <c r="T211" s="10" t="s">
        <v>122</v>
      </c>
      <c r="U211" s="10" t="s">
        <v>250</v>
      </c>
      <c r="V211" s="10" t="s">
        <v>66</v>
      </c>
      <c r="W211" s="10"/>
      <c r="X211" s="9" t="s">
        <v>67</v>
      </c>
      <c r="Y211" s="10" t="s">
        <v>68</v>
      </c>
      <c r="Z211" s="94" t="s">
        <v>125</v>
      </c>
      <c r="AA211" s="94" t="s">
        <v>90</v>
      </c>
      <c r="AB211" s="9" t="s">
        <v>71</v>
      </c>
      <c r="AC211" s="10" t="s">
        <v>85</v>
      </c>
      <c r="AD211" s="10" t="s">
        <v>208</v>
      </c>
      <c r="AE211" s="65" t="s">
        <v>137</v>
      </c>
      <c r="AF211" s="39" t="s">
        <v>405</v>
      </c>
      <c r="AG211" s="10" t="s">
        <v>127</v>
      </c>
      <c r="AH211" s="4">
        <v>650</v>
      </c>
      <c r="AI211" s="11" t="s">
        <v>107</v>
      </c>
      <c r="AJ211" s="4" t="s">
        <v>108</v>
      </c>
      <c r="AK211" s="36">
        <v>2011</v>
      </c>
      <c r="AL211" s="30">
        <v>721949000</v>
      </c>
      <c r="AM211" s="30">
        <v>59</v>
      </c>
      <c r="AN211" s="30">
        <v>21161000</v>
      </c>
      <c r="AO211" s="30">
        <v>213</v>
      </c>
      <c r="AP211" s="30">
        <v>76058240</v>
      </c>
      <c r="AQ211" s="30">
        <v>879</v>
      </c>
      <c r="AR211" s="30">
        <v>269006476</v>
      </c>
      <c r="AS211" s="52">
        <f t="shared" si="27"/>
        <v>0.43709597215315765</v>
      </c>
    </row>
    <row r="212" spans="1:45" x14ac:dyDescent="0.3">
      <c r="A212" s="1" t="str">
        <f t="shared" si="22"/>
        <v>DMDJ8K046KAS</v>
      </c>
      <c r="B212" s="32" t="s">
        <v>406</v>
      </c>
      <c r="C212" s="10" t="str">
        <f t="shared" si="25"/>
        <v>DJ8K0</v>
      </c>
      <c r="D212" s="10" t="s">
        <v>55</v>
      </c>
      <c r="E212" s="10" t="str">
        <f t="shared" si="23"/>
        <v>M</v>
      </c>
      <c r="F212" s="10" t="str">
        <f t="shared" si="24"/>
        <v>DJ</v>
      </c>
      <c r="G212" s="10" t="s">
        <v>56</v>
      </c>
      <c r="H212" s="4" t="s">
        <v>407</v>
      </c>
      <c r="I212" s="10" t="s">
        <v>102</v>
      </c>
      <c r="J212" s="4">
        <f t="shared" si="26"/>
        <v>1</v>
      </c>
      <c r="K212" s="4">
        <v>1</v>
      </c>
      <c r="L212" s="30">
        <v>359000</v>
      </c>
      <c r="M212" s="78" t="s">
        <v>408</v>
      </c>
      <c r="N212" s="98" t="s">
        <v>409</v>
      </c>
      <c r="O212" s="10" t="s">
        <v>143</v>
      </c>
      <c r="P212" s="63">
        <v>100</v>
      </c>
      <c r="Q212" s="94" t="s">
        <v>62</v>
      </c>
      <c r="R212" s="63" t="s">
        <v>410</v>
      </c>
      <c r="S212" s="96" t="s">
        <v>411</v>
      </c>
      <c r="T212" s="10" t="s">
        <v>65</v>
      </c>
      <c r="U212" s="10"/>
      <c r="V212" s="10" t="s">
        <v>412</v>
      </c>
      <c r="W212" s="10" t="s">
        <v>408</v>
      </c>
      <c r="X212" s="9" t="s">
        <v>67</v>
      </c>
      <c r="Y212" s="10" t="s">
        <v>340</v>
      </c>
      <c r="Z212" s="94" t="s">
        <v>125</v>
      </c>
      <c r="AA212" s="94" t="s">
        <v>341</v>
      </c>
      <c r="AB212" s="9" t="s">
        <v>71</v>
      </c>
      <c r="AC212" s="10" t="s">
        <v>62</v>
      </c>
      <c r="AD212" s="10" t="s">
        <v>72</v>
      </c>
      <c r="AE212" s="65" t="s">
        <v>73</v>
      </c>
      <c r="AF212" s="39" t="s">
        <v>362</v>
      </c>
      <c r="AG212" s="10" t="s">
        <v>127</v>
      </c>
      <c r="AH212" s="4">
        <v>650</v>
      </c>
      <c r="AI212" s="11" t="s">
        <v>264</v>
      </c>
      <c r="AJ212" s="4" t="s">
        <v>241</v>
      </c>
      <c r="AK212" s="36">
        <v>1700</v>
      </c>
      <c r="AL212" s="30">
        <v>610300000</v>
      </c>
      <c r="AM212" s="30">
        <v>14</v>
      </c>
      <c r="AN212" s="30">
        <v>4865955</v>
      </c>
      <c r="AO212" s="30">
        <v>76</v>
      </c>
      <c r="AP212" s="30">
        <v>26554391</v>
      </c>
      <c r="AQ212" s="30">
        <v>306</v>
      </c>
      <c r="AR212" s="30">
        <v>91137011</v>
      </c>
      <c r="AS212" s="52">
        <f t="shared" si="27"/>
        <v>0.18</v>
      </c>
    </row>
    <row r="213" spans="1:45" x14ac:dyDescent="0.3">
      <c r="A213" s="1" t="str">
        <f t="shared" si="22"/>
        <v>DMDJ8K046BKS</v>
      </c>
      <c r="B213" s="32" t="s">
        <v>406</v>
      </c>
      <c r="C213" s="10" t="str">
        <f t="shared" si="25"/>
        <v>DJ8K0</v>
      </c>
      <c r="D213" s="10" t="s">
        <v>55</v>
      </c>
      <c r="E213" s="10" t="str">
        <f t="shared" si="23"/>
        <v>M</v>
      </c>
      <c r="F213" s="10" t="str">
        <f t="shared" si="24"/>
        <v>DJ</v>
      </c>
      <c r="G213" s="10" t="s">
        <v>56</v>
      </c>
      <c r="H213" s="4" t="s">
        <v>407</v>
      </c>
      <c r="I213" s="10" t="s">
        <v>78</v>
      </c>
      <c r="J213" s="4" t="str">
        <f t="shared" si="26"/>
        <v/>
      </c>
      <c r="K213" s="4">
        <v>1</v>
      </c>
      <c r="L213" s="30">
        <v>359000</v>
      </c>
      <c r="M213" s="78" t="s">
        <v>194</v>
      </c>
      <c r="N213" s="98" t="s">
        <v>413</v>
      </c>
      <c r="O213" s="10" t="s">
        <v>143</v>
      </c>
      <c r="P213" s="63">
        <v>100</v>
      </c>
      <c r="Q213" s="94" t="s">
        <v>62</v>
      </c>
      <c r="R213" s="63" t="s">
        <v>392</v>
      </c>
      <c r="S213" s="96" t="s">
        <v>72</v>
      </c>
      <c r="T213" s="10" t="s">
        <v>65</v>
      </c>
      <c r="U213" s="10"/>
      <c r="V213" s="10" t="s">
        <v>66</v>
      </c>
      <c r="W213" s="10"/>
      <c r="X213" s="9" t="s">
        <v>67</v>
      </c>
      <c r="Y213" s="10" t="s">
        <v>68</v>
      </c>
      <c r="Z213" s="94" t="s">
        <v>125</v>
      </c>
      <c r="AA213" s="94" t="s">
        <v>90</v>
      </c>
      <c r="AB213" s="9" t="s">
        <v>71</v>
      </c>
      <c r="AC213" s="10" t="s">
        <v>62</v>
      </c>
      <c r="AD213" s="10" t="s">
        <v>72</v>
      </c>
      <c r="AE213" s="65" t="s">
        <v>73</v>
      </c>
      <c r="AF213" s="39" t="s">
        <v>362</v>
      </c>
      <c r="AG213" s="10" t="s">
        <v>127</v>
      </c>
      <c r="AH213" s="4">
        <v>650</v>
      </c>
      <c r="AI213" s="11" t="s">
        <v>264</v>
      </c>
      <c r="AJ213" s="4" t="s">
        <v>241</v>
      </c>
      <c r="AK213" s="36">
        <v>5988</v>
      </c>
      <c r="AL213" s="30">
        <v>2149692000</v>
      </c>
      <c r="AM213" s="30">
        <v>71</v>
      </c>
      <c r="AN213" s="30">
        <v>24711880</v>
      </c>
      <c r="AO213" s="30">
        <v>299</v>
      </c>
      <c r="AP213" s="30">
        <v>104734813</v>
      </c>
      <c r="AQ213" s="30">
        <v>1722</v>
      </c>
      <c r="AR213" s="30">
        <v>500545986</v>
      </c>
      <c r="AS213" s="52">
        <f t="shared" si="27"/>
        <v>0.28757515030060121</v>
      </c>
    </row>
    <row r="214" spans="1:45" x14ac:dyDescent="0.3">
      <c r="A214" s="1" t="str">
        <f t="shared" si="22"/>
        <v>DMDJ8K046DTS</v>
      </c>
      <c r="B214" s="32" t="s">
        <v>406</v>
      </c>
      <c r="C214" s="10" t="str">
        <f t="shared" si="25"/>
        <v>DJ8K0</v>
      </c>
      <c r="D214" s="10" t="s">
        <v>55</v>
      </c>
      <c r="E214" s="10" t="str">
        <f t="shared" si="23"/>
        <v>M</v>
      </c>
      <c r="F214" s="10" t="str">
        <f t="shared" si="24"/>
        <v>DJ</v>
      </c>
      <c r="G214" s="10" t="s">
        <v>56</v>
      </c>
      <c r="H214" s="4" t="s">
        <v>407</v>
      </c>
      <c r="I214" s="10" t="s">
        <v>414</v>
      </c>
      <c r="J214" s="4" t="str">
        <f t="shared" si="26"/>
        <v/>
      </c>
      <c r="K214" s="4">
        <v>1</v>
      </c>
      <c r="L214" s="30">
        <v>359000</v>
      </c>
      <c r="M214" s="78" t="s">
        <v>408</v>
      </c>
      <c r="N214" s="98" t="s">
        <v>409</v>
      </c>
      <c r="O214" s="10" t="s">
        <v>143</v>
      </c>
      <c r="P214" s="63">
        <v>100</v>
      </c>
      <c r="Q214" s="94" t="s">
        <v>62</v>
      </c>
      <c r="R214" s="63" t="s">
        <v>410</v>
      </c>
      <c r="S214" s="96" t="s">
        <v>411</v>
      </c>
      <c r="T214" s="10" t="s">
        <v>65</v>
      </c>
      <c r="U214" s="10"/>
      <c r="V214" s="10" t="s">
        <v>412</v>
      </c>
      <c r="W214" s="10" t="s">
        <v>408</v>
      </c>
      <c r="X214" s="9" t="s">
        <v>67</v>
      </c>
      <c r="Y214" s="10" t="s">
        <v>340</v>
      </c>
      <c r="Z214" s="94" t="s">
        <v>125</v>
      </c>
      <c r="AA214" s="94" t="s">
        <v>341</v>
      </c>
      <c r="AB214" s="9" t="s">
        <v>71</v>
      </c>
      <c r="AC214" s="10" t="s">
        <v>62</v>
      </c>
      <c r="AD214" s="10" t="s">
        <v>72</v>
      </c>
      <c r="AE214" s="65" t="s">
        <v>73</v>
      </c>
      <c r="AF214" s="39" t="s">
        <v>362</v>
      </c>
      <c r="AG214" s="10" t="s">
        <v>127</v>
      </c>
      <c r="AH214" s="4">
        <v>650</v>
      </c>
      <c r="AI214" s="11" t="s">
        <v>264</v>
      </c>
      <c r="AJ214" s="4" t="s">
        <v>241</v>
      </c>
      <c r="AK214" s="36">
        <v>3377</v>
      </c>
      <c r="AL214" s="30">
        <v>1212343000</v>
      </c>
      <c r="AM214" s="30">
        <v>19</v>
      </c>
      <c r="AN214" s="30">
        <v>6689200</v>
      </c>
      <c r="AO214" s="30">
        <v>134</v>
      </c>
      <c r="AP214" s="30">
        <v>47126760</v>
      </c>
      <c r="AQ214" s="30">
        <v>437</v>
      </c>
      <c r="AR214" s="30">
        <v>133076106</v>
      </c>
      <c r="AS214" s="52">
        <f t="shared" si="27"/>
        <v>0.12940479715724015</v>
      </c>
    </row>
    <row r="215" spans="1:45" x14ac:dyDescent="0.3">
      <c r="A215" s="1" t="str">
        <f t="shared" si="22"/>
        <v>DMDJ8K046GRS</v>
      </c>
      <c r="B215" s="32" t="s">
        <v>406</v>
      </c>
      <c r="C215" s="10" t="str">
        <f t="shared" si="25"/>
        <v>DJ8K0</v>
      </c>
      <c r="D215" s="10" t="s">
        <v>55</v>
      </c>
      <c r="E215" s="10" t="str">
        <f t="shared" si="23"/>
        <v>M</v>
      </c>
      <c r="F215" s="10" t="str">
        <f t="shared" si="24"/>
        <v>DJ</v>
      </c>
      <c r="G215" s="10" t="s">
        <v>56</v>
      </c>
      <c r="H215" s="4" t="s">
        <v>407</v>
      </c>
      <c r="I215" s="10" t="s">
        <v>233</v>
      </c>
      <c r="J215" s="4" t="str">
        <f t="shared" si="26"/>
        <v/>
      </c>
      <c r="K215" s="4">
        <v>1</v>
      </c>
      <c r="L215" s="30">
        <v>359000</v>
      </c>
      <c r="M215" s="78" t="s">
        <v>408</v>
      </c>
      <c r="N215" s="98" t="s">
        <v>409</v>
      </c>
      <c r="O215" s="10" t="s">
        <v>143</v>
      </c>
      <c r="P215" s="63">
        <v>100</v>
      </c>
      <c r="Q215" s="94" t="s">
        <v>62</v>
      </c>
      <c r="R215" s="63" t="s">
        <v>410</v>
      </c>
      <c r="S215" s="96" t="s">
        <v>411</v>
      </c>
      <c r="T215" s="10" t="s">
        <v>65</v>
      </c>
      <c r="U215" s="10"/>
      <c r="V215" s="10" t="s">
        <v>412</v>
      </c>
      <c r="W215" s="10" t="s">
        <v>408</v>
      </c>
      <c r="X215" s="9" t="s">
        <v>67</v>
      </c>
      <c r="Y215" s="10" t="s">
        <v>340</v>
      </c>
      <c r="Z215" s="94" t="s">
        <v>125</v>
      </c>
      <c r="AA215" s="94" t="s">
        <v>341</v>
      </c>
      <c r="AB215" s="9" t="s">
        <v>71</v>
      </c>
      <c r="AC215" s="10" t="s">
        <v>62</v>
      </c>
      <c r="AD215" s="10" t="s">
        <v>72</v>
      </c>
      <c r="AE215" s="65" t="s">
        <v>73</v>
      </c>
      <c r="AF215" s="39" t="s">
        <v>362</v>
      </c>
      <c r="AG215" s="10" t="s">
        <v>127</v>
      </c>
      <c r="AH215" s="4">
        <v>650</v>
      </c>
      <c r="AI215" s="11" t="s">
        <v>264</v>
      </c>
      <c r="AJ215" s="4" t="s">
        <v>241</v>
      </c>
      <c r="AK215" s="36">
        <v>2298</v>
      </c>
      <c r="AL215" s="30">
        <v>824982000</v>
      </c>
      <c r="AM215" s="30">
        <v>26</v>
      </c>
      <c r="AN215" s="30">
        <v>9136680</v>
      </c>
      <c r="AO215" s="30">
        <v>152</v>
      </c>
      <c r="AP215" s="30">
        <v>52987506</v>
      </c>
      <c r="AQ215" s="30">
        <v>576</v>
      </c>
      <c r="AR215" s="30">
        <v>170279935</v>
      </c>
      <c r="AS215" s="52">
        <f t="shared" si="27"/>
        <v>0.25065274151436029</v>
      </c>
    </row>
    <row r="216" spans="1:45" x14ac:dyDescent="0.3">
      <c r="A216" s="1" t="str">
        <f t="shared" si="22"/>
        <v>DWDJ8L046GRS</v>
      </c>
      <c r="B216" s="32" t="s">
        <v>415</v>
      </c>
      <c r="C216" s="10" t="str">
        <f t="shared" si="25"/>
        <v>DJ8L0</v>
      </c>
      <c r="D216" s="10" t="s">
        <v>55</v>
      </c>
      <c r="E216" s="10" t="str">
        <f t="shared" si="23"/>
        <v>W</v>
      </c>
      <c r="F216" s="10" t="str">
        <f t="shared" si="24"/>
        <v>DJ</v>
      </c>
      <c r="G216" s="10" t="s">
        <v>56</v>
      </c>
      <c r="H216" s="4" t="s">
        <v>416</v>
      </c>
      <c r="I216" s="10" t="s">
        <v>233</v>
      </c>
      <c r="J216" s="4">
        <f t="shared" si="26"/>
        <v>1</v>
      </c>
      <c r="K216" s="4">
        <v>1</v>
      </c>
      <c r="L216" s="30">
        <v>359000</v>
      </c>
      <c r="M216" s="78" t="s">
        <v>408</v>
      </c>
      <c r="N216" s="98" t="s">
        <v>409</v>
      </c>
      <c r="O216" s="10" t="s">
        <v>143</v>
      </c>
      <c r="P216" s="63">
        <v>100</v>
      </c>
      <c r="Q216" s="94" t="s">
        <v>62</v>
      </c>
      <c r="R216" s="63" t="s">
        <v>410</v>
      </c>
      <c r="S216" s="96" t="s">
        <v>411</v>
      </c>
      <c r="T216" s="10" t="s">
        <v>65</v>
      </c>
      <c r="U216" s="10"/>
      <c r="V216" s="10" t="s">
        <v>412</v>
      </c>
      <c r="W216" s="10" t="s">
        <v>408</v>
      </c>
      <c r="X216" s="9" t="s">
        <v>67</v>
      </c>
      <c r="Y216" s="10" t="s">
        <v>340</v>
      </c>
      <c r="Z216" s="94" t="s">
        <v>125</v>
      </c>
      <c r="AA216" s="94" t="s">
        <v>341</v>
      </c>
      <c r="AB216" s="9" t="s">
        <v>71</v>
      </c>
      <c r="AC216" s="10" t="s">
        <v>62</v>
      </c>
      <c r="AD216" s="10" t="s">
        <v>72</v>
      </c>
      <c r="AE216" s="65" t="s">
        <v>73</v>
      </c>
      <c r="AF216" s="39" t="s">
        <v>417</v>
      </c>
      <c r="AG216" s="10" t="s">
        <v>127</v>
      </c>
      <c r="AH216" s="4">
        <v>650</v>
      </c>
      <c r="AI216" s="11" t="s">
        <v>128</v>
      </c>
      <c r="AJ216" s="4" t="s">
        <v>77</v>
      </c>
      <c r="AK216" s="36">
        <v>2377</v>
      </c>
      <c r="AL216" s="30">
        <v>853343000</v>
      </c>
      <c r="AM216" s="30">
        <v>23</v>
      </c>
      <c r="AN216" s="30">
        <v>8230320</v>
      </c>
      <c r="AO216" s="30">
        <v>159</v>
      </c>
      <c r="AP216" s="30">
        <v>56239669</v>
      </c>
      <c r="AQ216" s="30">
        <v>571</v>
      </c>
      <c r="AR216" s="30">
        <v>175997840</v>
      </c>
      <c r="AS216" s="52">
        <f t="shared" si="27"/>
        <v>0.24021876314682372</v>
      </c>
    </row>
    <row r="217" spans="1:45" x14ac:dyDescent="0.3">
      <c r="A217" s="1" t="str">
        <f t="shared" si="22"/>
        <v>DWDJ8L046BKS</v>
      </c>
      <c r="B217" s="32" t="s">
        <v>415</v>
      </c>
      <c r="C217" s="10" t="str">
        <f t="shared" si="25"/>
        <v>DJ8L0</v>
      </c>
      <c r="D217" s="10" t="s">
        <v>55</v>
      </c>
      <c r="E217" s="10" t="str">
        <f t="shared" si="23"/>
        <v>W</v>
      </c>
      <c r="F217" s="10" t="str">
        <f t="shared" si="24"/>
        <v>DJ</v>
      </c>
      <c r="G217" s="10" t="s">
        <v>56</v>
      </c>
      <c r="H217" s="4" t="s">
        <v>416</v>
      </c>
      <c r="I217" s="10" t="s">
        <v>78</v>
      </c>
      <c r="J217" s="4" t="str">
        <f t="shared" si="26"/>
        <v/>
      </c>
      <c r="K217" s="4">
        <v>1</v>
      </c>
      <c r="L217" s="30">
        <v>359000</v>
      </c>
      <c r="M217" s="78" t="s">
        <v>408</v>
      </c>
      <c r="N217" s="98" t="s">
        <v>409</v>
      </c>
      <c r="O217" s="10" t="s">
        <v>143</v>
      </c>
      <c r="P217" s="63">
        <v>100</v>
      </c>
      <c r="Q217" s="94" t="s">
        <v>62</v>
      </c>
      <c r="R217" s="63" t="s">
        <v>410</v>
      </c>
      <c r="S217" s="96" t="s">
        <v>411</v>
      </c>
      <c r="T217" s="10" t="s">
        <v>65</v>
      </c>
      <c r="U217" s="10"/>
      <c r="V217" s="10" t="s">
        <v>412</v>
      </c>
      <c r="W217" s="10" t="s">
        <v>408</v>
      </c>
      <c r="X217" s="9" t="s">
        <v>67</v>
      </c>
      <c r="Y217" s="10" t="s">
        <v>340</v>
      </c>
      <c r="Z217" s="94" t="s">
        <v>125</v>
      </c>
      <c r="AA217" s="94" t="s">
        <v>341</v>
      </c>
      <c r="AB217" s="9" t="s">
        <v>71</v>
      </c>
      <c r="AC217" s="10" t="s">
        <v>62</v>
      </c>
      <c r="AD217" s="10" t="s">
        <v>72</v>
      </c>
      <c r="AE217" s="65" t="s">
        <v>73</v>
      </c>
      <c r="AF217" s="39" t="s">
        <v>417</v>
      </c>
      <c r="AG217" s="10" t="s">
        <v>127</v>
      </c>
      <c r="AH217" s="4">
        <v>650</v>
      </c>
      <c r="AI217" s="11" t="s">
        <v>128</v>
      </c>
      <c r="AJ217" s="4" t="s">
        <v>77</v>
      </c>
      <c r="AK217" s="36">
        <v>2751</v>
      </c>
      <c r="AL217" s="30">
        <v>987609000</v>
      </c>
      <c r="AM217" s="30">
        <v>29</v>
      </c>
      <c r="AN217" s="30">
        <v>10299200</v>
      </c>
      <c r="AO217" s="30">
        <v>146</v>
      </c>
      <c r="AP217" s="30">
        <v>51634005</v>
      </c>
      <c r="AQ217" s="30">
        <v>748</v>
      </c>
      <c r="AR217" s="30">
        <v>218839436</v>
      </c>
      <c r="AS217" s="52">
        <f t="shared" si="27"/>
        <v>0.27190112686295892</v>
      </c>
    </row>
    <row r="218" spans="1:45" x14ac:dyDescent="0.3">
      <c r="A218" s="1" t="str">
        <f t="shared" si="22"/>
        <v>DWDJ8L046CRS</v>
      </c>
      <c r="B218" s="32" t="s">
        <v>415</v>
      </c>
      <c r="C218" s="10" t="str">
        <f t="shared" si="25"/>
        <v>DJ8L0</v>
      </c>
      <c r="D218" s="10" t="s">
        <v>55</v>
      </c>
      <c r="E218" s="10" t="str">
        <f t="shared" si="23"/>
        <v>W</v>
      </c>
      <c r="F218" s="10" t="str">
        <f t="shared" si="24"/>
        <v>DJ</v>
      </c>
      <c r="G218" s="10" t="s">
        <v>56</v>
      </c>
      <c r="H218" s="4" t="s">
        <v>416</v>
      </c>
      <c r="I218" s="10" t="s">
        <v>79</v>
      </c>
      <c r="J218" s="4" t="str">
        <f t="shared" si="26"/>
        <v/>
      </c>
      <c r="K218" s="4">
        <v>1</v>
      </c>
      <c r="L218" s="30">
        <v>359000</v>
      </c>
      <c r="M218" s="78" t="s">
        <v>408</v>
      </c>
      <c r="N218" s="98" t="s">
        <v>409</v>
      </c>
      <c r="O218" s="10" t="s">
        <v>143</v>
      </c>
      <c r="P218" s="63">
        <v>100</v>
      </c>
      <c r="Q218" s="94" t="s">
        <v>62</v>
      </c>
      <c r="R218" s="63" t="s">
        <v>410</v>
      </c>
      <c r="S218" s="96" t="s">
        <v>411</v>
      </c>
      <c r="T218" s="10" t="s">
        <v>65</v>
      </c>
      <c r="U218" s="10"/>
      <c r="V218" s="10" t="s">
        <v>412</v>
      </c>
      <c r="W218" s="10" t="s">
        <v>408</v>
      </c>
      <c r="X218" s="9" t="s">
        <v>67</v>
      </c>
      <c r="Y218" s="10" t="s">
        <v>340</v>
      </c>
      <c r="Z218" s="94" t="s">
        <v>125</v>
      </c>
      <c r="AA218" s="94" t="s">
        <v>341</v>
      </c>
      <c r="AB218" s="9" t="s">
        <v>71</v>
      </c>
      <c r="AC218" s="10" t="s">
        <v>62</v>
      </c>
      <c r="AD218" s="10" t="s">
        <v>72</v>
      </c>
      <c r="AE218" s="65" t="s">
        <v>73</v>
      </c>
      <c r="AF218" s="39" t="s">
        <v>417</v>
      </c>
      <c r="AG218" s="10" t="s">
        <v>127</v>
      </c>
      <c r="AH218" s="4">
        <v>650</v>
      </c>
      <c r="AI218" s="11" t="s">
        <v>128</v>
      </c>
      <c r="AJ218" s="4" t="s">
        <v>77</v>
      </c>
      <c r="AK218" s="36">
        <v>2404</v>
      </c>
      <c r="AL218" s="30">
        <v>863036000</v>
      </c>
      <c r="AM218" s="30">
        <v>29</v>
      </c>
      <c r="AN218" s="30">
        <v>10182908</v>
      </c>
      <c r="AO218" s="30">
        <v>81</v>
      </c>
      <c r="AP218" s="30">
        <v>28482042</v>
      </c>
      <c r="AQ218" s="30">
        <v>364</v>
      </c>
      <c r="AR218" s="30">
        <v>107210464</v>
      </c>
      <c r="AS218" s="52">
        <f t="shared" si="27"/>
        <v>0.15141430948419302</v>
      </c>
    </row>
    <row r="219" spans="1:45" x14ac:dyDescent="0.3">
      <c r="A219" s="1" t="str">
        <f t="shared" si="22"/>
        <v>DWDJ8L046OLS</v>
      </c>
      <c r="B219" s="32" t="s">
        <v>415</v>
      </c>
      <c r="C219" s="10" t="str">
        <f t="shared" si="25"/>
        <v>DJ8L0</v>
      </c>
      <c r="D219" s="10" t="s">
        <v>55</v>
      </c>
      <c r="E219" s="10" t="str">
        <f t="shared" si="23"/>
        <v>W</v>
      </c>
      <c r="F219" s="10" t="str">
        <f t="shared" si="24"/>
        <v>DJ</v>
      </c>
      <c r="G219" s="10" t="s">
        <v>56</v>
      </c>
      <c r="H219" s="4" t="s">
        <v>416</v>
      </c>
      <c r="I219" s="10" t="s">
        <v>345</v>
      </c>
      <c r="J219" s="4" t="str">
        <f t="shared" si="26"/>
        <v/>
      </c>
      <c r="K219" s="4">
        <v>1</v>
      </c>
      <c r="L219" s="30">
        <v>359000</v>
      </c>
      <c r="M219" s="78" t="s">
        <v>408</v>
      </c>
      <c r="N219" s="98" t="s">
        <v>409</v>
      </c>
      <c r="O219" s="10" t="s">
        <v>143</v>
      </c>
      <c r="P219" s="63">
        <v>100</v>
      </c>
      <c r="Q219" s="94" t="s">
        <v>62</v>
      </c>
      <c r="R219" s="63" t="s">
        <v>410</v>
      </c>
      <c r="S219" s="96" t="s">
        <v>411</v>
      </c>
      <c r="T219" s="10" t="s">
        <v>65</v>
      </c>
      <c r="U219" s="10"/>
      <c r="V219" s="10" t="s">
        <v>412</v>
      </c>
      <c r="W219" s="10" t="s">
        <v>408</v>
      </c>
      <c r="X219" s="9" t="s">
        <v>67</v>
      </c>
      <c r="Y219" s="10" t="s">
        <v>340</v>
      </c>
      <c r="Z219" s="94" t="s">
        <v>125</v>
      </c>
      <c r="AA219" s="94" t="s">
        <v>341</v>
      </c>
      <c r="AB219" s="9" t="s">
        <v>71</v>
      </c>
      <c r="AC219" s="10" t="s">
        <v>62</v>
      </c>
      <c r="AD219" s="10" t="s">
        <v>72</v>
      </c>
      <c r="AE219" s="65" t="s">
        <v>73</v>
      </c>
      <c r="AF219" s="39" t="s">
        <v>417</v>
      </c>
      <c r="AG219" s="10" t="s">
        <v>127</v>
      </c>
      <c r="AH219" s="4">
        <v>650</v>
      </c>
      <c r="AI219" s="11" t="s">
        <v>128</v>
      </c>
      <c r="AJ219" s="4" t="s">
        <v>77</v>
      </c>
      <c r="AK219" s="36">
        <v>1400</v>
      </c>
      <c r="AL219" s="30">
        <v>502600000</v>
      </c>
      <c r="AM219" s="30">
        <v>12</v>
      </c>
      <c r="AN219" s="30">
        <v>4144490</v>
      </c>
      <c r="AO219" s="30">
        <v>57</v>
      </c>
      <c r="AP219" s="30">
        <v>20170464</v>
      </c>
      <c r="AQ219" s="30">
        <v>253</v>
      </c>
      <c r="AR219" s="30">
        <v>74659804</v>
      </c>
      <c r="AS219" s="52">
        <f t="shared" si="27"/>
        <v>0.18071428571428572</v>
      </c>
    </row>
    <row r="220" spans="1:45" x14ac:dyDescent="0.3">
      <c r="A220" s="1" t="str">
        <f t="shared" si="22"/>
        <v>DMDJ8i046DTS</v>
      </c>
      <c r="B220" s="32" t="s">
        <v>418</v>
      </c>
      <c r="C220" s="10" t="str">
        <f t="shared" si="25"/>
        <v>DJ8i0</v>
      </c>
      <c r="D220" s="10" t="s">
        <v>148</v>
      </c>
      <c r="E220" s="10" t="str">
        <f t="shared" si="23"/>
        <v>M</v>
      </c>
      <c r="F220" s="10" t="str">
        <f t="shared" si="24"/>
        <v>DJ</v>
      </c>
      <c r="G220" s="10" t="s">
        <v>56</v>
      </c>
      <c r="H220" s="4" t="s">
        <v>419</v>
      </c>
      <c r="I220" s="10" t="s">
        <v>414</v>
      </c>
      <c r="J220" s="4">
        <f t="shared" si="26"/>
        <v>1</v>
      </c>
      <c r="K220" s="4">
        <v>1</v>
      </c>
      <c r="L220" s="30">
        <v>359000</v>
      </c>
      <c r="M220" s="78" t="s">
        <v>194</v>
      </c>
      <c r="N220" s="98" t="s">
        <v>413</v>
      </c>
      <c r="O220" s="10" t="s">
        <v>143</v>
      </c>
      <c r="P220" s="63">
        <v>100</v>
      </c>
      <c r="Q220" s="94" t="s">
        <v>62</v>
      </c>
      <c r="R220" s="63" t="s">
        <v>392</v>
      </c>
      <c r="S220" s="96" t="s">
        <v>72</v>
      </c>
      <c r="T220" s="10" t="s">
        <v>65</v>
      </c>
      <c r="U220" s="10"/>
      <c r="V220" s="10" t="s">
        <v>66</v>
      </c>
      <c r="W220" s="10"/>
      <c r="X220" s="9" t="s">
        <v>67</v>
      </c>
      <c r="Y220" s="10" t="s">
        <v>68</v>
      </c>
      <c r="Z220" s="94" t="s">
        <v>125</v>
      </c>
      <c r="AA220" s="94" t="s">
        <v>90</v>
      </c>
      <c r="AB220" s="9" t="s">
        <v>71</v>
      </c>
      <c r="AC220" s="10" t="s">
        <v>62</v>
      </c>
      <c r="AD220" s="10" t="s">
        <v>72</v>
      </c>
      <c r="AE220" s="65" t="s">
        <v>73</v>
      </c>
      <c r="AF220" s="39" t="s">
        <v>362</v>
      </c>
      <c r="AG220" s="10" t="s">
        <v>127</v>
      </c>
      <c r="AH220" s="4">
        <v>650</v>
      </c>
      <c r="AI220" s="11" t="s">
        <v>264</v>
      </c>
      <c r="AJ220" s="4" t="s">
        <v>241</v>
      </c>
      <c r="AK220" s="36">
        <v>1519</v>
      </c>
      <c r="AL220" s="30">
        <v>545321000</v>
      </c>
      <c r="AM220" s="30">
        <v>17</v>
      </c>
      <c r="AN220" s="30">
        <v>6037100</v>
      </c>
      <c r="AO220" s="30">
        <v>32</v>
      </c>
      <c r="AP220" s="30">
        <v>11320756</v>
      </c>
      <c r="AQ220" s="30">
        <v>91</v>
      </c>
      <c r="AR220" s="30">
        <v>29000766</v>
      </c>
      <c r="AS220" s="52">
        <f t="shared" si="27"/>
        <v>5.9907834101382486E-2</v>
      </c>
    </row>
    <row r="221" spans="1:45" x14ac:dyDescent="0.3">
      <c r="A221" s="1" t="str">
        <f t="shared" si="22"/>
        <v>DMDJ8M046BKS</v>
      </c>
      <c r="B221" s="32" t="s">
        <v>420</v>
      </c>
      <c r="C221" s="10" t="str">
        <f t="shared" si="25"/>
        <v>DJ8M0</v>
      </c>
      <c r="D221" s="10" t="s">
        <v>55</v>
      </c>
      <c r="E221" s="10" t="str">
        <f t="shared" si="23"/>
        <v>M</v>
      </c>
      <c r="F221" s="10" t="str">
        <f t="shared" si="24"/>
        <v>DJ</v>
      </c>
      <c r="G221" s="10" t="s">
        <v>56</v>
      </c>
      <c r="H221" s="4" t="s">
        <v>421</v>
      </c>
      <c r="I221" s="10" t="s">
        <v>78</v>
      </c>
      <c r="J221" s="4">
        <f t="shared" si="26"/>
        <v>1</v>
      </c>
      <c r="K221" s="4">
        <v>1</v>
      </c>
      <c r="L221" s="30">
        <v>690000</v>
      </c>
      <c r="M221" s="78" t="s">
        <v>225</v>
      </c>
      <c r="N221" s="98" t="s">
        <v>226</v>
      </c>
      <c r="O221" s="10" t="s">
        <v>61</v>
      </c>
      <c r="P221" s="63">
        <v>100</v>
      </c>
      <c r="Q221" s="94" t="s">
        <v>119</v>
      </c>
      <c r="R221" s="63" t="s">
        <v>126</v>
      </c>
      <c r="S221" s="96" t="s">
        <v>227</v>
      </c>
      <c r="T221" s="10" t="s">
        <v>228</v>
      </c>
      <c r="U221" s="10" t="s">
        <v>198</v>
      </c>
      <c r="V221" s="10" t="s">
        <v>66</v>
      </c>
      <c r="W221" s="10" t="s">
        <v>229</v>
      </c>
      <c r="X221" s="9" t="s">
        <v>67</v>
      </c>
      <c r="Y221" s="10" t="s">
        <v>68</v>
      </c>
      <c r="Z221" s="94" t="s">
        <v>125</v>
      </c>
      <c r="AA221" s="94" t="s">
        <v>90</v>
      </c>
      <c r="AB221" s="9" t="s">
        <v>71</v>
      </c>
      <c r="AC221" s="10" t="s">
        <v>144</v>
      </c>
      <c r="AD221" s="10" t="s">
        <v>279</v>
      </c>
      <c r="AE221" s="65" t="s">
        <v>73</v>
      </c>
      <c r="AF221" s="39" t="s">
        <v>422</v>
      </c>
      <c r="AG221" s="10" t="s">
        <v>127</v>
      </c>
      <c r="AH221" s="4">
        <v>650</v>
      </c>
      <c r="AI221" s="11" t="s">
        <v>99</v>
      </c>
      <c r="AJ221" s="4" t="s">
        <v>100</v>
      </c>
      <c r="AK221" s="36">
        <v>1499</v>
      </c>
      <c r="AL221" s="30">
        <v>1034310000</v>
      </c>
      <c r="AM221" s="30">
        <v>91</v>
      </c>
      <c r="AN221" s="30">
        <v>61822703</v>
      </c>
      <c r="AO221" s="30">
        <v>452</v>
      </c>
      <c r="AP221" s="30">
        <v>296152992</v>
      </c>
      <c r="AQ221" s="30">
        <v>1095</v>
      </c>
      <c r="AR221" s="30">
        <v>717573212</v>
      </c>
      <c r="AS221" s="52">
        <f t="shared" si="27"/>
        <v>0.73048699132755168</v>
      </c>
    </row>
    <row r="222" spans="1:45" x14ac:dyDescent="0.3">
      <c r="A222" s="1" t="str">
        <f t="shared" si="22"/>
        <v>DMDJ8M046BGD</v>
      </c>
      <c r="B222" s="32" t="s">
        <v>420</v>
      </c>
      <c r="C222" s="10" t="str">
        <f t="shared" si="25"/>
        <v>DJ8M0</v>
      </c>
      <c r="D222" s="10" t="s">
        <v>55</v>
      </c>
      <c r="E222" s="10" t="str">
        <f t="shared" si="23"/>
        <v>M</v>
      </c>
      <c r="F222" s="10" t="str">
        <f t="shared" si="24"/>
        <v>DJ</v>
      </c>
      <c r="G222" s="10" t="s">
        <v>56</v>
      </c>
      <c r="H222" s="4" t="s">
        <v>421</v>
      </c>
      <c r="I222" s="10" t="s">
        <v>260</v>
      </c>
      <c r="J222" s="4" t="str">
        <f t="shared" si="26"/>
        <v/>
      </c>
      <c r="K222" s="4">
        <v>1</v>
      </c>
      <c r="L222" s="30">
        <v>690000</v>
      </c>
      <c r="M222" s="78" t="s">
        <v>225</v>
      </c>
      <c r="N222" s="98" t="s">
        <v>226</v>
      </c>
      <c r="O222" s="10" t="s">
        <v>61</v>
      </c>
      <c r="P222" s="63">
        <v>100</v>
      </c>
      <c r="Q222" s="94" t="s">
        <v>119</v>
      </c>
      <c r="R222" s="63" t="s">
        <v>126</v>
      </c>
      <c r="S222" s="96" t="s">
        <v>227</v>
      </c>
      <c r="T222" s="10" t="s">
        <v>228</v>
      </c>
      <c r="U222" s="10" t="s">
        <v>198</v>
      </c>
      <c r="V222" s="10" t="s">
        <v>66</v>
      </c>
      <c r="W222" s="10" t="s">
        <v>229</v>
      </c>
      <c r="X222" s="9" t="s">
        <v>67</v>
      </c>
      <c r="Y222" s="10" t="s">
        <v>68</v>
      </c>
      <c r="Z222" s="94" t="s">
        <v>125</v>
      </c>
      <c r="AA222" s="94" t="s">
        <v>90</v>
      </c>
      <c r="AB222" s="9" t="s">
        <v>71</v>
      </c>
      <c r="AC222" s="10" t="s">
        <v>144</v>
      </c>
      <c r="AD222" s="10" t="s">
        <v>279</v>
      </c>
      <c r="AE222" s="65" t="s">
        <v>73</v>
      </c>
      <c r="AF222" s="39" t="s">
        <v>422</v>
      </c>
      <c r="AG222" s="10" t="s">
        <v>127</v>
      </c>
      <c r="AH222" s="4">
        <v>650</v>
      </c>
      <c r="AI222" s="11" t="s">
        <v>99</v>
      </c>
      <c r="AJ222" s="4" t="s">
        <v>100</v>
      </c>
      <c r="AK222" s="36">
        <v>780</v>
      </c>
      <c r="AL222" s="30">
        <v>538200000</v>
      </c>
      <c r="AM222" s="30">
        <v>40</v>
      </c>
      <c r="AN222" s="30">
        <v>24903418</v>
      </c>
      <c r="AO222" s="30">
        <v>141</v>
      </c>
      <c r="AP222" s="30">
        <v>89733083</v>
      </c>
      <c r="AQ222" s="30">
        <v>289</v>
      </c>
      <c r="AR222" s="30">
        <v>187234679</v>
      </c>
      <c r="AS222" s="52">
        <f t="shared" si="27"/>
        <v>0.37051282051282053</v>
      </c>
    </row>
    <row r="223" spans="1:45" x14ac:dyDescent="0.3">
      <c r="A223" s="1" t="str">
        <f t="shared" si="22"/>
        <v>DMDJ6A046WHS</v>
      </c>
      <c r="B223" s="32" t="s">
        <v>423</v>
      </c>
      <c r="C223" s="10" t="str">
        <f t="shared" si="25"/>
        <v>DJ6A0</v>
      </c>
      <c r="D223" s="10" t="s">
        <v>55</v>
      </c>
      <c r="E223" s="10" t="str">
        <f t="shared" si="23"/>
        <v>M</v>
      </c>
      <c r="F223" s="10" t="str">
        <f t="shared" si="24"/>
        <v>DJ</v>
      </c>
      <c r="G223" s="10" t="s">
        <v>56</v>
      </c>
      <c r="H223" s="54" t="s">
        <v>424</v>
      </c>
      <c r="I223" s="10" t="s">
        <v>101</v>
      </c>
      <c r="J223" s="4">
        <f t="shared" si="26"/>
        <v>1</v>
      </c>
      <c r="K223" s="4">
        <v>1</v>
      </c>
      <c r="L223" s="30">
        <v>379000</v>
      </c>
      <c r="M223" s="78" t="s">
        <v>217</v>
      </c>
      <c r="N223" s="98" t="s">
        <v>425</v>
      </c>
      <c r="O223" s="10" t="s">
        <v>61</v>
      </c>
      <c r="P223" s="63">
        <v>100</v>
      </c>
      <c r="Q223" s="94" t="s">
        <v>219</v>
      </c>
      <c r="R223" s="63" t="s">
        <v>220</v>
      </c>
      <c r="S223" s="96" t="s">
        <v>221</v>
      </c>
      <c r="T223" s="10" t="s">
        <v>65</v>
      </c>
      <c r="U223" s="10"/>
      <c r="V223" s="10" t="s">
        <v>222</v>
      </c>
      <c r="W223" s="10"/>
      <c r="X223" s="9" t="s">
        <v>67</v>
      </c>
      <c r="Y223" s="10" t="s">
        <v>68</v>
      </c>
      <c r="Z223" s="94" t="s">
        <v>154</v>
      </c>
      <c r="AA223" s="94" t="s">
        <v>426</v>
      </c>
      <c r="AB223" s="9" t="s">
        <v>71</v>
      </c>
      <c r="AC223" s="10" t="s">
        <v>62</v>
      </c>
      <c r="AD223" s="10" t="s">
        <v>72</v>
      </c>
      <c r="AE223" s="65" t="s">
        <v>73</v>
      </c>
      <c r="AF223" s="39" t="s">
        <v>427</v>
      </c>
      <c r="AG223" s="10" t="s">
        <v>127</v>
      </c>
      <c r="AH223" s="4">
        <v>650</v>
      </c>
      <c r="AI223" s="11" t="s">
        <v>264</v>
      </c>
      <c r="AJ223" s="4" t="s">
        <v>241</v>
      </c>
      <c r="AK223" s="36">
        <v>1002</v>
      </c>
      <c r="AL223" s="30">
        <v>379758000</v>
      </c>
      <c r="AM223" s="30">
        <v>34</v>
      </c>
      <c r="AN223" s="30">
        <v>12718731</v>
      </c>
      <c r="AO223" s="30">
        <v>135</v>
      </c>
      <c r="AP223" s="30">
        <v>49185174</v>
      </c>
      <c r="AQ223" s="30">
        <v>297</v>
      </c>
      <c r="AR223" s="30">
        <v>108414732</v>
      </c>
      <c r="AS223" s="52">
        <f t="shared" si="27"/>
        <v>0.29640718562874252</v>
      </c>
    </row>
    <row r="224" spans="1:45" x14ac:dyDescent="0.3">
      <c r="A224" s="1" t="str">
        <f t="shared" si="22"/>
        <v>DMDJ6A046BKS</v>
      </c>
      <c r="B224" s="32" t="s">
        <v>423</v>
      </c>
      <c r="C224" s="10" t="str">
        <f t="shared" si="25"/>
        <v>DJ6A0</v>
      </c>
      <c r="D224" s="10" t="s">
        <v>55</v>
      </c>
      <c r="E224" s="10" t="str">
        <f t="shared" si="23"/>
        <v>M</v>
      </c>
      <c r="F224" s="10" t="str">
        <f t="shared" si="24"/>
        <v>DJ</v>
      </c>
      <c r="G224" s="10" t="s">
        <v>56</v>
      </c>
      <c r="H224" s="54" t="s">
        <v>424</v>
      </c>
      <c r="I224" s="10" t="s">
        <v>78</v>
      </c>
      <c r="J224" s="4" t="str">
        <f t="shared" si="26"/>
        <v/>
      </c>
      <c r="K224" s="4">
        <v>1</v>
      </c>
      <c r="L224" s="30">
        <v>379000</v>
      </c>
      <c r="M224" s="78" t="s">
        <v>217</v>
      </c>
      <c r="N224" s="98" t="s">
        <v>425</v>
      </c>
      <c r="O224" s="10" t="s">
        <v>61</v>
      </c>
      <c r="P224" s="63">
        <v>100</v>
      </c>
      <c r="Q224" s="94" t="s">
        <v>219</v>
      </c>
      <c r="R224" s="63" t="s">
        <v>220</v>
      </c>
      <c r="S224" s="96" t="s">
        <v>221</v>
      </c>
      <c r="T224" s="10" t="s">
        <v>65</v>
      </c>
      <c r="U224" s="10"/>
      <c r="V224" s="10" t="s">
        <v>222</v>
      </c>
      <c r="W224" s="10"/>
      <c r="X224" s="9" t="s">
        <v>67</v>
      </c>
      <c r="Y224" s="10" t="s">
        <v>68</v>
      </c>
      <c r="Z224" s="94" t="s">
        <v>154</v>
      </c>
      <c r="AA224" s="94" t="s">
        <v>426</v>
      </c>
      <c r="AB224" s="9" t="s">
        <v>71</v>
      </c>
      <c r="AC224" s="10" t="s">
        <v>62</v>
      </c>
      <c r="AD224" s="10" t="s">
        <v>72</v>
      </c>
      <c r="AE224" s="65" t="s">
        <v>73</v>
      </c>
      <c r="AF224" s="39" t="s">
        <v>427</v>
      </c>
      <c r="AG224" s="10" t="s">
        <v>127</v>
      </c>
      <c r="AH224" s="4">
        <v>650</v>
      </c>
      <c r="AI224" s="11" t="s">
        <v>264</v>
      </c>
      <c r="AJ224" s="4" t="s">
        <v>241</v>
      </c>
      <c r="AK224" s="36">
        <v>5960</v>
      </c>
      <c r="AL224" s="30">
        <v>2258840000</v>
      </c>
      <c r="AM224" s="30">
        <v>262</v>
      </c>
      <c r="AN224" s="30">
        <v>98139240</v>
      </c>
      <c r="AO224" s="30">
        <v>1142</v>
      </c>
      <c r="AP224" s="30">
        <v>414281322</v>
      </c>
      <c r="AQ224" s="30">
        <v>3296</v>
      </c>
      <c r="AR224" s="30">
        <v>1206388114</v>
      </c>
      <c r="AS224" s="52">
        <f t="shared" si="27"/>
        <v>0.55302013422818797</v>
      </c>
    </row>
    <row r="225" spans="1:45" x14ac:dyDescent="0.3">
      <c r="A225" s="1" t="str">
        <f t="shared" si="22"/>
        <v>DMDJ6A046LKS</v>
      </c>
      <c r="B225" s="32" t="s">
        <v>423</v>
      </c>
      <c r="C225" s="10" t="str">
        <f t="shared" si="25"/>
        <v>DJ6A0</v>
      </c>
      <c r="D225" s="10" t="s">
        <v>55</v>
      </c>
      <c r="E225" s="10" t="str">
        <f t="shared" si="23"/>
        <v>M</v>
      </c>
      <c r="F225" s="10" t="str">
        <f t="shared" si="24"/>
        <v>DJ</v>
      </c>
      <c r="G225" s="10" t="s">
        <v>56</v>
      </c>
      <c r="H225" s="54" t="s">
        <v>424</v>
      </c>
      <c r="I225" s="10" t="s">
        <v>179</v>
      </c>
      <c r="J225" s="4" t="str">
        <f t="shared" si="26"/>
        <v/>
      </c>
      <c r="K225" s="4">
        <v>1</v>
      </c>
      <c r="L225" s="30">
        <v>379000</v>
      </c>
      <c r="M225" s="78" t="s">
        <v>217</v>
      </c>
      <c r="N225" s="98" t="s">
        <v>425</v>
      </c>
      <c r="O225" s="10" t="s">
        <v>61</v>
      </c>
      <c r="P225" s="63">
        <v>100</v>
      </c>
      <c r="Q225" s="94" t="s">
        <v>219</v>
      </c>
      <c r="R225" s="63" t="s">
        <v>220</v>
      </c>
      <c r="S225" s="96" t="s">
        <v>221</v>
      </c>
      <c r="T225" s="10" t="s">
        <v>65</v>
      </c>
      <c r="U225" s="10"/>
      <c r="V225" s="10" t="s">
        <v>222</v>
      </c>
      <c r="W225" s="10"/>
      <c r="X225" s="9" t="s">
        <v>67</v>
      </c>
      <c r="Y225" s="10" t="s">
        <v>68</v>
      </c>
      <c r="Z225" s="94" t="s">
        <v>154</v>
      </c>
      <c r="AA225" s="94" t="s">
        <v>426</v>
      </c>
      <c r="AB225" s="9" t="s">
        <v>71</v>
      </c>
      <c r="AC225" s="10" t="s">
        <v>62</v>
      </c>
      <c r="AD225" s="10" t="s">
        <v>72</v>
      </c>
      <c r="AE225" s="65" t="s">
        <v>73</v>
      </c>
      <c r="AF225" s="39" t="s">
        <v>427</v>
      </c>
      <c r="AG225" s="10" t="s">
        <v>127</v>
      </c>
      <c r="AH225" s="4">
        <v>650</v>
      </c>
      <c r="AI225" s="11" t="s">
        <v>264</v>
      </c>
      <c r="AJ225" s="4" t="s">
        <v>241</v>
      </c>
      <c r="AK225" s="36">
        <v>2003</v>
      </c>
      <c r="AL225" s="30">
        <v>759137000</v>
      </c>
      <c r="AM225" s="30">
        <v>88</v>
      </c>
      <c r="AN225" s="30">
        <v>32964208</v>
      </c>
      <c r="AO225" s="30">
        <v>277</v>
      </c>
      <c r="AP225" s="30">
        <v>99643759</v>
      </c>
      <c r="AQ225" s="30">
        <v>815</v>
      </c>
      <c r="AR225" s="30">
        <v>289324908</v>
      </c>
      <c r="AS225" s="52">
        <f t="shared" si="27"/>
        <v>0.40688966550174738</v>
      </c>
    </row>
    <row r="226" spans="1:45" x14ac:dyDescent="0.3">
      <c r="A226" s="1" t="str">
        <f t="shared" si="22"/>
        <v>DMDJ6A046SIL</v>
      </c>
      <c r="B226" s="32" t="s">
        <v>423</v>
      </c>
      <c r="C226" s="10" t="str">
        <f t="shared" si="25"/>
        <v>DJ6A0</v>
      </c>
      <c r="D226" s="10" t="s">
        <v>55</v>
      </c>
      <c r="E226" s="10" t="str">
        <f t="shared" si="23"/>
        <v>M</v>
      </c>
      <c r="F226" s="10" t="str">
        <f t="shared" si="24"/>
        <v>DJ</v>
      </c>
      <c r="G226" s="10" t="s">
        <v>56</v>
      </c>
      <c r="H226" s="54" t="s">
        <v>424</v>
      </c>
      <c r="I226" s="10" t="s">
        <v>178</v>
      </c>
      <c r="J226" s="4" t="str">
        <f t="shared" si="26"/>
        <v/>
      </c>
      <c r="K226" s="4">
        <v>1</v>
      </c>
      <c r="L226" s="30">
        <v>379000</v>
      </c>
      <c r="M226" s="78" t="s">
        <v>217</v>
      </c>
      <c r="N226" s="98" t="s">
        <v>425</v>
      </c>
      <c r="O226" s="10" t="s">
        <v>61</v>
      </c>
      <c r="P226" s="63">
        <v>100</v>
      </c>
      <c r="Q226" s="94" t="s">
        <v>219</v>
      </c>
      <c r="R226" s="63" t="s">
        <v>220</v>
      </c>
      <c r="S226" s="96" t="s">
        <v>221</v>
      </c>
      <c r="T226" s="10" t="s">
        <v>65</v>
      </c>
      <c r="U226" s="10"/>
      <c r="V226" s="10" t="s">
        <v>222</v>
      </c>
      <c r="W226" s="10"/>
      <c r="X226" s="9" t="s">
        <v>67</v>
      </c>
      <c r="Y226" s="10" t="s">
        <v>68</v>
      </c>
      <c r="Z226" s="94" t="s">
        <v>154</v>
      </c>
      <c r="AA226" s="94" t="s">
        <v>426</v>
      </c>
      <c r="AB226" s="9" t="s">
        <v>71</v>
      </c>
      <c r="AC226" s="10" t="s">
        <v>62</v>
      </c>
      <c r="AD226" s="10" t="s">
        <v>72</v>
      </c>
      <c r="AE226" s="65" t="s">
        <v>73</v>
      </c>
      <c r="AF226" s="39" t="s">
        <v>427</v>
      </c>
      <c r="AG226" s="10" t="s">
        <v>127</v>
      </c>
      <c r="AH226" s="4">
        <v>650</v>
      </c>
      <c r="AI226" s="11" t="s">
        <v>264</v>
      </c>
      <c r="AJ226" s="4" t="s">
        <v>241</v>
      </c>
      <c r="AK226" s="36">
        <v>1761</v>
      </c>
      <c r="AL226" s="30">
        <v>667419000</v>
      </c>
      <c r="AM226" s="30">
        <v>37</v>
      </c>
      <c r="AN226" s="30">
        <v>13837400</v>
      </c>
      <c r="AO226" s="30">
        <v>165</v>
      </c>
      <c r="AP226" s="30">
        <v>59689130</v>
      </c>
      <c r="AQ226" s="30">
        <v>379</v>
      </c>
      <c r="AR226" s="30">
        <v>138115627</v>
      </c>
      <c r="AS226" s="52">
        <f t="shared" si="27"/>
        <v>0.21521862578080636</v>
      </c>
    </row>
    <row r="227" spans="1:45" x14ac:dyDescent="0.3">
      <c r="A227" s="1" t="str">
        <f t="shared" si="22"/>
        <v>DMDJ6C046BKS</v>
      </c>
      <c r="B227" s="32" t="s">
        <v>428</v>
      </c>
      <c r="C227" s="10" t="str">
        <f t="shared" si="25"/>
        <v>DJ6C0</v>
      </c>
      <c r="D227" s="10" t="s">
        <v>55</v>
      </c>
      <c r="E227" s="10" t="str">
        <f t="shared" si="23"/>
        <v>M</v>
      </c>
      <c r="F227" s="10" t="str">
        <f t="shared" si="24"/>
        <v>DJ</v>
      </c>
      <c r="G227" s="10" t="s">
        <v>56</v>
      </c>
      <c r="H227" s="4" t="s">
        <v>429</v>
      </c>
      <c r="I227" s="10" t="s">
        <v>78</v>
      </c>
      <c r="J227" s="4">
        <f t="shared" si="26"/>
        <v>1</v>
      </c>
      <c r="K227" s="4">
        <v>1</v>
      </c>
      <c r="L227" s="30">
        <v>410000</v>
      </c>
      <c r="M227" s="78" t="s">
        <v>217</v>
      </c>
      <c r="N227" s="98" t="s">
        <v>425</v>
      </c>
      <c r="O227" s="10" t="s">
        <v>61</v>
      </c>
      <c r="P227" s="63">
        <v>100</v>
      </c>
      <c r="Q227" s="94" t="s">
        <v>219</v>
      </c>
      <c r="R227" s="63" t="s">
        <v>220</v>
      </c>
      <c r="S227" s="96" t="s">
        <v>221</v>
      </c>
      <c r="T227" s="10" t="s">
        <v>65</v>
      </c>
      <c r="U227" s="10"/>
      <c r="V227" s="10" t="s">
        <v>222</v>
      </c>
      <c r="W227" s="10"/>
      <c r="X227" s="9" t="s">
        <v>67</v>
      </c>
      <c r="Y227" s="10" t="s">
        <v>68</v>
      </c>
      <c r="Z227" s="94" t="s">
        <v>154</v>
      </c>
      <c r="AA227" s="94" t="s">
        <v>426</v>
      </c>
      <c r="AB227" s="9" t="s">
        <v>71</v>
      </c>
      <c r="AC227" s="10" t="s">
        <v>62</v>
      </c>
      <c r="AD227" s="10" t="s">
        <v>72</v>
      </c>
      <c r="AE227" s="65" t="s">
        <v>73</v>
      </c>
      <c r="AF227" s="39" t="s">
        <v>430</v>
      </c>
      <c r="AG227" s="10" t="s">
        <v>127</v>
      </c>
      <c r="AH227" s="4">
        <v>650</v>
      </c>
      <c r="AI227" s="11" t="s">
        <v>107</v>
      </c>
      <c r="AJ227" s="4" t="s">
        <v>108</v>
      </c>
      <c r="AK227" s="36">
        <v>3006</v>
      </c>
      <c r="AL227" s="30">
        <v>1232460000</v>
      </c>
      <c r="AM227" s="30">
        <v>80</v>
      </c>
      <c r="AN227" s="30">
        <v>32119144</v>
      </c>
      <c r="AO227" s="30">
        <v>316</v>
      </c>
      <c r="AP227" s="30">
        <v>126590205</v>
      </c>
      <c r="AQ227" s="30">
        <v>1647</v>
      </c>
      <c r="AR227" s="30">
        <v>552315344</v>
      </c>
      <c r="AS227" s="52">
        <f t="shared" si="27"/>
        <v>0.54790419161676651</v>
      </c>
    </row>
    <row r="228" spans="1:45" x14ac:dyDescent="0.3">
      <c r="A228" s="1" t="str">
        <f t="shared" si="22"/>
        <v>DMDJ6C046LKS</v>
      </c>
      <c r="B228" s="32" t="s">
        <v>428</v>
      </c>
      <c r="C228" s="10" t="str">
        <f t="shared" si="25"/>
        <v>DJ6C0</v>
      </c>
      <c r="D228" s="10" t="s">
        <v>55</v>
      </c>
      <c r="E228" s="10" t="str">
        <f t="shared" si="23"/>
        <v>M</v>
      </c>
      <c r="F228" s="10" t="str">
        <f t="shared" si="24"/>
        <v>DJ</v>
      </c>
      <c r="G228" s="10" t="s">
        <v>56</v>
      </c>
      <c r="H228" s="4" t="s">
        <v>429</v>
      </c>
      <c r="I228" s="10" t="s">
        <v>179</v>
      </c>
      <c r="J228" s="4" t="str">
        <f t="shared" si="26"/>
        <v/>
      </c>
      <c r="K228" s="4">
        <v>1</v>
      </c>
      <c r="L228" s="30">
        <v>410000</v>
      </c>
      <c r="M228" s="78" t="s">
        <v>217</v>
      </c>
      <c r="N228" s="98" t="s">
        <v>425</v>
      </c>
      <c r="O228" s="10" t="s">
        <v>61</v>
      </c>
      <c r="P228" s="63">
        <v>100</v>
      </c>
      <c r="Q228" s="94" t="s">
        <v>219</v>
      </c>
      <c r="R228" s="63" t="s">
        <v>220</v>
      </c>
      <c r="S228" s="96" t="s">
        <v>221</v>
      </c>
      <c r="T228" s="10" t="s">
        <v>65</v>
      </c>
      <c r="U228" s="10"/>
      <c r="V228" s="10" t="s">
        <v>222</v>
      </c>
      <c r="W228" s="10"/>
      <c r="X228" s="9" t="s">
        <v>67</v>
      </c>
      <c r="Y228" s="10" t="s">
        <v>68</v>
      </c>
      <c r="Z228" s="94" t="s">
        <v>154</v>
      </c>
      <c r="AA228" s="94" t="s">
        <v>426</v>
      </c>
      <c r="AB228" s="9" t="s">
        <v>71</v>
      </c>
      <c r="AC228" s="10" t="s">
        <v>62</v>
      </c>
      <c r="AD228" s="10" t="s">
        <v>72</v>
      </c>
      <c r="AE228" s="65" t="s">
        <v>73</v>
      </c>
      <c r="AF228" s="39" t="s">
        <v>430</v>
      </c>
      <c r="AG228" s="10" t="s">
        <v>127</v>
      </c>
      <c r="AH228" s="4">
        <v>650</v>
      </c>
      <c r="AI228" s="11" t="s">
        <v>107</v>
      </c>
      <c r="AJ228" s="4" t="s">
        <v>108</v>
      </c>
      <c r="AK228" s="36">
        <v>986</v>
      </c>
      <c r="AL228" s="30">
        <v>404260000</v>
      </c>
      <c r="AM228" s="30">
        <v>8</v>
      </c>
      <c r="AN228" s="30">
        <v>3143852</v>
      </c>
      <c r="AO228" s="30">
        <v>29</v>
      </c>
      <c r="AP228" s="30">
        <v>11320352</v>
      </c>
      <c r="AQ228" s="30">
        <v>165</v>
      </c>
      <c r="AR228" s="30">
        <v>54693572</v>
      </c>
      <c r="AS228" s="52">
        <f t="shared" si="27"/>
        <v>0.16734279918864098</v>
      </c>
    </row>
    <row r="229" spans="1:45" x14ac:dyDescent="0.3">
      <c r="A229" s="1" t="str">
        <f t="shared" si="22"/>
        <v>DMDJ6C046GRD</v>
      </c>
      <c r="B229" s="32" t="s">
        <v>428</v>
      </c>
      <c r="C229" s="10" t="str">
        <f t="shared" si="25"/>
        <v>DJ6C0</v>
      </c>
      <c r="D229" s="10" t="s">
        <v>55</v>
      </c>
      <c r="E229" s="10" t="str">
        <f t="shared" si="23"/>
        <v>M</v>
      </c>
      <c r="F229" s="10" t="str">
        <f t="shared" si="24"/>
        <v>DJ</v>
      </c>
      <c r="G229" s="10" t="s">
        <v>56</v>
      </c>
      <c r="H229" s="4" t="s">
        <v>429</v>
      </c>
      <c r="I229" s="10" t="s">
        <v>215</v>
      </c>
      <c r="J229" s="4" t="str">
        <f t="shared" si="26"/>
        <v/>
      </c>
      <c r="K229" s="4">
        <v>1</v>
      </c>
      <c r="L229" s="30">
        <v>410000</v>
      </c>
      <c r="M229" s="78" t="s">
        <v>217</v>
      </c>
      <c r="N229" s="98" t="s">
        <v>425</v>
      </c>
      <c r="O229" s="10" t="s">
        <v>61</v>
      </c>
      <c r="P229" s="63">
        <v>100</v>
      </c>
      <c r="Q229" s="94" t="s">
        <v>219</v>
      </c>
      <c r="R229" s="63" t="s">
        <v>220</v>
      </c>
      <c r="S229" s="96" t="s">
        <v>221</v>
      </c>
      <c r="T229" s="10" t="s">
        <v>65</v>
      </c>
      <c r="U229" s="10"/>
      <c r="V229" s="10" t="s">
        <v>222</v>
      </c>
      <c r="W229" s="10"/>
      <c r="X229" s="9" t="s">
        <v>67</v>
      </c>
      <c r="Y229" s="10" t="s">
        <v>68</v>
      </c>
      <c r="Z229" s="94" t="s">
        <v>154</v>
      </c>
      <c r="AA229" s="94" t="s">
        <v>426</v>
      </c>
      <c r="AB229" s="9" t="s">
        <v>71</v>
      </c>
      <c r="AC229" s="10" t="s">
        <v>62</v>
      </c>
      <c r="AD229" s="10" t="s">
        <v>72</v>
      </c>
      <c r="AE229" s="65" t="s">
        <v>73</v>
      </c>
      <c r="AF229" s="39" t="s">
        <v>430</v>
      </c>
      <c r="AG229" s="10" t="s">
        <v>127</v>
      </c>
      <c r="AH229" s="4">
        <v>650</v>
      </c>
      <c r="AI229" s="11" t="s">
        <v>107</v>
      </c>
      <c r="AJ229" s="4" t="s">
        <v>108</v>
      </c>
      <c r="AK229" s="36">
        <v>1200</v>
      </c>
      <c r="AL229" s="30">
        <v>492000000</v>
      </c>
      <c r="AM229" s="30">
        <v>31</v>
      </c>
      <c r="AN229" s="30">
        <v>12311280</v>
      </c>
      <c r="AO229" s="30">
        <v>81</v>
      </c>
      <c r="AP229" s="30">
        <v>32440266</v>
      </c>
      <c r="AQ229" s="30">
        <v>443</v>
      </c>
      <c r="AR229" s="30">
        <v>148599056</v>
      </c>
      <c r="AS229" s="52">
        <f t="shared" si="27"/>
        <v>0.36916666666666664</v>
      </c>
    </row>
    <row r="230" spans="1:45" x14ac:dyDescent="0.3">
      <c r="A230" s="1" t="str">
        <f t="shared" si="22"/>
        <v>DMDJ6A046CAD</v>
      </c>
      <c r="B230" s="32" t="s">
        <v>423</v>
      </c>
      <c r="C230" s="10" t="str">
        <f t="shared" si="25"/>
        <v>DJ6A0</v>
      </c>
      <c r="D230" s="10" t="s">
        <v>148</v>
      </c>
      <c r="E230" s="10" t="str">
        <f t="shared" si="23"/>
        <v>M</v>
      </c>
      <c r="F230" s="10" t="str">
        <f t="shared" si="24"/>
        <v>DJ</v>
      </c>
      <c r="G230" s="10" t="s">
        <v>56</v>
      </c>
      <c r="H230" s="4" t="s">
        <v>431</v>
      </c>
      <c r="I230" s="10" t="s">
        <v>432</v>
      </c>
      <c r="J230" s="4">
        <f t="shared" si="26"/>
        <v>1</v>
      </c>
      <c r="K230" s="4">
        <v>1</v>
      </c>
      <c r="L230" s="30">
        <v>379000</v>
      </c>
      <c r="M230" s="78" t="s">
        <v>217</v>
      </c>
      <c r="N230" s="98" t="s">
        <v>425</v>
      </c>
      <c r="O230" s="10" t="s">
        <v>61</v>
      </c>
      <c r="P230" s="63">
        <v>100</v>
      </c>
      <c r="Q230" s="94" t="s">
        <v>219</v>
      </c>
      <c r="R230" s="63" t="s">
        <v>220</v>
      </c>
      <c r="S230" s="96" t="s">
        <v>221</v>
      </c>
      <c r="T230" s="10" t="s">
        <v>65</v>
      </c>
      <c r="U230" s="10"/>
      <c r="V230" s="10" t="s">
        <v>222</v>
      </c>
      <c r="W230" s="10"/>
      <c r="X230" s="9" t="s">
        <v>67</v>
      </c>
      <c r="Y230" s="10" t="s">
        <v>68</v>
      </c>
      <c r="Z230" s="94" t="s">
        <v>154</v>
      </c>
      <c r="AA230" s="94" t="s">
        <v>426</v>
      </c>
      <c r="AB230" s="9" t="s">
        <v>71</v>
      </c>
      <c r="AC230" s="10" t="s">
        <v>62</v>
      </c>
      <c r="AD230" s="10" t="s">
        <v>72</v>
      </c>
      <c r="AE230" s="65" t="s">
        <v>73</v>
      </c>
      <c r="AF230" s="39" t="s">
        <v>427</v>
      </c>
      <c r="AG230" s="10" t="s">
        <v>127</v>
      </c>
      <c r="AH230" s="4">
        <v>650</v>
      </c>
      <c r="AI230" s="11" t="s">
        <v>264</v>
      </c>
      <c r="AJ230" s="4" t="s">
        <v>241</v>
      </c>
      <c r="AK230" s="36">
        <v>1000</v>
      </c>
      <c r="AL230" s="30">
        <v>379000000</v>
      </c>
      <c r="AM230" s="30">
        <v>0</v>
      </c>
      <c r="AN230" s="30">
        <v>0</v>
      </c>
      <c r="AO230" s="30">
        <v>0</v>
      </c>
      <c r="AP230" s="30">
        <v>0</v>
      </c>
      <c r="AQ230" s="30">
        <v>75</v>
      </c>
      <c r="AR230" s="30">
        <v>26877315</v>
      </c>
      <c r="AS230" s="52">
        <f t="shared" si="27"/>
        <v>7.4999999999999997E-2</v>
      </c>
    </row>
    <row r="231" spans="1:45" x14ac:dyDescent="0.3">
      <c r="A231" s="1" t="str">
        <f t="shared" si="22"/>
        <v>DMDJ6E046DGS</v>
      </c>
      <c r="B231" s="32" t="s">
        <v>433</v>
      </c>
      <c r="C231" s="10" t="str">
        <f t="shared" si="25"/>
        <v>DJ6E0</v>
      </c>
      <c r="D231" s="10" t="s">
        <v>55</v>
      </c>
      <c r="E231" s="10" t="str">
        <f t="shared" si="23"/>
        <v>M</v>
      </c>
      <c r="F231" s="10" t="str">
        <f t="shared" si="24"/>
        <v>DJ</v>
      </c>
      <c r="G231" s="10" t="s">
        <v>56</v>
      </c>
      <c r="H231" s="4" t="s">
        <v>434</v>
      </c>
      <c r="I231" s="10" t="s">
        <v>435</v>
      </c>
      <c r="J231" s="4">
        <f t="shared" si="26"/>
        <v>1</v>
      </c>
      <c r="K231" s="4">
        <v>1</v>
      </c>
      <c r="L231" s="30">
        <v>399000</v>
      </c>
      <c r="M231" s="78" t="s">
        <v>436</v>
      </c>
      <c r="N231" s="98" t="s">
        <v>437</v>
      </c>
      <c r="O231" s="10" t="s">
        <v>143</v>
      </c>
      <c r="P231" s="63">
        <v>100</v>
      </c>
      <c r="Q231" s="94" t="s">
        <v>144</v>
      </c>
      <c r="R231" s="63" t="s">
        <v>438</v>
      </c>
      <c r="S231" s="96" t="s">
        <v>439</v>
      </c>
      <c r="T231" s="10" t="s">
        <v>122</v>
      </c>
      <c r="U231" s="10" t="s">
        <v>123</v>
      </c>
      <c r="V231" s="10" t="s">
        <v>66</v>
      </c>
      <c r="W231" s="10"/>
      <c r="X231" s="9" t="s">
        <v>67</v>
      </c>
      <c r="Y231" s="10" t="s">
        <v>440</v>
      </c>
      <c r="Z231" s="94" t="s">
        <v>441</v>
      </c>
      <c r="AA231" s="94" t="s">
        <v>90</v>
      </c>
      <c r="AB231" s="9" t="s">
        <v>71</v>
      </c>
      <c r="AC231" s="10" t="s">
        <v>85</v>
      </c>
      <c r="AD231" s="10" t="s">
        <v>208</v>
      </c>
      <c r="AE231" s="65" t="s">
        <v>73</v>
      </c>
      <c r="AF231" s="39" t="s">
        <v>442</v>
      </c>
      <c r="AG231" s="10" t="s">
        <v>127</v>
      </c>
      <c r="AH231" s="4">
        <v>650</v>
      </c>
      <c r="AI231" s="11" t="s">
        <v>264</v>
      </c>
      <c r="AJ231" s="4" t="s">
        <v>241</v>
      </c>
      <c r="AK231" s="36">
        <v>786</v>
      </c>
      <c r="AL231" s="30">
        <v>313614000</v>
      </c>
      <c r="AM231" s="30">
        <v>51</v>
      </c>
      <c r="AN231" s="30">
        <v>20311735</v>
      </c>
      <c r="AO231" s="30">
        <v>189</v>
      </c>
      <c r="AP231" s="30">
        <v>74058177</v>
      </c>
      <c r="AQ231" s="30">
        <v>478</v>
      </c>
      <c r="AR231" s="30">
        <v>184689854</v>
      </c>
      <c r="AS231" s="52">
        <f t="shared" si="27"/>
        <v>0.6081424936386769</v>
      </c>
    </row>
    <row r="232" spans="1:45" x14ac:dyDescent="0.3">
      <c r="A232" s="1" t="str">
        <f t="shared" si="22"/>
        <v>DMDJ6E046BKS</v>
      </c>
      <c r="B232" s="32" t="s">
        <v>433</v>
      </c>
      <c r="C232" s="10" t="str">
        <f t="shared" si="25"/>
        <v>DJ6E0</v>
      </c>
      <c r="D232" s="10" t="s">
        <v>55</v>
      </c>
      <c r="E232" s="10" t="str">
        <f t="shared" si="23"/>
        <v>M</v>
      </c>
      <c r="F232" s="10" t="str">
        <f t="shared" si="24"/>
        <v>DJ</v>
      </c>
      <c r="G232" s="10" t="s">
        <v>56</v>
      </c>
      <c r="H232" s="4" t="s">
        <v>434</v>
      </c>
      <c r="I232" s="10" t="s">
        <v>78</v>
      </c>
      <c r="J232" s="4" t="str">
        <f t="shared" si="26"/>
        <v/>
      </c>
      <c r="K232" s="4">
        <v>1</v>
      </c>
      <c r="L232" s="30">
        <v>399000</v>
      </c>
      <c r="M232" s="78" t="s">
        <v>436</v>
      </c>
      <c r="N232" s="98" t="s">
        <v>437</v>
      </c>
      <c r="O232" s="10" t="s">
        <v>143</v>
      </c>
      <c r="P232" s="63">
        <v>100</v>
      </c>
      <c r="Q232" s="94" t="s">
        <v>144</v>
      </c>
      <c r="R232" s="63" t="s">
        <v>438</v>
      </c>
      <c r="S232" s="96" t="s">
        <v>439</v>
      </c>
      <c r="T232" s="10" t="s">
        <v>122</v>
      </c>
      <c r="U232" s="10" t="s">
        <v>123</v>
      </c>
      <c r="V232" s="10" t="s">
        <v>66</v>
      </c>
      <c r="W232" s="10"/>
      <c r="X232" s="9" t="s">
        <v>67</v>
      </c>
      <c r="Y232" s="10" t="s">
        <v>440</v>
      </c>
      <c r="Z232" s="94" t="s">
        <v>441</v>
      </c>
      <c r="AA232" s="94" t="s">
        <v>90</v>
      </c>
      <c r="AB232" s="9" t="s">
        <v>71</v>
      </c>
      <c r="AC232" s="10" t="s">
        <v>85</v>
      </c>
      <c r="AD232" s="10" t="s">
        <v>208</v>
      </c>
      <c r="AE232" s="65" t="s">
        <v>73</v>
      </c>
      <c r="AF232" s="39" t="s">
        <v>442</v>
      </c>
      <c r="AG232" s="10" t="s">
        <v>127</v>
      </c>
      <c r="AH232" s="4">
        <v>650</v>
      </c>
      <c r="AI232" s="11" t="s">
        <v>264</v>
      </c>
      <c r="AJ232" s="4" t="s">
        <v>241</v>
      </c>
      <c r="AK232" s="36">
        <v>1668</v>
      </c>
      <c r="AL232" s="30">
        <v>665532000</v>
      </c>
      <c r="AM232" s="30">
        <v>111</v>
      </c>
      <c r="AN232" s="30">
        <v>43381220</v>
      </c>
      <c r="AO232" s="30">
        <v>530</v>
      </c>
      <c r="AP232" s="30">
        <v>207382315</v>
      </c>
      <c r="AQ232" s="30">
        <v>1114</v>
      </c>
      <c r="AR232" s="30">
        <v>431731436</v>
      </c>
      <c r="AS232" s="52">
        <f t="shared" si="27"/>
        <v>0.66786570743405271</v>
      </c>
    </row>
    <row r="233" spans="1:45" x14ac:dyDescent="0.3">
      <c r="A233" s="1" t="str">
        <f t="shared" si="22"/>
        <v>DMDJG1046BES</v>
      </c>
      <c r="B233" s="32" t="s">
        <v>443</v>
      </c>
      <c r="C233" s="10" t="str">
        <f t="shared" si="25"/>
        <v>DJG10</v>
      </c>
      <c r="D233" s="10" t="s">
        <v>55</v>
      </c>
      <c r="E233" s="10" t="str">
        <f t="shared" si="23"/>
        <v>M</v>
      </c>
      <c r="F233" s="10" t="str">
        <f t="shared" si="24"/>
        <v>DJ</v>
      </c>
      <c r="G233" s="10" t="s">
        <v>56</v>
      </c>
      <c r="H233" s="4" t="s">
        <v>444</v>
      </c>
      <c r="I233" s="10" t="s">
        <v>385</v>
      </c>
      <c r="J233" s="4">
        <f t="shared" si="26"/>
        <v>1</v>
      </c>
      <c r="K233" s="4">
        <v>1</v>
      </c>
      <c r="L233" s="30">
        <v>239000</v>
      </c>
      <c r="M233" s="78" t="s">
        <v>217</v>
      </c>
      <c r="N233" s="98" t="s">
        <v>329</v>
      </c>
      <c r="O233" s="10" t="s">
        <v>61</v>
      </c>
      <c r="P233" s="63">
        <v>100</v>
      </c>
      <c r="Q233" s="94" t="s">
        <v>330</v>
      </c>
      <c r="R233" s="63" t="s">
        <v>246</v>
      </c>
      <c r="S233" s="96" t="s">
        <v>331</v>
      </c>
      <c r="T233" s="10" t="s">
        <v>122</v>
      </c>
      <c r="U233" s="10" t="s">
        <v>332</v>
      </c>
      <c r="V233" s="10" t="s">
        <v>66</v>
      </c>
      <c r="W233" s="10"/>
      <c r="X233" s="9" t="s">
        <v>67</v>
      </c>
      <c r="Y233" s="10" t="s">
        <v>68</v>
      </c>
      <c r="Z233" s="94" t="s">
        <v>125</v>
      </c>
      <c r="AA233" s="94" t="s">
        <v>90</v>
      </c>
      <c r="AB233" s="9" t="s">
        <v>71</v>
      </c>
      <c r="AC233" s="10" t="s">
        <v>62</v>
      </c>
      <c r="AD233" s="10" t="s">
        <v>72</v>
      </c>
      <c r="AE233" s="65" t="s">
        <v>73</v>
      </c>
      <c r="AF233" s="39" t="s">
        <v>333</v>
      </c>
      <c r="AG233" s="10" t="s">
        <v>240</v>
      </c>
      <c r="AH233" s="4">
        <v>650</v>
      </c>
      <c r="AI233" s="11" t="s">
        <v>76</v>
      </c>
      <c r="AJ233" s="4" t="s">
        <v>241</v>
      </c>
      <c r="AK233" s="36">
        <v>1012</v>
      </c>
      <c r="AL233" s="30">
        <v>241868000</v>
      </c>
      <c r="AM233" s="30">
        <v>97</v>
      </c>
      <c r="AN233" s="30">
        <v>16218100</v>
      </c>
      <c r="AO233" s="30">
        <v>777</v>
      </c>
      <c r="AP233" s="30">
        <v>132258868</v>
      </c>
      <c r="AQ233" s="30">
        <v>981</v>
      </c>
      <c r="AR233" s="30">
        <v>166274928</v>
      </c>
      <c r="AS233" s="52">
        <f t="shared" si="27"/>
        <v>0.96936758893280628</v>
      </c>
    </row>
    <row r="234" spans="1:45" x14ac:dyDescent="0.3">
      <c r="A234" s="1" t="str">
        <f t="shared" si="22"/>
        <v>DMDJG1046GRL</v>
      </c>
      <c r="B234" s="32" t="s">
        <v>443</v>
      </c>
      <c r="C234" s="10" t="str">
        <f t="shared" si="25"/>
        <v>DJG10</v>
      </c>
      <c r="D234" s="10" t="s">
        <v>55</v>
      </c>
      <c r="E234" s="10" t="str">
        <f t="shared" si="23"/>
        <v>M</v>
      </c>
      <c r="F234" s="10" t="str">
        <f t="shared" si="24"/>
        <v>DJ</v>
      </c>
      <c r="G234" s="10" t="s">
        <v>56</v>
      </c>
      <c r="H234" s="4" t="s">
        <v>444</v>
      </c>
      <c r="I234" s="10" t="s">
        <v>113</v>
      </c>
      <c r="J234" s="4" t="str">
        <f t="shared" si="26"/>
        <v/>
      </c>
      <c r="K234" s="4">
        <v>1</v>
      </c>
      <c r="L234" s="30">
        <v>239000</v>
      </c>
      <c r="M234" s="78" t="s">
        <v>217</v>
      </c>
      <c r="N234" s="98" t="s">
        <v>329</v>
      </c>
      <c r="O234" s="10" t="s">
        <v>61</v>
      </c>
      <c r="P234" s="63">
        <v>100</v>
      </c>
      <c r="Q234" s="94" t="s">
        <v>330</v>
      </c>
      <c r="R234" s="63" t="s">
        <v>246</v>
      </c>
      <c r="S234" s="96" t="s">
        <v>331</v>
      </c>
      <c r="T234" s="10" t="s">
        <v>122</v>
      </c>
      <c r="U234" s="10" t="s">
        <v>332</v>
      </c>
      <c r="V234" s="10" t="s">
        <v>66</v>
      </c>
      <c r="W234" s="10"/>
      <c r="X234" s="9" t="s">
        <v>67</v>
      </c>
      <c r="Y234" s="10" t="s">
        <v>68</v>
      </c>
      <c r="Z234" s="94" t="s">
        <v>125</v>
      </c>
      <c r="AA234" s="94" t="s">
        <v>90</v>
      </c>
      <c r="AB234" s="9" t="s">
        <v>71</v>
      </c>
      <c r="AC234" s="10" t="s">
        <v>62</v>
      </c>
      <c r="AD234" s="10" t="s">
        <v>72</v>
      </c>
      <c r="AE234" s="65" t="s">
        <v>73</v>
      </c>
      <c r="AF234" s="39" t="s">
        <v>333</v>
      </c>
      <c r="AG234" s="10" t="s">
        <v>240</v>
      </c>
      <c r="AH234" s="4">
        <v>650</v>
      </c>
      <c r="AI234" s="11" t="s">
        <v>76</v>
      </c>
      <c r="AJ234" s="4" t="s">
        <v>241</v>
      </c>
      <c r="AK234" s="36">
        <v>807</v>
      </c>
      <c r="AL234" s="30">
        <v>192873000</v>
      </c>
      <c r="AM234" s="30">
        <v>47</v>
      </c>
      <c r="AN234" s="30">
        <v>7796440</v>
      </c>
      <c r="AO234" s="30">
        <v>727</v>
      </c>
      <c r="AP234" s="30">
        <v>123395544</v>
      </c>
      <c r="AQ234" s="30">
        <v>784</v>
      </c>
      <c r="AR234" s="30">
        <v>132921644</v>
      </c>
      <c r="AS234" s="52">
        <f t="shared" si="27"/>
        <v>0.97149938042131345</v>
      </c>
    </row>
    <row r="235" spans="1:45" x14ac:dyDescent="0.3">
      <c r="A235" s="1" t="str">
        <f t="shared" si="22"/>
        <v>DMDJG1046BKS</v>
      </c>
      <c r="B235" s="32" t="s">
        <v>443</v>
      </c>
      <c r="C235" s="10" t="str">
        <f t="shared" si="25"/>
        <v>DJG10</v>
      </c>
      <c r="D235" s="10" t="s">
        <v>55</v>
      </c>
      <c r="E235" s="10" t="str">
        <f t="shared" si="23"/>
        <v>M</v>
      </c>
      <c r="F235" s="10" t="str">
        <f t="shared" si="24"/>
        <v>DJ</v>
      </c>
      <c r="G235" s="10" t="s">
        <v>56</v>
      </c>
      <c r="H235" s="4" t="s">
        <v>444</v>
      </c>
      <c r="I235" s="10" t="s">
        <v>78</v>
      </c>
      <c r="J235" s="4" t="str">
        <f t="shared" si="26"/>
        <v/>
      </c>
      <c r="K235" s="4">
        <v>1</v>
      </c>
      <c r="L235" s="30">
        <v>239000</v>
      </c>
      <c r="M235" s="78" t="s">
        <v>217</v>
      </c>
      <c r="N235" s="98" t="s">
        <v>329</v>
      </c>
      <c r="O235" s="10" t="s">
        <v>61</v>
      </c>
      <c r="P235" s="63">
        <v>100</v>
      </c>
      <c r="Q235" s="94" t="s">
        <v>330</v>
      </c>
      <c r="R235" s="63" t="s">
        <v>246</v>
      </c>
      <c r="S235" s="96" t="s">
        <v>331</v>
      </c>
      <c r="T235" s="10" t="s">
        <v>122</v>
      </c>
      <c r="U235" s="10" t="s">
        <v>332</v>
      </c>
      <c r="V235" s="10" t="s">
        <v>66</v>
      </c>
      <c r="W235" s="10"/>
      <c r="X235" s="9" t="s">
        <v>67</v>
      </c>
      <c r="Y235" s="10" t="s">
        <v>68</v>
      </c>
      <c r="Z235" s="94" t="s">
        <v>125</v>
      </c>
      <c r="AA235" s="94" t="s">
        <v>90</v>
      </c>
      <c r="AB235" s="9" t="s">
        <v>71</v>
      </c>
      <c r="AC235" s="10" t="s">
        <v>62</v>
      </c>
      <c r="AD235" s="10" t="s">
        <v>72</v>
      </c>
      <c r="AE235" s="65" t="s">
        <v>73</v>
      </c>
      <c r="AF235" s="39" t="s">
        <v>333</v>
      </c>
      <c r="AG235" s="10" t="s">
        <v>240</v>
      </c>
      <c r="AH235" s="4">
        <v>650</v>
      </c>
      <c r="AI235" s="11" t="s">
        <v>76</v>
      </c>
      <c r="AJ235" s="4" t="s">
        <v>241</v>
      </c>
      <c r="AK235" s="36">
        <v>2744</v>
      </c>
      <c r="AL235" s="30">
        <v>655816000</v>
      </c>
      <c r="AM235" s="30">
        <v>82</v>
      </c>
      <c r="AN235" s="30">
        <v>13711950</v>
      </c>
      <c r="AO235" s="30">
        <v>2683</v>
      </c>
      <c r="AP235" s="30">
        <v>474560168</v>
      </c>
      <c r="AQ235" s="30">
        <v>2709</v>
      </c>
      <c r="AR235" s="30">
        <v>478838268</v>
      </c>
      <c r="AS235" s="52">
        <f t="shared" si="27"/>
        <v>0.98724489795918369</v>
      </c>
    </row>
    <row r="236" spans="1:45" x14ac:dyDescent="0.3">
      <c r="A236" s="1" t="str">
        <f t="shared" si="22"/>
        <v>DWDJG2046IVS</v>
      </c>
      <c r="B236" s="32" t="s">
        <v>445</v>
      </c>
      <c r="C236" s="10" t="str">
        <f t="shared" si="25"/>
        <v>DJG20</v>
      </c>
      <c r="D236" s="10" t="s">
        <v>55</v>
      </c>
      <c r="E236" s="10" t="str">
        <f t="shared" si="23"/>
        <v>W</v>
      </c>
      <c r="F236" s="10" t="str">
        <f t="shared" si="24"/>
        <v>DJ</v>
      </c>
      <c r="G236" s="10" t="s">
        <v>56</v>
      </c>
      <c r="H236" s="4" t="s">
        <v>446</v>
      </c>
      <c r="I236" s="10" t="s">
        <v>111</v>
      </c>
      <c r="J236" s="4">
        <f t="shared" si="26"/>
        <v>1</v>
      </c>
      <c r="K236" s="4">
        <v>1</v>
      </c>
      <c r="L236" s="30">
        <v>239000</v>
      </c>
      <c r="M236" s="78" t="s">
        <v>217</v>
      </c>
      <c r="N236" s="98" t="s">
        <v>249</v>
      </c>
      <c r="O236" s="10" t="s">
        <v>61</v>
      </c>
      <c r="P236" s="63">
        <v>100</v>
      </c>
      <c r="Q236" s="94" t="s">
        <v>119</v>
      </c>
      <c r="R236" s="63" t="s">
        <v>246</v>
      </c>
      <c r="S236" s="96" t="s">
        <v>121</v>
      </c>
      <c r="T236" s="10" t="s">
        <v>122</v>
      </c>
      <c r="U236" s="10" t="s">
        <v>250</v>
      </c>
      <c r="V236" s="10" t="s">
        <v>66</v>
      </c>
      <c r="W236" s="10"/>
      <c r="X236" s="9" t="s">
        <v>67</v>
      </c>
      <c r="Y236" s="10" t="s">
        <v>68</v>
      </c>
      <c r="Z236" s="94" t="s">
        <v>125</v>
      </c>
      <c r="AA236" s="94" t="s">
        <v>90</v>
      </c>
      <c r="AB236" s="9" t="s">
        <v>71</v>
      </c>
      <c r="AC236" s="10" t="s">
        <v>62</v>
      </c>
      <c r="AD236" s="10" t="s">
        <v>72</v>
      </c>
      <c r="AE236" s="65" t="s">
        <v>73</v>
      </c>
      <c r="AF236" s="39" t="s">
        <v>447</v>
      </c>
      <c r="AG236" s="10" t="s">
        <v>240</v>
      </c>
      <c r="AH236" s="4">
        <v>650</v>
      </c>
      <c r="AI236" s="11" t="s">
        <v>76</v>
      </c>
      <c r="AJ236" s="4" t="s">
        <v>77</v>
      </c>
      <c r="AK236" s="36">
        <v>1010</v>
      </c>
      <c r="AL236" s="30">
        <v>241390000</v>
      </c>
      <c r="AM236" s="30">
        <v>40</v>
      </c>
      <c r="AN236" s="30">
        <v>6768910</v>
      </c>
      <c r="AO236" s="30">
        <v>557</v>
      </c>
      <c r="AP236" s="30">
        <v>95882089</v>
      </c>
      <c r="AQ236" s="30">
        <v>792</v>
      </c>
      <c r="AR236" s="30">
        <v>134973749</v>
      </c>
      <c r="AS236" s="52">
        <f t="shared" si="27"/>
        <v>0.78415841584158419</v>
      </c>
    </row>
    <row r="237" spans="1:45" x14ac:dyDescent="0.3">
      <c r="A237" s="1" t="str">
        <f t="shared" si="22"/>
        <v>DWDJG2046COS</v>
      </c>
      <c r="B237" s="32" t="s">
        <v>445</v>
      </c>
      <c r="C237" s="10" t="str">
        <f t="shared" si="25"/>
        <v>DJG20</v>
      </c>
      <c r="D237" s="10" t="s">
        <v>55</v>
      </c>
      <c r="E237" s="10" t="str">
        <f t="shared" si="23"/>
        <v>W</v>
      </c>
      <c r="F237" s="10" t="str">
        <f t="shared" si="24"/>
        <v>DJ</v>
      </c>
      <c r="G237" s="10" t="s">
        <v>56</v>
      </c>
      <c r="H237" s="4" t="s">
        <v>446</v>
      </c>
      <c r="I237" s="10" t="s">
        <v>116</v>
      </c>
      <c r="J237" s="4" t="str">
        <f t="shared" si="26"/>
        <v/>
      </c>
      <c r="K237" s="4">
        <v>1</v>
      </c>
      <c r="L237" s="30">
        <v>239000</v>
      </c>
      <c r="M237" s="78" t="s">
        <v>217</v>
      </c>
      <c r="N237" s="98" t="s">
        <v>249</v>
      </c>
      <c r="O237" s="10" t="s">
        <v>61</v>
      </c>
      <c r="P237" s="63">
        <v>100</v>
      </c>
      <c r="Q237" s="94" t="s">
        <v>119</v>
      </c>
      <c r="R237" s="63" t="s">
        <v>246</v>
      </c>
      <c r="S237" s="96" t="s">
        <v>121</v>
      </c>
      <c r="T237" s="10" t="s">
        <v>122</v>
      </c>
      <c r="U237" s="10" t="s">
        <v>250</v>
      </c>
      <c r="V237" s="10" t="s">
        <v>66</v>
      </c>
      <c r="W237" s="10"/>
      <c r="X237" s="9" t="s">
        <v>67</v>
      </c>
      <c r="Y237" s="10" t="s">
        <v>68</v>
      </c>
      <c r="Z237" s="94" t="s">
        <v>125</v>
      </c>
      <c r="AA237" s="94" t="s">
        <v>90</v>
      </c>
      <c r="AB237" s="9" t="s">
        <v>71</v>
      </c>
      <c r="AC237" s="10" t="s">
        <v>62</v>
      </c>
      <c r="AD237" s="10" t="s">
        <v>72</v>
      </c>
      <c r="AE237" s="65" t="s">
        <v>73</v>
      </c>
      <c r="AF237" s="39" t="s">
        <v>447</v>
      </c>
      <c r="AG237" s="10" t="s">
        <v>240</v>
      </c>
      <c r="AH237" s="4">
        <v>650</v>
      </c>
      <c r="AI237" s="11" t="s">
        <v>76</v>
      </c>
      <c r="AJ237" s="4" t="s">
        <v>77</v>
      </c>
      <c r="AK237" s="36">
        <v>801</v>
      </c>
      <c r="AL237" s="30">
        <v>191439000</v>
      </c>
      <c r="AM237" s="30">
        <v>3</v>
      </c>
      <c r="AN237" s="30">
        <v>491900</v>
      </c>
      <c r="AO237" s="30">
        <v>70</v>
      </c>
      <c r="AP237" s="30">
        <v>11995020</v>
      </c>
      <c r="AQ237" s="30">
        <v>129</v>
      </c>
      <c r="AR237" s="30">
        <v>21766340</v>
      </c>
      <c r="AS237" s="52">
        <f t="shared" si="27"/>
        <v>0.16104868913857678</v>
      </c>
    </row>
    <row r="238" spans="1:45" x14ac:dyDescent="0.3">
      <c r="A238" s="1" t="str">
        <f t="shared" si="22"/>
        <v>DWDJG2046BKS</v>
      </c>
      <c r="B238" s="32" t="s">
        <v>445</v>
      </c>
      <c r="C238" s="10" t="str">
        <f t="shared" si="25"/>
        <v>DJG20</v>
      </c>
      <c r="D238" s="10" t="s">
        <v>55</v>
      </c>
      <c r="E238" s="10" t="str">
        <f t="shared" si="23"/>
        <v>W</v>
      </c>
      <c r="F238" s="10" t="str">
        <f t="shared" si="24"/>
        <v>DJ</v>
      </c>
      <c r="G238" s="10" t="s">
        <v>56</v>
      </c>
      <c r="H238" s="4" t="s">
        <v>446</v>
      </c>
      <c r="I238" s="10" t="s">
        <v>78</v>
      </c>
      <c r="J238" s="4" t="str">
        <f t="shared" si="26"/>
        <v/>
      </c>
      <c r="K238" s="4">
        <v>1</v>
      </c>
      <c r="L238" s="30">
        <v>239000</v>
      </c>
      <c r="M238" s="78" t="s">
        <v>217</v>
      </c>
      <c r="N238" s="98" t="s">
        <v>249</v>
      </c>
      <c r="O238" s="10" t="s">
        <v>61</v>
      </c>
      <c r="P238" s="63">
        <v>100</v>
      </c>
      <c r="Q238" s="94" t="s">
        <v>119</v>
      </c>
      <c r="R238" s="63" t="s">
        <v>246</v>
      </c>
      <c r="S238" s="96" t="s">
        <v>121</v>
      </c>
      <c r="T238" s="10" t="s">
        <v>122</v>
      </c>
      <c r="U238" s="10" t="s">
        <v>250</v>
      </c>
      <c r="V238" s="10" t="s">
        <v>66</v>
      </c>
      <c r="W238" s="10"/>
      <c r="X238" s="9" t="s">
        <v>67</v>
      </c>
      <c r="Y238" s="10" t="s">
        <v>68</v>
      </c>
      <c r="Z238" s="94" t="s">
        <v>125</v>
      </c>
      <c r="AA238" s="94" t="s">
        <v>90</v>
      </c>
      <c r="AB238" s="9" t="s">
        <v>71</v>
      </c>
      <c r="AC238" s="10" t="s">
        <v>62</v>
      </c>
      <c r="AD238" s="10" t="s">
        <v>72</v>
      </c>
      <c r="AE238" s="65" t="s">
        <v>73</v>
      </c>
      <c r="AF238" s="39" t="s">
        <v>447</v>
      </c>
      <c r="AG238" s="10" t="s">
        <v>240</v>
      </c>
      <c r="AH238" s="4">
        <v>650</v>
      </c>
      <c r="AI238" s="11" t="s">
        <v>76</v>
      </c>
      <c r="AJ238" s="4" t="s">
        <v>77</v>
      </c>
      <c r="AK238" s="36">
        <v>1206</v>
      </c>
      <c r="AL238" s="30">
        <v>288234000</v>
      </c>
      <c r="AM238" s="30">
        <v>75</v>
      </c>
      <c r="AN238" s="30">
        <v>12401870</v>
      </c>
      <c r="AO238" s="30">
        <v>853</v>
      </c>
      <c r="AP238" s="30">
        <v>147438173</v>
      </c>
      <c r="AQ238" s="30">
        <v>1122</v>
      </c>
      <c r="AR238" s="30">
        <v>192273983</v>
      </c>
      <c r="AS238" s="52">
        <f t="shared" si="27"/>
        <v>0.93034825870646765</v>
      </c>
    </row>
    <row r="239" spans="1:45" x14ac:dyDescent="0.3">
      <c r="A239" s="1" t="str">
        <f t="shared" si="22"/>
        <v>DWDV91046BKS</v>
      </c>
      <c r="B239" s="32" t="s">
        <v>448</v>
      </c>
      <c r="C239" s="10" t="str">
        <f t="shared" si="25"/>
        <v>DV910</v>
      </c>
      <c r="D239" s="10" t="s">
        <v>55</v>
      </c>
      <c r="E239" s="10" t="str">
        <f t="shared" si="23"/>
        <v>W</v>
      </c>
      <c r="F239" s="10" t="str">
        <f t="shared" si="24"/>
        <v>DV</v>
      </c>
      <c r="G239" s="10" t="s">
        <v>56</v>
      </c>
      <c r="H239" s="4" t="s">
        <v>449</v>
      </c>
      <c r="I239" s="10" t="s">
        <v>78</v>
      </c>
      <c r="J239" s="4">
        <f t="shared" si="26"/>
        <v>1</v>
      </c>
      <c r="K239" s="4">
        <v>1</v>
      </c>
      <c r="L239" s="30">
        <v>179000</v>
      </c>
      <c r="M239" s="78" t="s">
        <v>132</v>
      </c>
      <c r="N239" s="98" t="s">
        <v>133</v>
      </c>
      <c r="O239" s="10" t="s">
        <v>61</v>
      </c>
      <c r="P239" s="63">
        <v>100</v>
      </c>
      <c r="Q239" s="94" t="s">
        <v>85</v>
      </c>
      <c r="R239" s="63" t="s">
        <v>134</v>
      </c>
      <c r="S239" s="96" t="s">
        <v>135</v>
      </c>
      <c r="T239" s="10" t="s">
        <v>122</v>
      </c>
      <c r="U239" s="10" t="s">
        <v>136</v>
      </c>
      <c r="V239" s="10" t="s">
        <v>66</v>
      </c>
      <c r="W239" s="10"/>
      <c r="X239" s="9" t="s">
        <v>67</v>
      </c>
      <c r="Y239" s="10" t="s">
        <v>68</v>
      </c>
      <c r="Z239" s="94" t="s">
        <v>125</v>
      </c>
      <c r="AA239" s="94" t="s">
        <v>90</v>
      </c>
      <c r="AB239" s="9" t="s">
        <v>71</v>
      </c>
      <c r="AC239" s="10" t="s">
        <v>62</v>
      </c>
      <c r="AD239" s="10" t="s">
        <v>72</v>
      </c>
      <c r="AE239" s="65" t="s">
        <v>137</v>
      </c>
      <c r="AF239" s="39" t="s">
        <v>239</v>
      </c>
      <c r="AG239" s="10" t="s">
        <v>127</v>
      </c>
      <c r="AH239" s="4">
        <v>650</v>
      </c>
      <c r="AI239" s="11" t="s">
        <v>450</v>
      </c>
      <c r="AJ239" s="4" t="s">
        <v>77</v>
      </c>
      <c r="AK239" s="36">
        <v>1522</v>
      </c>
      <c r="AL239" s="30">
        <v>272438000</v>
      </c>
      <c r="AM239" s="30">
        <v>46</v>
      </c>
      <c r="AN239" s="30">
        <v>8075452</v>
      </c>
      <c r="AO239" s="30">
        <v>626</v>
      </c>
      <c r="AP239" s="30">
        <v>109138965</v>
      </c>
      <c r="AQ239" s="30">
        <v>901</v>
      </c>
      <c r="AR239" s="30">
        <v>156167770</v>
      </c>
      <c r="AS239" s="52">
        <f t="shared" si="27"/>
        <v>0.59198423127463862</v>
      </c>
    </row>
    <row r="240" spans="1:45" x14ac:dyDescent="0.3">
      <c r="A240" s="1" t="str">
        <f t="shared" si="22"/>
        <v>DWDV91046CRS</v>
      </c>
      <c r="B240" s="32" t="s">
        <v>448</v>
      </c>
      <c r="C240" s="10" t="str">
        <f t="shared" si="25"/>
        <v>DV910</v>
      </c>
      <c r="D240" s="10" t="s">
        <v>55</v>
      </c>
      <c r="E240" s="10" t="str">
        <f t="shared" si="23"/>
        <v>W</v>
      </c>
      <c r="F240" s="10" t="str">
        <f t="shared" si="24"/>
        <v>DV</v>
      </c>
      <c r="G240" s="10" t="s">
        <v>56</v>
      </c>
      <c r="H240" s="4" t="s">
        <v>449</v>
      </c>
      <c r="I240" s="10" t="s">
        <v>79</v>
      </c>
      <c r="J240" s="4" t="str">
        <f t="shared" si="26"/>
        <v/>
      </c>
      <c r="K240" s="4">
        <v>1</v>
      </c>
      <c r="L240" s="30">
        <v>179000</v>
      </c>
      <c r="M240" s="78" t="s">
        <v>132</v>
      </c>
      <c r="N240" s="98" t="s">
        <v>133</v>
      </c>
      <c r="O240" s="10" t="s">
        <v>61</v>
      </c>
      <c r="P240" s="63">
        <v>100</v>
      </c>
      <c r="Q240" s="94" t="s">
        <v>85</v>
      </c>
      <c r="R240" s="63" t="s">
        <v>134</v>
      </c>
      <c r="S240" s="96" t="s">
        <v>135</v>
      </c>
      <c r="T240" s="10" t="s">
        <v>122</v>
      </c>
      <c r="U240" s="10" t="s">
        <v>136</v>
      </c>
      <c r="V240" s="10" t="s">
        <v>66</v>
      </c>
      <c r="W240" s="10"/>
      <c r="X240" s="9" t="s">
        <v>67</v>
      </c>
      <c r="Y240" s="10" t="s">
        <v>68</v>
      </c>
      <c r="Z240" s="94" t="s">
        <v>125</v>
      </c>
      <c r="AA240" s="94" t="s">
        <v>90</v>
      </c>
      <c r="AB240" s="9" t="s">
        <v>71</v>
      </c>
      <c r="AC240" s="10" t="s">
        <v>62</v>
      </c>
      <c r="AD240" s="10" t="s">
        <v>72</v>
      </c>
      <c r="AE240" s="65" t="s">
        <v>137</v>
      </c>
      <c r="AF240" s="39" t="s">
        <v>239</v>
      </c>
      <c r="AG240" s="10" t="s">
        <v>127</v>
      </c>
      <c r="AH240" s="4">
        <v>650</v>
      </c>
      <c r="AI240" s="11" t="s">
        <v>450</v>
      </c>
      <c r="AJ240" s="4" t="s">
        <v>77</v>
      </c>
      <c r="AK240" s="36">
        <v>1112</v>
      </c>
      <c r="AL240" s="30">
        <v>199048000</v>
      </c>
      <c r="AM240" s="30">
        <v>38</v>
      </c>
      <c r="AN240" s="30">
        <v>6616018</v>
      </c>
      <c r="AO240" s="30">
        <v>566</v>
      </c>
      <c r="AP240" s="30">
        <v>99422118</v>
      </c>
      <c r="AQ240" s="30">
        <v>750</v>
      </c>
      <c r="AR240" s="30">
        <v>131347644</v>
      </c>
      <c r="AS240" s="52">
        <f t="shared" si="27"/>
        <v>0.67446043165467628</v>
      </c>
    </row>
    <row r="241" spans="1:45" x14ac:dyDescent="0.3">
      <c r="A241" s="1" t="str">
        <f t="shared" si="22"/>
        <v>DWDV91046VOS</v>
      </c>
      <c r="B241" s="32" t="s">
        <v>448</v>
      </c>
      <c r="C241" s="10" t="str">
        <f t="shared" si="25"/>
        <v>DV910</v>
      </c>
      <c r="D241" s="10" t="s">
        <v>55</v>
      </c>
      <c r="E241" s="10" t="str">
        <f t="shared" si="23"/>
        <v>W</v>
      </c>
      <c r="F241" s="10" t="str">
        <f t="shared" si="24"/>
        <v>DV</v>
      </c>
      <c r="G241" s="10" t="s">
        <v>56</v>
      </c>
      <c r="H241" s="4" t="s">
        <v>449</v>
      </c>
      <c r="I241" s="10" t="s">
        <v>58</v>
      </c>
      <c r="J241" s="4" t="str">
        <f t="shared" si="26"/>
        <v/>
      </c>
      <c r="K241" s="4">
        <v>1</v>
      </c>
      <c r="L241" s="30">
        <v>179000</v>
      </c>
      <c r="M241" s="78" t="s">
        <v>132</v>
      </c>
      <c r="N241" s="98" t="s">
        <v>133</v>
      </c>
      <c r="O241" s="10" t="s">
        <v>61</v>
      </c>
      <c r="P241" s="63">
        <v>100</v>
      </c>
      <c r="Q241" s="94" t="s">
        <v>85</v>
      </c>
      <c r="R241" s="63" t="s">
        <v>134</v>
      </c>
      <c r="S241" s="96" t="s">
        <v>135</v>
      </c>
      <c r="T241" s="10" t="s">
        <v>122</v>
      </c>
      <c r="U241" s="10" t="s">
        <v>136</v>
      </c>
      <c r="V241" s="10" t="s">
        <v>66</v>
      </c>
      <c r="W241" s="10"/>
      <c r="X241" s="9" t="s">
        <v>67</v>
      </c>
      <c r="Y241" s="10" t="s">
        <v>68</v>
      </c>
      <c r="Z241" s="94" t="s">
        <v>125</v>
      </c>
      <c r="AA241" s="94" t="s">
        <v>90</v>
      </c>
      <c r="AB241" s="9" t="s">
        <v>71</v>
      </c>
      <c r="AC241" s="10" t="s">
        <v>62</v>
      </c>
      <c r="AD241" s="10" t="s">
        <v>72</v>
      </c>
      <c r="AE241" s="65" t="s">
        <v>137</v>
      </c>
      <c r="AF241" s="39" t="s">
        <v>239</v>
      </c>
      <c r="AG241" s="10" t="s">
        <v>127</v>
      </c>
      <c r="AH241" s="4">
        <v>650</v>
      </c>
      <c r="AI241" s="11" t="s">
        <v>450</v>
      </c>
      <c r="AJ241" s="4" t="s">
        <v>77</v>
      </c>
      <c r="AK241" s="36">
        <v>912</v>
      </c>
      <c r="AL241" s="30">
        <v>163248000</v>
      </c>
      <c r="AM241" s="30">
        <v>6</v>
      </c>
      <c r="AN241" s="30">
        <v>1044000</v>
      </c>
      <c r="AO241" s="30">
        <v>70</v>
      </c>
      <c r="AP241" s="30">
        <v>12147723</v>
      </c>
      <c r="AQ241" s="30">
        <v>101</v>
      </c>
      <c r="AR241" s="30">
        <v>17498613</v>
      </c>
      <c r="AS241" s="52">
        <f t="shared" si="27"/>
        <v>0.11074561403508772</v>
      </c>
    </row>
    <row r="242" spans="1:45" x14ac:dyDescent="0.3">
      <c r="A242" s="1" t="str">
        <f t="shared" si="22"/>
        <v>DMDV71046BGL</v>
      </c>
      <c r="B242" s="32" t="s">
        <v>451</v>
      </c>
      <c r="C242" s="10" t="str">
        <f t="shared" si="25"/>
        <v>DV710</v>
      </c>
      <c r="D242" s="10" t="s">
        <v>55</v>
      </c>
      <c r="E242" s="10" t="str">
        <f t="shared" si="23"/>
        <v>M</v>
      </c>
      <c r="F242" s="10" t="str">
        <f t="shared" si="24"/>
        <v>DV</v>
      </c>
      <c r="G242" s="10" t="s">
        <v>56</v>
      </c>
      <c r="H242" s="4" t="s">
        <v>452</v>
      </c>
      <c r="I242" s="10" t="s">
        <v>163</v>
      </c>
      <c r="J242" s="4">
        <f t="shared" si="26"/>
        <v>1</v>
      </c>
      <c r="K242" s="4">
        <v>1</v>
      </c>
      <c r="L242" s="30">
        <v>119000</v>
      </c>
      <c r="M242" s="78" t="s">
        <v>83</v>
      </c>
      <c r="N242" s="98" t="s">
        <v>290</v>
      </c>
      <c r="O242" s="10" t="s">
        <v>61</v>
      </c>
      <c r="P242" s="63">
        <v>100</v>
      </c>
      <c r="Q242" s="94" t="s">
        <v>85</v>
      </c>
      <c r="R242" s="63" t="s">
        <v>86</v>
      </c>
      <c r="S242" s="96" t="s">
        <v>87</v>
      </c>
      <c r="T242" s="10" t="s">
        <v>65</v>
      </c>
      <c r="U242" s="10"/>
      <c r="V242" s="10" t="s">
        <v>66</v>
      </c>
      <c r="W242" s="10"/>
      <c r="X242" s="9" t="s">
        <v>67</v>
      </c>
      <c r="Y242" s="10" t="s">
        <v>88</v>
      </c>
      <c r="Z242" s="94" t="s">
        <v>89</v>
      </c>
      <c r="AA242" s="94" t="s">
        <v>90</v>
      </c>
      <c r="AB242" s="9" t="s">
        <v>91</v>
      </c>
      <c r="AC242" s="68" t="s">
        <v>92</v>
      </c>
      <c r="AD242" s="69" t="str">
        <f t="shared" ref="AD242:AD251" si="28">AC242</f>
        <v>(다운백 없음)</v>
      </c>
      <c r="AE242" s="65" t="s">
        <v>73</v>
      </c>
      <c r="AF242" s="39" t="s">
        <v>214</v>
      </c>
      <c r="AG242" s="10" t="s">
        <v>240</v>
      </c>
      <c r="AH242" s="4">
        <v>650</v>
      </c>
      <c r="AI242" s="11" t="s">
        <v>450</v>
      </c>
      <c r="AJ242" s="4" t="s">
        <v>241</v>
      </c>
      <c r="AK242" s="36">
        <v>1100</v>
      </c>
      <c r="AL242" s="30">
        <v>130900000</v>
      </c>
      <c r="AM242" s="30">
        <v>207</v>
      </c>
      <c r="AN242" s="30">
        <v>17207050</v>
      </c>
      <c r="AO242" s="30">
        <v>654</v>
      </c>
      <c r="AP242" s="30">
        <v>58450886</v>
      </c>
      <c r="AQ242" s="30">
        <v>1015</v>
      </c>
      <c r="AR242" s="30">
        <v>87957936</v>
      </c>
      <c r="AS242" s="52">
        <f t="shared" si="27"/>
        <v>0.92272727272727273</v>
      </c>
    </row>
    <row r="243" spans="1:45" x14ac:dyDescent="0.3">
      <c r="A243" s="1" t="str">
        <f t="shared" si="22"/>
        <v>DMDV71046BKS</v>
      </c>
      <c r="B243" s="32" t="s">
        <v>451</v>
      </c>
      <c r="C243" s="10" t="str">
        <f t="shared" si="25"/>
        <v>DV710</v>
      </c>
      <c r="D243" s="10" t="s">
        <v>55</v>
      </c>
      <c r="E243" s="10" t="str">
        <f t="shared" si="23"/>
        <v>M</v>
      </c>
      <c r="F243" s="10" t="str">
        <f t="shared" si="24"/>
        <v>DV</v>
      </c>
      <c r="G243" s="10" t="s">
        <v>56</v>
      </c>
      <c r="H243" s="4" t="s">
        <v>452</v>
      </c>
      <c r="I243" s="10" t="s">
        <v>78</v>
      </c>
      <c r="J243" s="4" t="str">
        <f t="shared" si="26"/>
        <v/>
      </c>
      <c r="K243" s="4">
        <v>1</v>
      </c>
      <c r="L243" s="30">
        <v>119000</v>
      </c>
      <c r="M243" s="78" t="s">
        <v>83</v>
      </c>
      <c r="N243" s="98" t="s">
        <v>290</v>
      </c>
      <c r="O243" s="10" t="s">
        <v>61</v>
      </c>
      <c r="P243" s="63">
        <v>100</v>
      </c>
      <c r="Q243" s="94" t="s">
        <v>85</v>
      </c>
      <c r="R243" s="63" t="s">
        <v>86</v>
      </c>
      <c r="S243" s="96" t="s">
        <v>87</v>
      </c>
      <c r="T243" s="10" t="s">
        <v>65</v>
      </c>
      <c r="U243" s="10"/>
      <c r="V243" s="10" t="s">
        <v>66</v>
      </c>
      <c r="W243" s="10"/>
      <c r="X243" s="9" t="s">
        <v>67</v>
      </c>
      <c r="Y243" s="10" t="s">
        <v>88</v>
      </c>
      <c r="Z243" s="94" t="s">
        <v>89</v>
      </c>
      <c r="AA243" s="94" t="s">
        <v>90</v>
      </c>
      <c r="AB243" s="9" t="s">
        <v>91</v>
      </c>
      <c r="AC243" s="68" t="s">
        <v>92</v>
      </c>
      <c r="AD243" s="69" t="str">
        <f t="shared" si="28"/>
        <v>(다운백 없음)</v>
      </c>
      <c r="AE243" s="65" t="s">
        <v>73</v>
      </c>
      <c r="AF243" s="39" t="s">
        <v>214</v>
      </c>
      <c r="AG243" s="10" t="s">
        <v>240</v>
      </c>
      <c r="AH243" s="4">
        <v>650</v>
      </c>
      <c r="AI243" s="11" t="s">
        <v>450</v>
      </c>
      <c r="AJ243" s="4" t="s">
        <v>241</v>
      </c>
      <c r="AK243" s="36">
        <v>6400</v>
      </c>
      <c r="AL243" s="30">
        <v>761600000</v>
      </c>
      <c r="AM243" s="30">
        <v>571</v>
      </c>
      <c r="AN243" s="30">
        <v>47322370</v>
      </c>
      <c r="AO243" s="30">
        <v>2703</v>
      </c>
      <c r="AP243" s="30">
        <v>239225274</v>
      </c>
      <c r="AQ243" s="30">
        <v>5472</v>
      </c>
      <c r="AR243" s="30">
        <v>468009964</v>
      </c>
      <c r="AS243" s="52">
        <f t="shared" si="27"/>
        <v>0.85499999999999998</v>
      </c>
    </row>
    <row r="244" spans="1:45" x14ac:dyDescent="0.3">
      <c r="A244" s="1" t="str">
        <f t="shared" si="22"/>
        <v>DWDV72046CRS</v>
      </c>
      <c r="B244" s="32" t="s">
        <v>453</v>
      </c>
      <c r="C244" s="10" t="str">
        <f t="shared" si="25"/>
        <v>DV720</v>
      </c>
      <c r="D244" s="10" t="s">
        <v>55</v>
      </c>
      <c r="E244" s="10" t="str">
        <f t="shared" si="23"/>
        <v>W</v>
      </c>
      <c r="F244" s="10" t="str">
        <f t="shared" si="24"/>
        <v>DV</v>
      </c>
      <c r="G244" s="10" t="s">
        <v>56</v>
      </c>
      <c r="H244" s="4" t="s">
        <v>454</v>
      </c>
      <c r="I244" s="10" t="s">
        <v>79</v>
      </c>
      <c r="J244" s="4">
        <f t="shared" si="26"/>
        <v>1</v>
      </c>
      <c r="K244" s="4">
        <v>1</v>
      </c>
      <c r="L244" s="30">
        <v>119000</v>
      </c>
      <c r="M244" s="78" t="s">
        <v>83</v>
      </c>
      <c r="N244" s="98" t="s">
        <v>290</v>
      </c>
      <c r="O244" s="10" t="s">
        <v>61</v>
      </c>
      <c r="P244" s="63">
        <v>100</v>
      </c>
      <c r="Q244" s="94" t="s">
        <v>85</v>
      </c>
      <c r="R244" s="63" t="s">
        <v>86</v>
      </c>
      <c r="S244" s="96" t="s">
        <v>87</v>
      </c>
      <c r="T244" s="10" t="s">
        <v>65</v>
      </c>
      <c r="U244" s="10"/>
      <c r="V244" s="10" t="s">
        <v>66</v>
      </c>
      <c r="W244" s="10"/>
      <c r="X244" s="9" t="s">
        <v>67</v>
      </c>
      <c r="Y244" s="10" t="s">
        <v>88</v>
      </c>
      <c r="Z244" s="94" t="s">
        <v>89</v>
      </c>
      <c r="AA244" s="94" t="s">
        <v>90</v>
      </c>
      <c r="AB244" s="9" t="s">
        <v>91</v>
      </c>
      <c r="AC244" s="68" t="s">
        <v>92</v>
      </c>
      <c r="AD244" s="69" t="str">
        <f t="shared" si="28"/>
        <v>(다운백 없음)</v>
      </c>
      <c r="AE244" s="65" t="s">
        <v>73</v>
      </c>
      <c r="AF244" s="39" t="s">
        <v>455</v>
      </c>
      <c r="AG244" s="10" t="s">
        <v>240</v>
      </c>
      <c r="AH244" s="4">
        <v>650</v>
      </c>
      <c r="AI244" s="11" t="s">
        <v>450</v>
      </c>
      <c r="AJ244" s="4" t="s">
        <v>241</v>
      </c>
      <c r="AK244" s="36">
        <v>1300</v>
      </c>
      <c r="AL244" s="30">
        <v>154700000</v>
      </c>
      <c r="AM244" s="30">
        <v>102</v>
      </c>
      <c r="AN244" s="30">
        <v>8496600</v>
      </c>
      <c r="AO244" s="30">
        <v>446</v>
      </c>
      <c r="AP244" s="30">
        <v>40789303</v>
      </c>
      <c r="AQ244" s="30">
        <v>957</v>
      </c>
      <c r="AR244" s="30">
        <v>82100394</v>
      </c>
      <c r="AS244" s="52">
        <f t="shared" si="27"/>
        <v>0.73615384615384616</v>
      </c>
    </row>
    <row r="245" spans="1:45" x14ac:dyDescent="0.3">
      <c r="A245" s="1" t="str">
        <f t="shared" si="22"/>
        <v>DWDV72046BGL</v>
      </c>
      <c r="B245" s="32" t="s">
        <v>453</v>
      </c>
      <c r="C245" s="10" t="str">
        <f t="shared" si="25"/>
        <v>DV720</v>
      </c>
      <c r="D245" s="10" t="s">
        <v>55</v>
      </c>
      <c r="E245" s="10" t="str">
        <f t="shared" si="23"/>
        <v>W</v>
      </c>
      <c r="F245" s="10" t="str">
        <f t="shared" si="24"/>
        <v>DV</v>
      </c>
      <c r="G245" s="10" t="s">
        <v>56</v>
      </c>
      <c r="H245" s="4" t="s">
        <v>454</v>
      </c>
      <c r="I245" s="10" t="s">
        <v>163</v>
      </c>
      <c r="J245" s="4" t="str">
        <f t="shared" si="26"/>
        <v/>
      </c>
      <c r="K245" s="4">
        <v>1</v>
      </c>
      <c r="L245" s="30">
        <v>119000</v>
      </c>
      <c r="M245" s="78" t="s">
        <v>83</v>
      </c>
      <c r="N245" s="98" t="s">
        <v>290</v>
      </c>
      <c r="O245" s="10" t="s">
        <v>61</v>
      </c>
      <c r="P245" s="63">
        <v>100</v>
      </c>
      <c r="Q245" s="94" t="s">
        <v>85</v>
      </c>
      <c r="R245" s="63" t="s">
        <v>86</v>
      </c>
      <c r="S245" s="96" t="s">
        <v>87</v>
      </c>
      <c r="T245" s="10" t="s">
        <v>65</v>
      </c>
      <c r="U245" s="10"/>
      <c r="V245" s="10" t="s">
        <v>66</v>
      </c>
      <c r="W245" s="10"/>
      <c r="X245" s="9" t="s">
        <v>67</v>
      </c>
      <c r="Y245" s="10" t="s">
        <v>88</v>
      </c>
      <c r="Z245" s="94" t="s">
        <v>89</v>
      </c>
      <c r="AA245" s="94" t="s">
        <v>90</v>
      </c>
      <c r="AB245" s="9" t="s">
        <v>91</v>
      </c>
      <c r="AC245" s="68" t="s">
        <v>92</v>
      </c>
      <c r="AD245" s="69" t="str">
        <f t="shared" si="28"/>
        <v>(다운백 없음)</v>
      </c>
      <c r="AE245" s="65" t="s">
        <v>73</v>
      </c>
      <c r="AF245" s="39" t="s">
        <v>455</v>
      </c>
      <c r="AG245" s="10" t="s">
        <v>240</v>
      </c>
      <c r="AH245" s="4">
        <v>650</v>
      </c>
      <c r="AI245" s="11" t="s">
        <v>450</v>
      </c>
      <c r="AJ245" s="4" t="s">
        <v>241</v>
      </c>
      <c r="AK245" s="36">
        <v>1300</v>
      </c>
      <c r="AL245" s="30">
        <v>154700000</v>
      </c>
      <c r="AM245" s="30">
        <v>163</v>
      </c>
      <c r="AN245" s="30">
        <v>13507290</v>
      </c>
      <c r="AO245" s="30">
        <v>734</v>
      </c>
      <c r="AP245" s="30">
        <v>67385025</v>
      </c>
      <c r="AQ245" s="30">
        <v>1177</v>
      </c>
      <c r="AR245" s="30">
        <v>103623655</v>
      </c>
      <c r="AS245" s="52">
        <f t="shared" si="27"/>
        <v>0.90538461538461534</v>
      </c>
    </row>
    <row r="246" spans="1:45" x14ac:dyDescent="0.3">
      <c r="A246" s="1" t="str">
        <f t="shared" si="22"/>
        <v>DWDV72046BKS</v>
      </c>
      <c r="B246" s="32" t="s">
        <v>453</v>
      </c>
      <c r="C246" s="10" t="str">
        <f t="shared" si="25"/>
        <v>DV720</v>
      </c>
      <c r="D246" s="10" t="s">
        <v>55</v>
      </c>
      <c r="E246" s="10" t="str">
        <f t="shared" si="23"/>
        <v>W</v>
      </c>
      <c r="F246" s="10" t="str">
        <f t="shared" si="24"/>
        <v>DV</v>
      </c>
      <c r="G246" s="10" t="s">
        <v>56</v>
      </c>
      <c r="H246" s="4" t="s">
        <v>454</v>
      </c>
      <c r="I246" s="10" t="s">
        <v>78</v>
      </c>
      <c r="J246" s="4" t="str">
        <f t="shared" si="26"/>
        <v/>
      </c>
      <c r="K246" s="4">
        <v>1</v>
      </c>
      <c r="L246" s="30">
        <v>119000</v>
      </c>
      <c r="M246" s="78" t="s">
        <v>83</v>
      </c>
      <c r="N246" s="98" t="s">
        <v>290</v>
      </c>
      <c r="O246" s="10" t="s">
        <v>61</v>
      </c>
      <c r="P246" s="63">
        <v>100</v>
      </c>
      <c r="Q246" s="94" t="s">
        <v>85</v>
      </c>
      <c r="R246" s="63" t="s">
        <v>86</v>
      </c>
      <c r="S246" s="96" t="s">
        <v>87</v>
      </c>
      <c r="T246" s="10" t="s">
        <v>65</v>
      </c>
      <c r="U246" s="10"/>
      <c r="V246" s="10" t="s">
        <v>66</v>
      </c>
      <c r="W246" s="10"/>
      <c r="X246" s="9" t="s">
        <v>67</v>
      </c>
      <c r="Y246" s="10" t="s">
        <v>88</v>
      </c>
      <c r="Z246" s="94" t="s">
        <v>89</v>
      </c>
      <c r="AA246" s="94" t="s">
        <v>90</v>
      </c>
      <c r="AB246" s="9" t="s">
        <v>91</v>
      </c>
      <c r="AC246" s="68" t="s">
        <v>92</v>
      </c>
      <c r="AD246" s="69" t="str">
        <f t="shared" si="28"/>
        <v>(다운백 없음)</v>
      </c>
      <c r="AE246" s="65" t="s">
        <v>73</v>
      </c>
      <c r="AF246" s="39" t="s">
        <v>455</v>
      </c>
      <c r="AG246" s="10" t="s">
        <v>240</v>
      </c>
      <c r="AH246" s="4">
        <v>650</v>
      </c>
      <c r="AI246" s="11" t="s">
        <v>450</v>
      </c>
      <c r="AJ246" s="4" t="s">
        <v>241</v>
      </c>
      <c r="AK246" s="36">
        <v>2200</v>
      </c>
      <c r="AL246" s="30">
        <v>261800000</v>
      </c>
      <c r="AM246" s="30">
        <v>211</v>
      </c>
      <c r="AN246" s="30">
        <v>17514800</v>
      </c>
      <c r="AO246" s="30">
        <v>1444</v>
      </c>
      <c r="AP246" s="30">
        <v>130224876</v>
      </c>
      <c r="AQ246" s="30">
        <v>2167</v>
      </c>
      <c r="AR246" s="30">
        <v>189728516</v>
      </c>
      <c r="AS246" s="52">
        <f t="shared" si="27"/>
        <v>0.98499999999999999</v>
      </c>
    </row>
    <row r="247" spans="1:45" x14ac:dyDescent="0.3">
      <c r="A247" s="1" t="str">
        <f t="shared" si="22"/>
        <v>DMDV73046BKS</v>
      </c>
      <c r="B247" s="32" t="s">
        <v>456</v>
      </c>
      <c r="C247" s="10" t="str">
        <f t="shared" si="25"/>
        <v>DV730</v>
      </c>
      <c r="D247" s="10" t="s">
        <v>55</v>
      </c>
      <c r="E247" s="10" t="str">
        <f t="shared" si="23"/>
        <v>M</v>
      </c>
      <c r="F247" s="10" t="str">
        <f t="shared" si="24"/>
        <v>DV</v>
      </c>
      <c r="G247" s="10" t="s">
        <v>56</v>
      </c>
      <c r="H247" s="4" t="s">
        <v>457</v>
      </c>
      <c r="I247" s="10" t="s">
        <v>78</v>
      </c>
      <c r="J247" s="4">
        <f t="shared" si="26"/>
        <v>1</v>
      </c>
      <c r="K247" s="4">
        <v>1</v>
      </c>
      <c r="L247" s="30">
        <v>149000</v>
      </c>
      <c r="M247" s="78" t="s">
        <v>83</v>
      </c>
      <c r="N247" s="98" t="s">
        <v>304</v>
      </c>
      <c r="O247" s="10" t="s">
        <v>61</v>
      </c>
      <c r="P247" s="63">
        <v>100</v>
      </c>
      <c r="Q247" s="94" t="s">
        <v>119</v>
      </c>
      <c r="R247" s="63" t="s">
        <v>301</v>
      </c>
      <c r="S247" s="96" t="s">
        <v>302</v>
      </c>
      <c r="T247" s="10" t="s">
        <v>65</v>
      </c>
      <c r="U247" s="10"/>
      <c r="V247" s="10" t="s">
        <v>66</v>
      </c>
      <c r="W247" s="10"/>
      <c r="X247" s="9" t="s">
        <v>67</v>
      </c>
      <c r="Y247" s="10" t="s">
        <v>88</v>
      </c>
      <c r="Z247" s="94" t="s">
        <v>89</v>
      </c>
      <c r="AA247" s="94" t="s">
        <v>90</v>
      </c>
      <c r="AB247" s="9" t="s">
        <v>91</v>
      </c>
      <c r="AC247" s="68" t="s">
        <v>92</v>
      </c>
      <c r="AD247" s="69" t="str">
        <f t="shared" si="28"/>
        <v>(다운백 없음)</v>
      </c>
      <c r="AE247" s="65" t="s">
        <v>73</v>
      </c>
      <c r="AF247" s="39" t="s">
        <v>458</v>
      </c>
      <c r="AG247" s="10" t="s">
        <v>75</v>
      </c>
      <c r="AH247" s="4">
        <v>650</v>
      </c>
      <c r="AI247" s="11" t="s">
        <v>450</v>
      </c>
      <c r="AJ247" s="4" t="s">
        <v>241</v>
      </c>
      <c r="AK247" s="36">
        <v>4308</v>
      </c>
      <c r="AL247" s="30">
        <v>641892000</v>
      </c>
      <c r="AM247" s="30">
        <v>429</v>
      </c>
      <c r="AN247" s="30">
        <v>43459228</v>
      </c>
      <c r="AO247" s="30">
        <v>2374</v>
      </c>
      <c r="AP247" s="30">
        <v>264789137</v>
      </c>
      <c r="AQ247" s="30">
        <v>3632</v>
      </c>
      <c r="AR247" s="30">
        <v>394956997</v>
      </c>
      <c r="AS247" s="52">
        <f t="shared" si="27"/>
        <v>0.84308263695450325</v>
      </c>
    </row>
    <row r="248" spans="1:45" x14ac:dyDescent="0.3">
      <c r="A248" s="1" t="str">
        <f t="shared" si="22"/>
        <v>DMDV73046GRD</v>
      </c>
      <c r="B248" s="32" t="s">
        <v>456</v>
      </c>
      <c r="C248" s="10" t="str">
        <f t="shared" si="25"/>
        <v>DV730</v>
      </c>
      <c r="D248" s="10" t="s">
        <v>55</v>
      </c>
      <c r="E248" s="10" t="str">
        <f t="shared" si="23"/>
        <v>M</v>
      </c>
      <c r="F248" s="10" t="str">
        <f t="shared" si="24"/>
        <v>DV</v>
      </c>
      <c r="G248" s="10" t="s">
        <v>56</v>
      </c>
      <c r="H248" s="4" t="s">
        <v>457</v>
      </c>
      <c r="I248" s="10" t="s">
        <v>215</v>
      </c>
      <c r="J248" s="4" t="str">
        <f t="shared" si="26"/>
        <v/>
      </c>
      <c r="K248" s="4">
        <v>1</v>
      </c>
      <c r="L248" s="30">
        <v>149000</v>
      </c>
      <c r="M248" s="78" t="s">
        <v>83</v>
      </c>
      <c r="N248" s="98" t="s">
        <v>304</v>
      </c>
      <c r="O248" s="10" t="s">
        <v>61</v>
      </c>
      <c r="P248" s="63">
        <v>100</v>
      </c>
      <c r="Q248" s="94" t="s">
        <v>119</v>
      </c>
      <c r="R248" s="63" t="s">
        <v>301</v>
      </c>
      <c r="S248" s="96" t="s">
        <v>302</v>
      </c>
      <c r="T248" s="10" t="s">
        <v>65</v>
      </c>
      <c r="U248" s="10"/>
      <c r="V248" s="10" t="s">
        <v>66</v>
      </c>
      <c r="W248" s="10"/>
      <c r="X248" s="9" t="s">
        <v>67</v>
      </c>
      <c r="Y248" s="10" t="s">
        <v>88</v>
      </c>
      <c r="Z248" s="94" t="s">
        <v>89</v>
      </c>
      <c r="AA248" s="94" t="s">
        <v>90</v>
      </c>
      <c r="AB248" s="9" t="s">
        <v>91</v>
      </c>
      <c r="AC248" s="68" t="s">
        <v>92</v>
      </c>
      <c r="AD248" s="69" t="str">
        <f t="shared" si="28"/>
        <v>(다운백 없음)</v>
      </c>
      <c r="AE248" s="65" t="s">
        <v>73</v>
      </c>
      <c r="AF248" s="39" t="s">
        <v>458</v>
      </c>
      <c r="AG248" s="10" t="s">
        <v>75</v>
      </c>
      <c r="AH248" s="4">
        <v>650</v>
      </c>
      <c r="AI248" s="11" t="s">
        <v>450</v>
      </c>
      <c r="AJ248" s="4" t="s">
        <v>241</v>
      </c>
      <c r="AK248" s="36">
        <v>1203</v>
      </c>
      <c r="AL248" s="30">
        <v>179247000</v>
      </c>
      <c r="AM248" s="30">
        <v>114</v>
      </c>
      <c r="AN248" s="30">
        <v>11634350</v>
      </c>
      <c r="AO248" s="30">
        <v>753</v>
      </c>
      <c r="AP248" s="30">
        <v>86387787</v>
      </c>
      <c r="AQ248" s="30">
        <v>1039</v>
      </c>
      <c r="AR248" s="30">
        <v>115818317</v>
      </c>
      <c r="AS248" s="52">
        <f t="shared" si="27"/>
        <v>0.86367414796342479</v>
      </c>
    </row>
    <row r="249" spans="1:45" x14ac:dyDescent="0.3">
      <c r="A249" s="1" t="str">
        <f t="shared" si="22"/>
        <v>DWDV74046GRD</v>
      </c>
      <c r="B249" s="32" t="s">
        <v>459</v>
      </c>
      <c r="C249" s="10" t="str">
        <f t="shared" si="25"/>
        <v>DV740</v>
      </c>
      <c r="D249" s="10" t="s">
        <v>55</v>
      </c>
      <c r="E249" s="10" t="str">
        <f t="shared" si="23"/>
        <v>W</v>
      </c>
      <c r="F249" s="10" t="str">
        <f t="shared" si="24"/>
        <v>DV</v>
      </c>
      <c r="G249" s="10" t="s">
        <v>56</v>
      </c>
      <c r="H249" s="4" t="s">
        <v>460</v>
      </c>
      <c r="I249" s="10" t="s">
        <v>215</v>
      </c>
      <c r="J249" s="4">
        <f t="shared" si="26"/>
        <v>1</v>
      </c>
      <c r="K249" s="4">
        <v>1</v>
      </c>
      <c r="L249" s="30">
        <v>149000</v>
      </c>
      <c r="M249" s="78" t="s">
        <v>83</v>
      </c>
      <c r="N249" s="98" t="s">
        <v>307</v>
      </c>
      <c r="O249" s="10" t="s">
        <v>61</v>
      </c>
      <c r="P249" s="63">
        <v>100</v>
      </c>
      <c r="Q249" s="94" t="s">
        <v>119</v>
      </c>
      <c r="R249" s="63" t="s">
        <v>301</v>
      </c>
      <c r="S249" s="96" t="s">
        <v>302</v>
      </c>
      <c r="T249" s="10" t="s">
        <v>65</v>
      </c>
      <c r="U249" s="10"/>
      <c r="V249" s="10" t="s">
        <v>66</v>
      </c>
      <c r="W249" s="10"/>
      <c r="X249" s="9" t="s">
        <v>67</v>
      </c>
      <c r="Y249" s="10" t="s">
        <v>88</v>
      </c>
      <c r="Z249" s="94" t="s">
        <v>89</v>
      </c>
      <c r="AA249" s="94" t="s">
        <v>90</v>
      </c>
      <c r="AB249" s="9" t="s">
        <v>91</v>
      </c>
      <c r="AC249" s="68" t="s">
        <v>92</v>
      </c>
      <c r="AD249" s="69" t="str">
        <f t="shared" si="28"/>
        <v>(다운백 없음)</v>
      </c>
      <c r="AE249" s="65" t="s">
        <v>73</v>
      </c>
      <c r="AF249" s="39" t="s">
        <v>461</v>
      </c>
      <c r="AG249" s="10" t="s">
        <v>75</v>
      </c>
      <c r="AH249" s="4">
        <v>650</v>
      </c>
      <c r="AI249" s="11" t="s">
        <v>450</v>
      </c>
      <c r="AJ249" s="4" t="s">
        <v>241</v>
      </c>
      <c r="AK249" s="36">
        <v>994</v>
      </c>
      <c r="AL249" s="30">
        <v>148106000</v>
      </c>
      <c r="AM249" s="30">
        <v>77</v>
      </c>
      <c r="AN249" s="30">
        <v>7989380</v>
      </c>
      <c r="AO249" s="30">
        <v>550</v>
      </c>
      <c r="AP249" s="30">
        <v>64365453</v>
      </c>
      <c r="AQ249" s="30">
        <v>868</v>
      </c>
      <c r="AR249" s="30">
        <v>97460503</v>
      </c>
      <c r="AS249" s="52">
        <f t="shared" si="27"/>
        <v>0.87323943661971826</v>
      </c>
    </row>
    <row r="250" spans="1:45" x14ac:dyDescent="0.3">
      <c r="A250" s="1" t="str">
        <f t="shared" si="22"/>
        <v>DWDV74046BKS</v>
      </c>
      <c r="B250" s="32" t="s">
        <v>459</v>
      </c>
      <c r="C250" s="10" t="str">
        <f t="shared" si="25"/>
        <v>DV740</v>
      </c>
      <c r="D250" s="10" t="s">
        <v>55</v>
      </c>
      <c r="E250" s="10" t="str">
        <f t="shared" si="23"/>
        <v>W</v>
      </c>
      <c r="F250" s="10" t="str">
        <f t="shared" si="24"/>
        <v>DV</v>
      </c>
      <c r="G250" s="10" t="s">
        <v>56</v>
      </c>
      <c r="H250" s="4" t="s">
        <v>460</v>
      </c>
      <c r="I250" s="10" t="s">
        <v>78</v>
      </c>
      <c r="J250" s="4" t="str">
        <f t="shared" si="26"/>
        <v/>
      </c>
      <c r="K250" s="4">
        <v>1</v>
      </c>
      <c r="L250" s="30">
        <v>149000</v>
      </c>
      <c r="M250" s="78" t="s">
        <v>83</v>
      </c>
      <c r="N250" s="98" t="s">
        <v>307</v>
      </c>
      <c r="O250" s="10" t="s">
        <v>61</v>
      </c>
      <c r="P250" s="63">
        <v>100</v>
      </c>
      <c r="Q250" s="94" t="s">
        <v>119</v>
      </c>
      <c r="R250" s="63" t="s">
        <v>301</v>
      </c>
      <c r="S250" s="96" t="s">
        <v>302</v>
      </c>
      <c r="T250" s="10" t="s">
        <v>65</v>
      </c>
      <c r="U250" s="10"/>
      <c r="V250" s="10" t="s">
        <v>66</v>
      </c>
      <c r="W250" s="10"/>
      <c r="X250" s="9" t="s">
        <v>67</v>
      </c>
      <c r="Y250" s="10" t="s">
        <v>88</v>
      </c>
      <c r="Z250" s="94" t="s">
        <v>89</v>
      </c>
      <c r="AA250" s="94" t="s">
        <v>90</v>
      </c>
      <c r="AB250" s="9" t="s">
        <v>91</v>
      </c>
      <c r="AC250" s="68" t="s">
        <v>92</v>
      </c>
      <c r="AD250" s="69" t="str">
        <f t="shared" si="28"/>
        <v>(다운백 없음)</v>
      </c>
      <c r="AE250" s="65" t="s">
        <v>73</v>
      </c>
      <c r="AF250" s="39" t="s">
        <v>461</v>
      </c>
      <c r="AG250" s="10" t="s">
        <v>75</v>
      </c>
      <c r="AH250" s="4">
        <v>650</v>
      </c>
      <c r="AI250" s="11" t="s">
        <v>450</v>
      </c>
      <c r="AJ250" s="4" t="s">
        <v>241</v>
      </c>
      <c r="AK250" s="36">
        <v>2403</v>
      </c>
      <c r="AL250" s="30">
        <v>358047000</v>
      </c>
      <c r="AM250" s="30">
        <v>277</v>
      </c>
      <c r="AN250" s="30">
        <v>28362420</v>
      </c>
      <c r="AO250" s="30">
        <v>1875</v>
      </c>
      <c r="AP250" s="30">
        <v>215426997</v>
      </c>
      <c r="AQ250" s="30">
        <v>2349</v>
      </c>
      <c r="AR250" s="30">
        <v>264499920</v>
      </c>
      <c r="AS250" s="52">
        <f t="shared" si="27"/>
        <v>0.97752808988764039</v>
      </c>
    </row>
    <row r="251" spans="1:45" x14ac:dyDescent="0.3">
      <c r="A251" s="1" t="str">
        <f t="shared" si="22"/>
        <v>DWDV74046CRS</v>
      </c>
      <c r="B251" s="32" t="s">
        <v>459</v>
      </c>
      <c r="C251" s="10" t="str">
        <f t="shared" si="25"/>
        <v>DV740</v>
      </c>
      <c r="D251" s="10" t="s">
        <v>55</v>
      </c>
      <c r="E251" s="10" t="str">
        <f t="shared" si="23"/>
        <v>W</v>
      </c>
      <c r="F251" s="10" t="str">
        <f t="shared" si="24"/>
        <v>DV</v>
      </c>
      <c r="G251" s="10" t="s">
        <v>56</v>
      </c>
      <c r="H251" s="4" t="s">
        <v>460</v>
      </c>
      <c r="I251" s="10" t="s">
        <v>79</v>
      </c>
      <c r="J251" s="4" t="str">
        <f t="shared" si="26"/>
        <v/>
      </c>
      <c r="K251" s="4">
        <v>1</v>
      </c>
      <c r="L251" s="30">
        <v>149000</v>
      </c>
      <c r="M251" s="78" t="s">
        <v>83</v>
      </c>
      <c r="N251" s="98" t="s">
        <v>307</v>
      </c>
      <c r="O251" s="10" t="s">
        <v>61</v>
      </c>
      <c r="P251" s="63">
        <v>100</v>
      </c>
      <c r="Q251" s="94" t="s">
        <v>119</v>
      </c>
      <c r="R251" s="63" t="s">
        <v>301</v>
      </c>
      <c r="S251" s="96" t="s">
        <v>302</v>
      </c>
      <c r="T251" s="10" t="s">
        <v>65</v>
      </c>
      <c r="U251" s="10"/>
      <c r="V251" s="10" t="s">
        <v>66</v>
      </c>
      <c r="W251" s="10"/>
      <c r="X251" s="9" t="s">
        <v>67</v>
      </c>
      <c r="Y251" s="10" t="s">
        <v>88</v>
      </c>
      <c r="Z251" s="94" t="s">
        <v>89</v>
      </c>
      <c r="AA251" s="94" t="s">
        <v>90</v>
      </c>
      <c r="AB251" s="9" t="s">
        <v>91</v>
      </c>
      <c r="AC251" s="68" t="s">
        <v>92</v>
      </c>
      <c r="AD251" s="69" t="str">
        <f t="shared" si="28"/>
        <v>(다운백 없음)</v>
      </c>
      <c r="AE251" s="65" t="s">
        <v>73</v>
      </c>
      <c r="AF251" s="39" t="s">
        <v>461</v>
      </c>
      <c r="AG251" s="10" t="s">
        <v>75</v>
      </c>
      <c r="AH251" s="4">
        <v>650</v>
      </c>
      <c r="AI251" s="11" t="s">
        <v>450</v>
      </c>
      <c r="AJ251" s="4" t="s">
        <v>241</v>
      </c>
      <c r="AK251" s="36">
        <v>1405</v>
      </c>
      <c r="AL251" s="30">
        <v>209345000</v>
      </c>
      <c r="AM251" s="30">
        <v>94</v>
      </c>
      <c r="AN251" s="30">
        <v>9734830</v>
      </c>
      <c r="AO251" s="30">
        <v>928</v>
      </c>
      <c r="AP251" s="30">
        <v>108648714</v>
      </c>
      <c r="AQ251" s="30">
        <v>1284</v>
      </c>
      <c r="AR251" s="30">
        <v>145482224</v>
      </c>
      <c r="AS251" s="52">
        <f t="shared" si="27"/>
        <v>0.91387900355871887</v>
      </c>
    </row>
    <row r="252" spans="1:45" x14ac:dyDescent="0.3">
      <c r="A252" s="1" t="str">
        <f t="shared" si="22"/>
        <v>DXDV75046BKS</v>
      </c>
      <c r="B252" s="32" t="s">
        <v>462</v>
      </c>
      <c r="C252" s="10" t="str">
        <f t="shared" si="25"/>
        <v>DV750</v>
      </c>
      <c r="D252" s="10" t="s">
        <v>55</v>
      </c>
      <c r="E252" s="10" t="str">
        <f t="shared" si="23"/>
        <v>X</v>
      </c>
      <c r="F252" s="10" t="str">
        <f t="shared" si="24"/>
        <v>DV</v>
      </c>
      <c r="G252" s="10" t="s">
        <v>56</v>
      </c>
      <c r="H252" s="4" t="s">
        <v>463</v>
      </c>
      <c r="I252" s="10" t="s">
        <v>78</v>
      </c>
      <c r="J252" s="4">
        <f t="shared" si="26"/>
        <v>1</v>
      </c>
      <c r="K252" s="4">
        <v>1</v>
      </c>
      <c r="L252" s="30">
        <v>199000</v>
      </c>
      <c r="M252" s="78" t="s">
        <v>217</v>
      </c>
      <c r="N252" s="98" t="s">
        <v>329</v>
      </c>
      <c r="O252" s="10" t="s">
        <v>61</v>
      </c>
      <c r="P252" s="63">
        <v>100</v>
      </c>
      <c r="Q252" s="94" t="s">
        <v>330</v>
      </c>
      <c r="R252" s="63" t="s">
        <v>246</v>
      </c>
      <c r="S252" s="96" t="s">
        <v>331</v>
      </c>
      <c r="T252" s="10" t="s">
        <v>122</v>
      </c>
      <c r="U252" s="10" t="s">
        <v>332</v>
      </c>
      <c r="V252" s="10" t="s">
        <v>66</v>
      </c>
      <c r="W252" s="10"/>
      <c r="X252" s="9" t="s">
        <v>67</v>
      </c>
      <c r="Y252" s="10" t="s">
        <v>68</v>
      </c>
      <c r="Z252" s="94" t="s">
        <v>125</v>
      </c>
      <c r="AA252" s="94" t="s">
        <v>90</v>
      </c>
      <c r="AB252" s="9" t="s">
        <v>71</v>
      </c>
      <c r="AC252" s="10" t="s">
        <v>85</v>
      </c>
      <c r="AD252" s="10" t="s">
        <v>208</v>
      </c>
      <c r="AE252" s="65" t="s">
        <v>137</v>
      </c>
      <c r="AF252" s="39" t="s">
        <v>169</v>
      </c>
      <c r="AG252" s="10" t="s">
        <v>127</v>
      </c>
      <c r="AH252" s="4">
        <v>650</v>
      </c>
      <c r="AI252" s="11" t="s">
        <v>450</v>
      </c>
      <c r="AJ252" s="4" t="s">
        <v>241</v>
      </c>
      <c r="AK252" s="36">
        <v>4404</v>
      </c>
      <c r="AL252" s="30">
        <v>876396000</v>
      </c>
      <c r="AM252" s="30">
        <v>285</v>
      </c>
      <c r="AN252" s="30">
        <v>52611010</v>
      </c>
      <c r="AO252" s="30">
        <v>2295</v>
      </c>
      <c r="AP252" s="30">
        <v>446020377</v>
      </c>
      <c r="AQ252" s="30">
        <v>3698</v>
      </c>
      <c r="AR252" s="30">
        <v>693882480</v>
      </c>
      <c r="AS252" s="52">
        <f t="shared" si="27"/>
        <v>0.83969118982742963</v>
      </c>
    </row>
    <row r="253" spans="1:45" x14ac:dyDescent="0.3">
      <c r="A253" s="1" t="str">
        <f t="shared" si="22"/>
        <v>DXDV75046GRN</v>
      </c>
      <c r="B253" s="32" t="s">
        <v>462</v>
      </c>
      <c r="C253" s="10" t="str">
        <f t="shared" si="25"/>
        <v>DV750</v>
      </c>
      <c r="D253" s="10" t="s">
        <v>55</v>
      </c>
      <c r="E253" s="10" t="str">
        <f t="shared" si="23"/>
        <v>X</v>
      </c>
      <c r="F253" s="10" t="str">
        <f t="shared" si="24"/>
        <v>DV</v>
      </c>
      <c r="G253" s="10" t="s">
        <v>56</v>
      </c>
      <c r="H253" s="4" t="s">
        <v>463</v>
      </c>
      <c r="I253" s="10" t="s">
        <v>386</v>
      </c>
      <c r="J253" s="4" t="str">
        <f t="shared" si="26"/>
        <v/>
      </c>
      <c r="K253" s="4">
        <v>1</v>
      </c>
      <c r="L253" s="30">
        <v>199000</v>
      </c>
      <c r="M253" s="78" t="s">
        <v>217</v>
      </c>
      <c r="N253" s="98" t="s">
        <v>218</v>
      </c>
      <c r="O253" s="10" t="s">
        <v>61</v>
      </c>
      <c r="P253" s="63">
        <v>100</v>
      </c>
      <c r="Q253" s="94" t="s">
        <v>219</v>
      </c>
      <c r="R253" s="63" t="s">
        <v>220</v>
      </c>
      <c r="S253" s="96" t="s">
        <v>221</v>
      </c>
      <c r="T253" s="10" t="s">
        <v>65</v>
      </c>
      <c r="U253" s="10"/>
      <c r="V253" s="10" t="s">
        <v>222</v>
      </c>
      <c r="W253" s="10"/>
      <c r="X253" s="9" t="s">
        <v>67</v>
      </c>
      <c r="Y253" s="10" t="s">
        <v>68</v>
      </c>
      <c r="Z253" s="94" t="s">
        <v>154</v>
      </c>
      <c r="AA253" s="94" t="s">
        <v>185</v>
      </c>
      <c r="AB253" s="9" t="s">
        <v>71</v>
      </c>
      <c r="AC253" s="10" t="s">
        <v>85</v>
      </c>
      <c r="AD253" s="10" t="s">
        <v>208</v>
      </c>
      <c r="AE253" s="65" t="s">
        <v>137</v>
      </c>
      <c r="AF253" s="39" t="s">
        <v>93</v>
      </c>
      <c r="AG253" s="10" t="s">
        <v>127</v>
      </c>
      <c r="AH253" s="4">
        <v>650</v>
      </c>
      <c r="AI253" s="11" t="s">
        <v>450</v>
      </c>
      <c r="AJ253" s="4" t="s">
        <v>241</v>
      </c>
      <c r="AK253" s="36">
        <v>1000</v>
      </c>
      <c r="AL253" s="30">
        <v>199000000</v>
      </c>
      <c r="AM253" s="30">
        <v>26</v>
      </c>
      <c r="AN253" s="30">
        <v>5058600</v>
      </c>
      <c r="AO253" s="30">
        <v>146</v>
      </c>
      <c r="AP253" s="30">
        <v>28516956</v>
      </c>
      <c r="AQ253" s="30">
        <v>318</v>
      </c>
      <c r="AR253" s="30">
        <v>58580761</v>
      </c>
      <c r="AS253" s="52">
        <f t="shared" si="27"/>
        <v>0.318</v>
      </c>
    </row>
    <row r="254" spans="1:45" x14ac:dyDescent="0.3">
      <c r="A254" s="1" t="str">
        <f t="shared" si="22"/>
        <v>DXDV75046BKN</v>
      </c>
      <c r="B254" s="32" t="s">
        <v>462</v>
      </c>
      <c r="C254" s="10" t="str">
        <f t="shared" si="25"/>
        <v>DV750</v>
      </c>
      <c r="D254" s="10" t="s">
        <v>55</v>
      </c>
      <c r="E254" s="10" t="str">
        <f t="shared" si="23"/>
        <v>X</v>
      </c>
      <c r="F254" s="10" t="str">
        <f t="shared" si="24"/>
        <v>DV</v>
      </c>
      <c r="G254" s="10" t="s">
        <v>56</v>
      </c>
      <c r="H254" s="4" t="s">
        <v>463</v>
      </c>
      <c r="I254" s="10" t="s">
        <v>140</v>
      </c>
      <c r="J254" s="4" t="str">
        <f t="shared" si="26"/>
        <v/>
      </c>
      <c r="K254" s="4">
        <v>1</v>
      </c>
      <c r="L254" s="30">
        <v>199000</v>
      </c>
      <c r="M254" s="78" t="s">
        <v>217</v>
      </c>
      <c r="N254" s="98" t="s">
        <v>218</v>
      </c>
      <c r="O254" s="10" t="s">
        <v>61</v>
      </c>
      <c r="P254" s="63">
        <v>100</v>
      </c>
      <c r="Q254" s="94" t="s">
        <v>219</v>
      </c>
      <c r="R254" s="63" t="s">
        <v>220</v>
      </c>
      <c r="S254" s="96" t="s">
        <v>221</v>
      </c>
      <c r="T254" s="10" t="s">
        <v>65</v>
      </c>
      <c r="U254" s="10"/>
      <c r="V254" s="10" t="s">
        <v>222</v>
      </c>
      <c r="W254" s="10"/>
      <c r="X254" s="9" t="s">
        <v>67</v>
      </c>
      <c r="Y254" s="10" t="s">
        <v>68</v>
      </c>
      <c r="Z254" s="94" t="s">
        <v>154</v>
      </c>
      <c r="AA254" s="94" t="s">
        <v>185</v>
      </c>
      <c r="AB254" s="9" t="s">
        <v>71</v>
      </c>
      <c r="AC254" s="10" t="s">
        <v>85</v>
      </c>
      <c r="AD254" s="10" t="s">
        <v>208</v>
      </c>
      <c r="AE254" s="65" t="s">
        <v>137</v>
      </c>
      <c r="AF254" s="39" t="s">
        <v>93</v>
      </c>
      <c r="AG254" s="10" t="s">
        <v>127</v>
      </c>
      <c r="AH254" s="4">
        <v>650</v>
      </c>
      <c r="AI254" s="11" t="s">
        <v>450</v>
      </c>
      <c r="AJ254" s="4" t="s">
        <v>241</v>
      </c>
      <c r="AK254" s="36">
        <v>1402</v>
      </c>
      <c r="AL254" s="30">
        <v>278998000</v>
      </c>
      <c r="AM254" s="30">
        <v>86</v>
      </c>
      <c r="AN254" s="30">
        <v>16759271</v>
      </c>
      <c r="AO254" s="30">
        <v>636</v>
      </c>
      <c r="AP254" s="30">
        <v>123643831</v>
      </c>
      <c r="AQ254" s="30">
        <v>1032</v>
      </c>
      <c r="AR254" s="30">
        <v>199506090</v>
      </c>
      <c r="AS254" s="52">
        <f t="shared" si="27"/>
        <v>0.73609129814550645</v>
      </c>
    </row>
    <row r="255" spans="1:45" x14ac:dyDescent="0.3">
      <c r="A255" s="1" t="str">
        <f t="shared" si="22"/>
        <v>DXDV75046IVS</v>
      </c>
      <c r="B255" s="32" t="s">
        <v>462</v>
      </c>
      <c r="C255" s="10" t="str">
        <f t="shared" si="25"/>
        <v>DV750</v>
      </c>
      <c r="D255" s="10" t="s">
        <v>55</v>
      </c>
      <c r="E255" s="10" t="str">
        <f t="shared" si="23"/>
        <v>X</v>
      </c>
      <c r="F255" s="10" t="str">
        <f t="shared" si="24"/>
        <v>DV</v>
      </c>
      <c r="G255" s="10" t="s">
        <v>56</v>
      </c>
      <c r="H255" s="4" t="s">
        <v>463</v>
      </c>
      <c r="I255" s="10" t="s">
        <v>111</v>
      </c>
      <c r="J255" s="4" t="str">
        <f t="shared" si="26"/>
        <v/>
      </c>
      <c r="K255" s="4">
        <v>1</v>
      </c>
      <c r="L255" s="30">
        <v>199000</v>
      </c>
      <c r="M255" s="78" t="s">
        <v>217</v>
      </c>
      <c r="N255" s="98" t="s">
        <v>329</v>
      </c>
      <c r="O255" s="10" t="s">
        <v>61</v>
      </c>
      <c r="P255" s="63">
        <v>100</v>
      </c>
      <c r="Q255" s="94" t="s">
        <v>330</v>
      </c>
      <c r="R255" s="63" t="s">
        <v>246</v>
      </c>
      <c r="S255" s="96" t="s">
        <v>331</v>
      </c>
      <c r="T255" s="10" t="s">
        <v>122</v>
      </c>
      <c r="U255" s="10" t="s">
        <v>332</v>
      </c>
      <c r="V255" s="10" t="s">
        <v>66</v>
      </c>
      <c r="W255" s="10"/>
      <c r="X255" s="9" t="s">
        <v>67</v>
      </c>
      <c r="Y255" s="10" t="s">
        <v>68</v>
      </c>
      <c r="Z255" s="94" t="s">
        <v>125</v>
      </c>
      <c r="AA255" s="94" t="s">
        <v>90</v>
      </c>
      <c r="AB255" s="9" t="s">
        <v>71</v>
      </c>
      <c r="AC255" s="10" t="s">
        <v>85</v>
      </c>
      <c r="AD255" s="10" t="s">
        <v>208</v>
      </c>
      <c r="AE255" s="65" t="s">
        <v>137</v>
      </c>
      <c r="AF255" s="39" t="s">
        <v>169</v>
      </c>
      <c r="AG255" s="10" t="s">
        <v>127</v>
      </c>
      <c r="AH255" s="4">
        <v>650</v>
      </c>
      <c r="AI255" s="11" t="s">
        <v>450</v>
      </c>
      <c r="AJ255" s="4" t="s">
        <v>241</v>
      </c>
      <c r="AK255" s="36">
        <v>1404</v>
      </c>
      <c r="AL255" s="30">
        <v>279396000</v>
      </c>
      <c r="AM255" s="30">
        <v>76</v>
      </c>
      <c r="AN255" s="30">
        <v>13820734</v>
      </c>
      <c r="AO255" s="30">
        <v>622</v>
      </c>
      <c r="AP255" s="30">
        <v>120530217</v>
      </c>
      <c r="AQ255" s="30">
        <v>1018</v>
      </c>
      <c r="AR255" s="30">
        <v>189453632</v>
      </c>
      <c r="AS255" s="52">
        <f t="shared" si="27"/>
        <v>0.72507122507122512</v>
      </c>
    </row>
    <row r="256" spans="1:45" x14ac:dyDescent="0.3">
      <c r="A256" s="1" t="str">
        <f t="shared" si="22"/>
        <v>DXDV77046IVD</v>
      </c>
      <c r="B256" s="32" t="s">
        <v>464</v>
      </c>
      <c r="C256" s="10" t="str">
        <f t="shared" si="25"/>
        <v>DV770</v>
      </c>
      <c r="D256" s="10" t="s">
        <v>55</v>
      </c>
      <c r="E256" s="10" t="str">
        <f t="shared" si="23"/>
        <v>X</v>
      </c>
      <c r="F256" s="10" t="str">
        <f t="shared" si="24"/>
        <v>DV</v>
      </c>
      <c r="G256" s="10" t="s">
        <v>56</v>
      </c>
      <c r="H256" s="4" t="s">
        <v>465</v>
      </c>
      <c r="I256" s="10" t="s">
        <v>105</v>
      </c>
      <c r="J256" s="4">
        <f t="shared" si="26"/>
        <v>1</v>
      </c>
      <c r="K256" s="4">
        <v>1</v>
      </c>
      <c r="L256" s="30">
        <v>239000</v>
      </c>
      <c r="M256" s="78" t="s">
        <v>408</v>
      </c>
      <c r="N256" s="98" t="s">
        <v>466</v>
      </c>
      <c r="O256" s="10" t="s">
        <v>61</v>
      </c>
      <c r="P256" s="63">
        <v>100</v>
      </c>
      <c r="Q256" s="94" t="s">
        <v>119</v>
      </c>
      <c r="R256" s="63" t="s">
        <v>467</v>
      </c>
      <c r="S256" s="96" t="s">
        <v>468</v>
      </c>
      <c r="T256" s="10" t="s">
        <v>65</v>
      </c>
      <c r="U256" s="10"/>
      <c r="V256" s="10" t="s">
        <v>412</v>
      </c>
      <c r="W256" s="10" t="s">
        <v>408</v>
      </c>
      <c r="X256" s="9" t="s">
        <v>67</v>
      </c>
      <c r="Y256" s="10" t="s">
        <v>340</v>
      </c>
      <c r="Z256" s="94" t="s">
        <v>238</v>
      </c>
      <c r="AA256" s="94" t="s">
        <v>90</v>
      </c>
      <c r="AB256" s="9" t="s">
        <v>71</v>
      </c>
      <c r="AC256" s="10" t="s">
        <v>85</v>
      </c>
      <c r="AD256" s="10" t="s">
        <v>208</v>
      </c>
      <c r="AE256" s="65" t="s">
        <v>137</v>
      </c>
      <c r="AF256" s="39" t="s">
        <v>469</v>
      </c>
      <c r="AG256" s="10" t="s">
        <v>127</v>
      </c>
      <c r="AH256" s="4">
        <v>650</v>
      </c>
      <c r="AI256" s="11" t="s">
        <v>450</v>
      </c>
      <c r="AJ256" s="4" t="s">
        <v>241</v>
      </c>
      <c r="AK256" s="36">
        <v>982</v>
      </c>
      <c r="AL256" s="30">
        <v>234698000</v>
      </c>
      <c r="AM256" s="30">
        <v>57</v>
      </c>
      <c r="AN256" s="30">
        <v>9505940</v>
      </c>
      <c r="AO256" s="30">
        <v>481</v>
      </c>
      <c r="AP256" s="30">
        <v>86572087</v>
      </c>
      <c r="AQ256" s="30">
        <v>803</v>
      </c>
      <c r="AR256" s="30">
        <v>140373597</v>
      </c>
      <c r="AS256" s="52">
        <f t="shared" si="27"/>
        <v>0.81771894093686359</v>
      </c>
    </row>
    <row r="257" spans="1:45" x14ac:dyDescent="0.3">
      <c r="A257" s="1" t="str">
        <f t="shared" si="22"/>
        <v>DXDV77046BKS</v>
      </c>
      <c r="B257" s="32" t="s">
        <v>464</v>
      </c>
      <c r="C257" s="10" t="str">
        <f t="shared" si="25"/>
        <v>DV770</v>
      </c>
      <c r="D257" s="10" t="s">
        <v>55</v>
      </c>
      <c r="E257" s="10" t="str">
        <f t="shared" si="23"/>
        <v>X</v>
      </c>
      <c r="F257" s="10" t="str">
        <f t="shared" si="24"/>
        <v>DV</v>
      </c>
      <c r="G257" s="10" t="s">
        <v>56</v>
      </c>
      <c r="H257" s="4" t="s">
        <v>465</v>
      </c>
      <c r="I257" s="10" t="s">
        <v>78</v>
      </c>
      <c r="J257" s="4" t="str">
        <f t="shared" si="26"/>
        <v/>
      </c>
      <c r="K257" s="4">
        <v>1</v>
      </c>
      <c r="L257" s="30">
        <v>239000</v>
      </c>
      <c r="M257" s="78" t="s">
        <v>408</v>
      </c>
      <c r="N257" s="98" t="s">
        <v>466</v>
      </c>
      <c r="O257" s="10" t="s">
        <v>61</v>
      </c>
      <c r="P257" s="63">
        <v>100</v>
      </c>
      <c r="Q257" s="94" t="s">
        <v>119</v>
      </c>
      <c r="R257" s="63" t="s">
        <v>467</v>
      </c>
      <c r="S257" s="96" t="s">
        <v>468</v>
      </c>
      <c r="T257" s="10" t="s">
        <v>65</v>
      </c>
      <c r="U257" s="10"/>
      <c r="V257" s="10" t="s">
        <v>412</v>
      </c>
      <c r="W257" s="10" t="s">
        <v>408</v>
      </c>
      <c r="X257" s="9" t="s">
        <v>67</v>
      </c>
      <c r="Y257" s="10" t="s">
        <v>340</v>
      </c>
      <c r="Z257" s="94" t="s">
        <v>238</v>
      </c>
      <c r="AA257" s="94" t="s">
        <v>90</v>
      </c>
      <c r="AB257" s="9" t="s">
        <v>71</v>
      </c>
      <c r="AC257" s="10" t="s">
        <v>85</v>
      </c>
      <c r="AD257" s="10" t="s">
        <v>208</v>
      </c>
      <c r="AE257" s="65" t="s">
        <v>137</v>
      </c>
      <c r="AF257" s="39" t="s">
        <v>469</v>
      </c>
      <c r="AG257" s="10" t="s">
        <v>127</v>
      </c>
      <c r="AH257" s="4">
        <v>650</v>
      </c>
      <c r="AI257" s="11" t="s">
        <v>450</v>
      </c>
      <c r="AJ257" s="4" t="s">
        <v>241</v>
      </c>
      <c r="AK257" s="36">
        <v>2845</v>
      </c>
      <c r="AL257" s="30">
        <v>679955000</v>
      </c>
      <c r="AM257" s="30">
        <v>223</v>
      </c>
      <c r="AN257" s="30">
        <v>37097800</v>
      </c>
      <c r="AO257" s="30">
        <v>1995</v>
      </c>
      <c r="AP257" s="30">
        <v>353972776</v>
      </c>
      <c r="AQ257" s="30">
        <v>2746</v>
      </c>
      <c r="AR257" s="30">
        <v>478737186</v>
      </c>
      <c r="AS257" s="52">
        <f t="shared" si="27"/>
        <v>0.96520210896309311</v>
      </c>
    </row>
    <row r="258" spans="1:45" x14ac:dyDescent="0.3">
      <c r="A258" s="1" t="str">
        <f t="shared" si="22"/>
        <v>DXDV77046SIL</v>
      </c>
      <c r="B258" s="32" t="s">
        <v>464</v>
      </c>
      <c r="C258" s="10" t="str">
        <f t="shared" si="25"/>
        <v>DV770</v>
      </c>
      <c r="D258" s="10" t="s">
        <v>55</v>
      </c>
      <c r="E258" s="10" t="str">
        <f t="shared" si="23"/>
        <v>X</v>
      </c>
      <c r="F258" s="10" t="str">
        <f t="shared" si="24"/>
        <v>DV</v>
      </c>
      <c r="G258" s="10" t="s">
        <v>56</v>
      </c>
      <c r="H258" s="4" t="s">
        <v>465</v>
      </c>
      <c r="I258" s="10" t="s">
        <v>178</v>
      </c>
      <c r="J258" s="4" t="str">
        <f t="shared" si="26"/>
        <v/>
      </c>
      <c r="K258" s="4">
        <v>1</v>
      </c>
      <c r="L258" s="30">
        <v>239000</v>
      </c>
      <c r="M258" s="78" t="s">
        <v>408</v>
      </c>
      <c r="N258" s="98" t="s">
        <v>466</v>
      </c>
      <c r="O258" s="10" t="s">
        <v>61</v>
      </c>
      <c r="P258" s="63">
        <v>100</v>
      </c>
      <c r="Q258" s="94" t="s">
        <v>119</v>
      </c>
      <c r="R258" s="63" t="s">
        <v>467</v>
      </c>
      <c r="S258" s="96" t="s">
        <v>468</v>
      </c>
      <c r="T258" s="10" t="s">
        <v>65</v>
      </c>
      <c r="U258" s="10"/>
      <c r="V258" s="10" t="s">
        <v>412</v>
      </c>
      <c r="W258" s="10" t="s">
        <v>408</v>
      </c>
      <c r="X258" s="9" t="s">
        <v>67</v>
      </c>
      <c r="Y258" s="10" t="s">
        <v>340</v>
      </c>
      <c r="Z258" s="94" t="s">
        <v>238</v>
      </c>
      <c r="AA258" s="94" t="s">
        <v>90</v>
      </c>
      <c r="AB258" s="9" t="s">
        <v>71</v>
      </c>
      <c r="AC258" s="10" t="s">
        <v>85</v>
      </c>
      <c r="AD258" s="10" t="s">
        <v>208</v>
      </c>
      <c r="AE258" s="65" t="s">
        <v>137</v>
      </c>
      <c r="AF258" s="39" t="s">
        <v>469</v>
      </c>
      <c r="AG258" s="10" t="s">
        <v>127</v>
      </c>
      <c r="AH258" s="4">
        <v>650</v>
      </c>
      <c r="AI258" s="11" t="s">
        <v>450</v>
      </c>
      <c r="AJ258" s="4" t="s">
        <v>241</v>
      </c>
      <c r="AK258" s="36">
        <v>951</v>
      </c>
      <c r="AL258" s="30">
        <v>227289000</v>
      </c>
      <c r="AM258" s="30">
        <v>28</v>
      </c>
      <c r="AN258" s="30">
        <v>4684400</v>
      </c>
      <c r="AO258" s="30">
        <v>237</v>
      </c>
      <c r="AP258" s="30">
        <v>42111415</v>
      </c>
      <c r="AQ258" s="30">
        <v>414</v>
      </c>
      <c r="AR258" s="30">
        <v>71690515</v>
      </c>
      <c r="AS258" s="52">
        <f t="shared" si="27"/>
        <v>0.43533123028391169</v>
      </c>
    </row>
    <row r="259" spans="1:45" x14ac:dyDescent="0.3">
      <c r="Q259" s="95"/>
      <c r="S259" s="97"/>
      <c r="Z259" s="95"/>
      <c r="AA259" s="95"/>
    </row>
    <row r="260" spans="1:45" x14ac:dyDescent="0.3">
      <c r="Q260" s="95"/>
      <c r="S260" s="97"/>
      <c r="Z260" s="95"/>
      <c r="AA260" s="95"/>
    </row>
    <row r="261" spans="1:45" x14ac:dyDescent="0.3">
      <c r="Q261" s="95"/>
      <c r="S261" s="97"/>
      <c r="Z261" s="95"/>
      <c r="AA261" s="95"/>
    </row>
    <row r="262" spans="1:45" x14ac:dyDescent="0.3">
      <c r="Q262" s="95"/>
      <c r="S262" s="97"/>
      <c r="Z262" s="95"/>
      <c r="AA262" s="95"/>
    </row>
    <row r="263" spans="1:45" x14ac:dyDescent="0.3">
      <c r="Q263" s="95"/>
      <c r="S263" s="97"/>
      <c r="Z263" s="95"/>
      <c r="AA263" s="95"/>
    </row>
  </sheetData>
  <autoFilter ref="A4:AT4" xr:uid="{3C39DD6A-6A37-4936-9BEF-442C860A981E}"/>
  <phoneticPr fontId="3" type="noConversion"/>
  <conditionalFormatting sqref="M5:U258 X5:AG258 V46:V47">
    <cfRule type="cellIs" dxfId="5" priority="7" operator="equal">
      <formula>0</formula>
    </cfRule>
  </conditionalFormatting>
  <conditionalFormatting sqref="AI5:AJ258">
    <cfRule type="cellIs" dxfId="4" priority="6" operator="equal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EA28-6230-441F-8352-C144B54614EF}">
  <sheetPr>
    <tabColor theme="9" tint="0.79998168889431442"/>
  </sheetPr>
  <dimension ref="A1:AU263"/>
  <sheetViews>
    <sheetView zoomScale="85" zoomScaleNormal="85" workbookViewId="0">
      <pane xSplit="9" ySplit="5" topLeftCell="AS234" activePane="bottomRight" state="frozen"/>
      <selection pane="topRight" activeCell="G26" sqref="G26"/>
      <selection pane="bottomLeft" activeCell="G26" sqref="G26"/>
      <selection pane="bottomRight" activeCell="B5" sqref="B5:AS263"/>
    </sheetView>
  </sheetViews>
  <sheetFormatPr defaultRowHeight="16.5" outlineLevelCol="1" x14ac:dyDescent="0.3"/>
  <cols>
    <col min="1" max="1" width="5.5" style="31" hidden="1" customWidth="1"/>
    <col min="2" max="2" width="14" style="115" customWidth="1"/>
    <col min="3" max="3" width="9" style="115"/>
    <col min="4" max="4" width="9" style="98" customWidth="1"/>
    <col min="5" max="6" width="5.5" style="115" customWidth="1"/>
    <col min="7" max="7" width="9.5" style="98" customWidth="1"/>
    <col min="8" max="8" width="36" style="115" customWidth="1"/>
    <col min="9" max="9" width="9" style="98"/>
    <col min="10" max="10" width="4" style="115" customWidth="1"/>
    <col min="11" max="11" width="5.75" style="115" customWidth="1"/>
    <col min="12" max="12" width="9.375" style="121" bestFit="1" customWidth="1"/>
    <col min="13" max="13" width="6.75" style="117" customWidth="1"/>
    <col min="14" max="14" width="10.125" style="115" customWidth="1" outlineLevel="1"/>
    <col min="15" max="15" width="18.625" style="115" customWidth="1" outlineLevel="1"/>
    <col min="16" max="16" width="10.875" style="127" customWidth="1" outlineLevel="1"/>
    <col min="17" max="17" width="9" style="84" customWidth="1" outlineLevel="1"/>
    <col min="18" max="18" width="9" style="115" customWidth="1" outlineLevel="1"/>
    <col min="19" max="19" width="9" style="84" customWidth="1" outlineLevel="1"/>
    <col min="20" max="20" width="9" style="115" customWidth="1" outlineLevel="1"/>
    <col min="21" max="21" width="8.5" style="115" customWidth="1" outlineLevel="1"/>
    <col min="22" max="23" width="9" style="115" customWidth="1" outlineLevel="1"/>
    <col min="24" max="24" width="9" style="117" customWidth="1" outlineLevel="1"/>
    <col min="25" max="25" width="9" style="115" customWidth="1" outlineLevel="1"/>
    <col min="26" max="27" width="8.625" style="84" customWidth="1" outlineLevel="1"/>
    <col min="28" max="28" width="11" style="117" customWidth="1"/>
    <col min="29" max="30" width="7.75" style="115" customWidth="1" outlineLevel="1"/>
    <col min="31" max="31" width="16.25" style="66" customWidth="1" outlineLevel="1"/>
    <col min="32" max="32" width="11" style="54" customWidth="1" outlineLevel="1"/>
    <col min="33" max="33" width="8" style="115" hidden="1" customWidth="1" outlineLevel="1"/>
    <col min="34" max="34" width="7.375" style="115" customWidth="1" outlineLevel="1"/>
    <col min="35" max="35" width="13.375" style="117" customWidth="1"/>
    <col min="36" max="36" width="10.125" style="115" customWidth="1"/>
    <col min="37" max="37" width="9" style="128"/>
    <col min="38" max="40" width="12.25" style="121" customWidth="1"/>
    <col min="41" max="41" width="9" style="121"/>
    <col min="42" max="44" width="12.25" style="121" customWidth="1"/>
    <col min="45" max="45" width="9" style="129"/>
    <col min="46" max="46" width="11.25" bestFit="1" customWidth="1"/>
  </cols>
  <sheetData>
    <row r="1" spans="1:47" ht="31.5" x14ac:dyDescent="0.3">
      <c r="A1" s="1"/>
      <c r="B1" s="40" t="s">
        <v>470</v>
      </c>
      <c r="C1" s="2"/>
      <c r="D1" s="3"/>
      <c r="E1" s="3"/>
      <c r="F1" s="3"/>
      <c r="G1" s="3"/>
      <c r="H1" s="4"/>
      <c r="I1" s="3"/>
      <c r="J1"/>
      <c r="K1"/>
      <c r="L1" s="5"/>
      <c r="M1" s="6"/>
      <c r="N1" s="7"/>
      <c r="O1" s="7"/>
      <c r="P1" s="7"/>
      <c r="Q1" s="81"/>
      <c r="R1" s="8"/>
      <c r="S1" s="85"/>
      <c r="T1" s="8"/>
      <c r="U1" s="63"/>
      <c r="V1" s="8"/>
      <c r="W1" s="8"/>
      <c r="X1" s="6"/>
      <c r="Y1" s="7"/>
      <c r="Z1" s="81"/>
      <c r="AA1" s="85"/>
      <c r="AB1" s="6"/>
      <c r="AC1" s="7"/>
      <c r="AD1" s="8"/>
      <c r="AE1" s="92"/>
      <c r="AF1" s="80"/>
      <c r="AG1" s="8"/>
      <c r="AH1" s="8"/>
      <c r="AI1" s="9"/>
      <c r="AJ1" s="8"/>
      <c r="AK1" s="45">
        <f>AK3/'DJ 2024 FW'!AK3-1</f>
        <v>-4.0643088368109703E-2</v>
      </c>
      <c r="AL1" s="46">
        <f>AL3/'DJ 2024 FW'!AL3-1</f>
        <v>-1.7044974749192865E-2</v>
      </c>
      <c r="AM1" s="46">
        <f>AM3/'DJ 2024 FW'!AM3-1</f>
        <v>-0.11867028573096339</v>
      </c>
      <c r="AN1" s="46">
        <f>AN3/'DJ 2024 FW'!AN3-1</f>
        <v>-1.4128930994535827E-3</v>
      </c>
      <c r="AO1" s="46">
        <f>AO3/'DJ 2024 FW'!AO3-1</f>
        <v>-0.21270698187412018</v>
      </c>
      <c r="AP1" s="46">
        <f>AP3/'DJ 2024 FW'!AP3-1</f>
        <v>-0.13456742996095716</v>
      </c>
      <c r="AQ1" s="46">
        <f>AQ3/'DJ 2024 FW'!AQ3-1</f>
        <v>-8.8121009000774353E-2</v>
      </c>
      <c r="AR1" s="46">
        <f>AR3/'DJ 2024 FW'!AR3-1</f>
        <v>-2.5417979816822478E-2</v>
      </c>
      <c r="AS1" s="47">
        <f>AS3-'DJ 2024 FW'!AS3</f>
        <v>-2.9388613569756306E-2</v>
      </c>
    </row>
    <row r="2" spans="1:47" x14ac:dyDescent="0.3">
      <c r="A2" s="1"/>
      <c r="B2" s="12" t="s">
        <v>1</v>
      </c>
      <c r="C2" s="13"/>
      <c r="D2" s="3"/>
      <c r="E2" s="3"/>
      <c r="F2" s="3"/>
      <c r="G2" s="3"/>
      <c r="H2" s="4"/>
      <c r="I2" s="3"/>
      <c r="J2"/>
      <c r="K2" s="33"/>
      <c r="L2" s="5"/>
      <c r="M2" s="12" t="s">
        <v>2</v>
      </c>
      <c r="N2" s="7"/>
      <c r="O2" s="53"/>
      <c r="P2" s="7"/>
      <c r="Q2" s="81"/>
      <c r="R2" s="8"/>
      <c r="S2" s="85"/>
      <c r="T2" s="8"/>
      <c r="U2" s="63"/>
      <c r="V2" s="8"/>
      <c r="W2" s="8"/>
      <c r="X2" s="12" t="s">
        <v>3</v>
      </c>
      <c r="Y2" s="17"/>
      <c r="Z2" s="81"/>
      <c r="AA2" s="85"/>
      <c r="AB2" s="12" t="s">
        <v>4</v>
      </c>
      <c r="AC2" s="17"/>
      <c r="AD2" s="8"/>
      <c r="AE2" s="12" t="s">
        <v>5</v>
      </c>
      <c r="AF2" s="80"/>
      <c r="AG2" s="8"/>
      <c r="AH2" s="8"/>
      <c r="AI2" s="12" t="s">
        <v>6</v>
      </c>
      <c r="AJ2" s="76"/>
      <c r="AK2" s="37" t="s">
        <v>7</v>
      </c>
      <c r="AL2" s="30"/>
      <c r="AM2" s="30"/>
      <c r="AN2" s="30"/>
      <c r="AO2" s="30"/>
      <c r="AP2" s="7"/>
      <c r="AQ2" s="7"/>
      <c r="AR2" s="7"/>
      <c r="AS2" s="33"/>
      <c r="AT2" s="33"/>
      <c r="AU2" s="33"/>
    </row>
    <row r="3" spans="1:47" x14ac:dyDescent="0.3">
      <c r="A3" s="14"/>
      <c r="B3" s="12"/>
      <c r="C3" s="13"/>
      <c r="D3" s="13" t="s">
        <v>471</v>
      </c>
      <c r="E3" s="13"/>
      <c r="F3" s="13"/>
      <c r="G3" s="13"/>
      <c r="H3" s="15"/>
      <c r="I3" s="13"/>
      <c r="J3" s="15">
        <f>SUBTOTAL(9,$J$5:$J$999)</f>
        <v>80</v>
      </c>
      <c r="K3" s="15">
        <f>SUBTOTAL(9,$K$5:$K$999)</f>
        <v>259</v>
      </c>
      <c r="L3" s="16"/>
      <c r="M3" s="12"/>
      <c r="N3" s="17"/>
      <c r="O3" s="17"/>
      <c r="P3" s="17"/>
      <c r="Q3" s="82"/>
      <c r="R3" s="13"/>
      <c r="S3" s="86"/>
      <c r="T3" s="13"/>
      <c r="U3" s="13"/>
      <c r="V3" s="13"/>
      <c r="W3" s="13"/>
      <c r="X3" s="12"/>
      <c r="Y3" s="17"/>
      <c r="Z3" s="81" t="s">
        <v>8</v>
      </c>
      <c r="AA3" s="85" t="s">
        <v>9</v>
      </c>
      <c r="AB3" s="6"/>
      <c r="AC3" s="7"/>
      <c r="AD3" s="8"/>
      <c r="AE3" s="92"/>
      <c r="AF3" s="80"/>
      <c r="AG3" s="8"/>
      <c r="AH3" s="13"/>
      <c r="AI3" s="12"/>
      <c r="AJ3" s="17"/>
      <c r="AK3" s="18">
        <f t="shared" ref="AK3:AR3" si="0">SUBTOTAL(9,AK5:AK999)</f>
        <v>636281</v>
      </c>
      <c r="AL3" s="19">
        <f t="shared" si="0"/>
        <v>209443892000</v>
      </c>
      <c r="AM3" s="19">
        <f t="shared" si="0"/>
        <v>30197</v>
      </c>
      <c r="AN3" s="19">
        <f t="shared" si="0"/>
        <v>9881533088</v>
      </c>
      <c r="AO3" s="19">
        <f t="shared" si="0"/>
        <v>162750</v>
      </c>
      <c r="AP3" s="20">
        <f t="shared" si="0"/>
        <v>46804354350</v>
      </c>
      <c r="AQ3" s="20">
        <f t="shared" si="0"/>
        <v>359148.10000000003</v>
      </c>
      <c r="AR3" s="20">
        <f t="shared" si="0"/>
        <v>106646073767.99998</v>
      </c>
      <c r="AS3" s="21">
        <f>AQ3/AK3</f>
        <v>0.56444888343357735</v>
      </c>
    </row>
    <row r="4" spans="1:47" s="29" customFormat="1" ht="30.75" customHeight="1" x14ac:dyDescent="0.3">
      <c r="A4" s="22"/>
      <c r="B4" s="23" t="s">
        <v>10</v>
      </c>
      <c r="C4" s="24" t="s">
        <v>11</v>
      </c>
      <c r="D4" s="24" t="s">
        <v>12</v>
      </c>
      <c r="E4" s="23" t="s">
        <v>13</v>
      </c>
      <c r="F4" s="77" t="s">
        <v>14</v>
      </c>
      <c r="G4" s="25" t="s">
        <v>15</v>
      </c>
      <c r="H4" s="23" t="s">
        <v>16</v>
      </c>
      <c r="I4" s="23" t="s">
        <v>17</v>
      </c>
      <c r="J4" s="23" t="s">
        <v>18</v>
      </c>
      <c r="K4" s="23" t="s">
        <v>19</v>
      </c>
      <c r="L4" s="26" t="s">
        <v>20</v>
      </c>
      <c r="M4" s="27" t="s">
        <v>21</v>
      </c>
      <c r="N4" s="23" t="s">
        <v>22</v>
      </c>
      <c r="O4" s="23" t="s">
        <v>23</v>
      </c>
      <c r="P4" s="23" t="s">
        <v>24</v>
      </c>
      <c r="Q4" s="83" t="s">
        <v>25</v>
      </c>
      <c r="R4" s="23" t="s">
        <v>26</v>
      </c>
      <c r="S4" s="83" t="s">
        <v>27</v>
      </c>
      <c r="T4" s="48" t="s">
        <v>28</v>
      </c>
      <c r="U4" s="23" t="s">
        <v>29</v>
      </c>
      <c r="V4" s="23" t="s">
        <v>30</v>
      </c>
      <c r="W4" s="23" t="s">
        <v>31</v>
      </c>
      <c r="X4" s="27" t="s">
        <v>32</v>
      </c>
      <c r="Y4" s="23" t="s">
        <v>33</v>
      </c>
      <c r="Z4" s="83" t="s">
        <v>34</v>
      </c>
      <c r="AA4" s="83" t="s">
        <v>35</v>
      </c>
      <c r="AB4" s="130" t="s">
        <v>36</v>
      </c>
      <c r="AC4" s="23" t="s">
        <v>37</v>
      </c>
      <c r="AD4" s="23" t="s">
        <v>38</v>
      </c>
      <c r="AE4" s="130" t="s">
        <v>39</v>
      </c>
      <c r="AF4" s="48" t="s">
        <v>40</v>
      </c>
      <c r="AG4" s="74" t="s">
        <v>41</v>
      </c>
      <c r="AH4" s="23" t="s">
        <v>42</v>
      </c>
      <c r="AI4" s="27" t="s">
        <v>43</v>
      </c>
      <c r="AJ4" s="23" t="s">
        <v>44</v>
      </c>
      <c r="AK4" s="38" t="s">
        <v>45</v>
      </c>
      <c r="AL4" s="28" t="s">
        <v>46</v>
      </c>
      <c r="AM4" s="28" t="s">
        <v>47</v>
      </c>
      <c r="AN4" s="28" t="s">
        <v>48</v>
      </c>
      <c r="AO4" s="28" t="s">
        <v>49</v>
      </c>
      <c r="AP4" s="28" t="s">
        <v>50</v>
      </c>
      <c r="AQ4" s="28" t="s">
        <v>472</v>
      </c>
      <c r="AR4" s="28" t="s">
        <v>473</v>
      </c>
      <c r="AS4" s="34" t="s">
        <v>474</v>
      </c>
    </row>
    <row r="5" spans="1:47" s="102" customFormat="1" x14ac:dyDescent="0.3">
      <c r="A5" s="101" t="str">
        <f t="shared" ref="A5:A68" si="1">B5&amp;I5</f>
        <v>DWDJ9M056GRL</v>
      </c>
      <c r="B5" s="126" t="s">
        <v>475</v>
      </c>
      <c r="C5" s="98" t="str">
        <f t="shared" ref="C5:C10" si="2">MID(B5,3,5)</f>
        <v>DJ9M0</v>
      </c>
      <c r="D5" s="98" t="s">
        <v>55</v>
      </c>
      <c r="E5" s="98" t="str">
        <f t="shared" ref="E5:E10" si="3">MID($B5,2,1)</f>
        <v>W</v>
      </c>
      <c r="F5" s="98" t="str">
        <f t="shared" ref="F5:F10" si="4">MID($B5,3,2)</f>
        <v>DJ</v>
      </c>
      <c r="G5" s="98" t="s">
        <v>56</v>
      </c>
      <c r="H5" s="115" t="s">
        <v>476</v>
      </c>
      <c r="I5" s="98" t="s">
        <v>113</v>
      </c>
      <c r="J5" s="115">
        <v>1</v>
      </c>
      <c r="K5" s="115">
        <v>1</v>
      </c>
      <c r="L5" s="116">
        <v>279000</v>
      </c>
      <c r="M5" s="78" t="s">
        <v>477</v>
      </c>
      <c r="N5" s="98" t="s">
        <v>478</v>
      </c>
      <c r="O5" s="98" t="s">
        <v>143</v>
      </c>
      <c r="P5" s="98">
        <v>100</v>
      </c>
      <c r="Q5" s="32" t="s">
        <v>479</v>
      </c>
      <c r="R5" s="98" t="s">
        <v>480</v>
      </c>
      <c r="S5" s="32" t="s">
        <v>481</v>
      </c>
      <c r="T5" s="98" t="s">
        <v>65</v>
      </c>
      <c r="U5" s="98"/>
      <c r="V5" s="98" t="s">
        <v>66</v>
      </c>
      <c r="W5" s="98"/>
      <c r="X5" s="78" t="s">
        <v>67</v>
      </c>
      <c r="Y5" s="98" t="s">
        <v>340</v>
      </c>
      <c r="Z5" s="32" t="s">
        <v>125</v>
      </c>
      <c r="AA5" s="32" t="s">
        <v>70</v>
      </c>
      <c r="AB5" s="78" t="s">
        <v>71</v>
      </c>
      <c r="AC5" s="98" t="s">
        <v>62</v>
      </c>
      <c r="AD5" s="98" t="s">
        <v>72</v>
      </c>
      <c r="AE5" s="65" t="s">
        <v>73</v>
      </c>
      <c r="AF5" s="39" t="s">
        <v>311</v>
      </c>
      <c r="AG5" s="98" t="s">
        <v>240</v>
      </c>
      <c r="AH5" s="115">
        <v>650</v>
      </c>
      <c r="AI5" s="117" t="s">
        <v>289</v>
      </c>
      <c r="AJ5" s="115" t="s">
        <v>77</v>
      </c>
      <c r="AK5" s="72">
        <f>997+1200</f>
        <v>2197</v>
      </c>
      <c r="AL5" s="116">
        <f t="shared" ref="AL5:AL68" si="5">AK5*L5</f>
        <v>612963000</v>
      </c>
      <c r="AM5" s="116">
        <v>-1</v>
      </c>
      <c r="AN5" s="116">
        <v>-464470</v>
      </c>
      <c r="AO5" s="116">
        <v>921</v>
      </c>
      <c r="AP5" s="116">
        <v>244285631</v>
      </c>
      <c r="AQ5" s="116">
        <f t="shared" ref="AQ5:AQ10" si="6">AK5*AS5</f>
        <v>1977.3</v>
      </c>
      <c r="AR5" s="116">
        <f t="shared" ref="AR5:AR10" si="7">(AL5*AS5)*0.92</f>
        <v>507533364</v>
      </c>
      <c r="AS5" s="70">
        <v>0.9</v>
      </c>
    </row>
    <row r="6" spans="1:47" s="102" customFormat="1" x14ac:dyDescent="0.3">
      <c r="A6" s="101" t="str">
        <f t="shared" si="1"/>
        <v>DWDJ9M056BKS</v>
      </c>
      <c r="B6" s="126" t="s">
        <v>475</v>
      </c>
      <c r="C6" s="98" t="str">
        <f t="shared" si="2"/>
        <v>DJ9M0</v>
      </c>
      <c r="D6" s="98" t="s">
        <v>55</v>
      </c>
      <c r="E6" s="98" t="str">
        <f t="shared" si="3"/>
        <v>W</v>
      </c>
      <c r="F6" s="98" t="str">
        <f t="shared" si="4"/>
        <v>DJ</v>
      </c>
      <c r="G6" s="98" t="s">
        <v>56</v>
      </c>
      <c r="H6" s="115" t="s">
        <v>476</v>
      </c>
      <c r="I6" s="98" t="s">
        <v>78</v>
      </c>
      <c r="J6" s="115" t="str">
        <f t="shared" ref="J6:J69" si="8">IF(B6=B5,"",1)</f>
        <v/>
      </c>
      <c r="K6" s="115">
        <v>1</v>
      </c>
      <c r="L6" s="116">
        <v>279000</v>
      </c>
      <c r="M6" s="78" t="s">
        <v>477</v>
      </c>
      <c r="N6" s="98" t="s">
        <v>478</v>
      </c>
      <c r="O6" s="98" t="s">
        <v>143</v>
      </c>
      <c r="P6" s="98">
        <v>100</v>
      </c>
      <c r="Q6" s="32" t="s">
        <v>479</v>
      </c>
      <c r="R6" s="98" t="s">
        <v>480</v>
      </c>
      <c r="S6" s="32" t="s">
        <v>481</v>
      </c>
      <c r="T6" s="98" t="s">
        <v>65</v>
      </c>
      <c r="U6" s="98"/>
      <c r="V6" s="98" t="s">
        <v>66</v>
      </c>
      <c r="W6" s="98"/>
      <c r="X6" s="78" t="s">
        <v>67</v>
      </c>
      <c r="Y6" s="98" t="s">
        <v>340</v>
      </c>
      <c r="Z6" s="32" t="s">
        <v>125</v>
      </c>
      <c r="AA6" s="32" t="s">
        <v>70</v>
      </c>
      <c r="AB6" s="78" t="s">
        <v>71</v>
      </c>
      <c r="AC6" s="98" t="s">
        <v>62</v>
      </c>
      <c r="AD6" s="98" t="s">
        <v>72</v>
      </c>
      <c r="AE6" s="65" t="s">
        <v>73</v>
      </c>
      <c r="AF6" s="39" t="s">
        <v>311</v>
      </c>
      <c r="AG6" s="98" t="s">
        <v>240</v>
      </c>
      <c r="AH6" s="115">
        <v>650</v>
      </c>
      <c r="AI6" s="117" t="s">
        <v>289</v>
      </c>
      <c r="AJ6" s="115" t="s">
        <v>77</v>
      </c>
      <c r="AK6" s="73">
        <v>1774</v>
      </c>
      <c r="AL6" s="116">
        <f t="shared" si="5"/>
        <v>494946000</v>
      </c>
      <c r="AM6" s="116">
        <v>40</v>
      </c>
      <c r="AN6" s="116">
        <v>10138532</v>
      </c>
      <c r="AO6" s="116">
        <v>577</v>
      </c>
      <c r="AP6" s="116">
        <v>152242676</v>
      </c>
      <c r="AQ6" s="116">
        <f t="shared" si="6"/>
        <v>1020.4999999999999</v>
      </c>
      <c r="AR6" s="116">
        <f t="shared" si="7"/>
        <v>261941939.99999997</v>
      </c>
      <c r="AS6" s="118">
        <v>0.57525366403607658</v>
      </c>
    </row>
    <row r="7" spans="1:47" s="102" customFormat="1" x14ac:dyDescent="0.3">
      <c r="A7" s="101" t="str">
        <f t="shared" si="1"/>
        <v>DWDJ9M056TQD</v>
      </c>
      <c r="B7" s="126" t="s">
        <v>475</v>
      </c>
      <c r="C7" s="98" t="str">
        <f t="shared" si="2"/>
        <v>DJ9M0</v>
      </c>
      <c r="D7" s="98" t="s">
        <v>55</v>
      </c>
      <c r="E7" s="98" t="str">
        <f t="shared" si="3"/>
        <v>W</v>
      </c>
      <c r="F7" s="98" t="str">
        <f t="shared" si="4"/>
        <v>DJ</v>
      </c>
      <c r="G7" s="98" t="s">
        <v>56</v>
      </c>
      <c r="H7" s="115" t="s">
        <v>476</v>
      </c>
      <c r="I7" s="98" t="s">
        <v>242</v>
      </c>
      <c r="J7" s="115" t="str">
        <f t="shared" si="8"/>
        <v/>
      </c>
      <c r="K7" s="115">
        <v>1</v>
      </c>
      <c r="L7" s="116">
        <v>279000</v>
      </c>
      <c r="M7" s="78" t="s">
        <v>477</v>
      </c>
      <c r="N7" s="98" t="s">
        <v>478</v>
      </c>
      <c r="O7" s="98" t="s">
        <v>143</v>
      </c>
      <c r="P7" s="98">
        <v>100</v>
      </c>
      <c r="Q7" s="32" t="s">
        <v>479</v>
      </c>
      <c r="R7" s="98" t="s">
        <v>480</v>
      </c>
      <c r="S7" s="32" t="s">
        <v>481</v>
      </c>
      <c r="T7" s="98" t="s">
        <v>65</v>
      </c>
      <c r="U7" s="98"/>
      <c r="V7" s="98" t="s">
        <v>66</v>
      </c>
      <c r="W7" s="98"/>
      <c r="X7" s="78" t="s">
        <v>67</v>
      </c>
      <c r="Y7" s="98" t="s">
        <v>340</v>
      </c>
      <c r="Z7" s="32" t="s">
        <v>125</v>
      </c>
      <c r="AA7" s="32" t="s">
        <v>70</v>
      </c>
      <c r="AB7" s="78" t="s">
        <v>71</v>
      </c>
      <c r="AC7" s="98" t="s">
        <v>62</v>
      </c>
      <c r="AD7" s="98" t="s">
        <v>72</v>
      </c>
      <c r="AE7" s="65" t="s">
        <v>73</v>
      </c>
      <c r="AF7" s="39" t="s">
        <v>311</v>
      </c>
      <c r="AG7" s="98" t="s">
        <v>240</v>
      </c>
      <c r="AH7" s="115">
        <v>650</v>
      </c>
      <c r="AI7" s="117" t="s">
        <v>289</v>
      </c>
      <c r="AJ7" s="115" t="s">
        <v>77</v>
      </c>
      <c r="AK7" s="73">
        <v>2010</v>
      </c>
      <c r="AL7" s="116">
        <f t="shared" si="5"/>
        <v>560790000</v>
      </c>
      <c r="AM7" s="116">
        <v>37</v>
      </c>
      <c r="AN7" s="116">
        <v>9154121</v>
      </c>
      <c r="AO7" s="116">
        <v>598</v>
      </c>
      <c r="AP7" s="116">
        <v>156695090</v>
      </c>
      <c r="AQ7" s="116">
        <f t="shared" si="6"/>
        <v>1100.5</v>
      </c>
      <c r="AR7" s="116">
        <f t="shared" si="7"/>
        <v>282476340</v>
      </c>
      <c r="AS7" s="118">
        <v>0.54751243781094527</v>
      </c>
    </row>
    <row r="8" spans="1:47" x14ac:dyDescent="0.3">
      <c r="A8" s="1" t="str">
        <f t="shared" si="1"/>
        <v>DWDJ9E056CRS</v>
      </c>
      <c r="B8" s="126" t="s">
        <v>482</v>
      </c>
      <c r="C8" s="98" t="str">
        <f t="shared" si="2"/>
        <v>DJ9E0</v>
      </c>
      <c r="D8" s="98" t="s">
        <v>55</v>
      </c>
      <c r="E8" s="98" t="str">
        <f t="shared" si="3"/>
        <v>W</v>
      </c>
      <c r="F8" s="98" t="str">
        <f t="shared" si="4"/>
        <v>DJ</v>
      </c>
      <c r="G8" s="98" t="s">
        <v>56</v>
      </c>
      <c r="H8" s="115" t="s">
        <v>483</v>
      </c>
      <c r="I8" s="98" t="s">
        <v>79</v>
      </c>
      <c r="J8" s="115">
        <f t="shared" si="8"/>
        <v>1</v>
      </c>
      <c r="K8" s="115">
        <v>1</v>
      </c>
      <c r="L8" s="116">
        <v>379000</v>
      </c>
      <c r="M8" s="78" t="s">
        <v>408</v>
      </c>
      <c r="N8" s="98" t="s">
        <v>484</v>
      </c>
      <c r="O8" s="98" t="s">
        <v>485</v>
      </c>
      <c r="P8" s="98">
        <v>100</v>
      </c>
      <c r="Q8" s="32" t="s">
        <v>119</v>
      </c>
      <c r="R8" s="98" t="s">
        <v>486</v>
      </c>
      <c r="S8" s="32" t="s">
        <v>121</v>
      </c>
      <c r="T8" s="98" t="s">
        <v>65</v>
      </c>
      <c r="U8" s="98"/>
      <c r="V8" s="98" t="s">
        <v>412</v>
      </c>
      <c r="W8" s="98" t="s">
        <v>408</v>
      </c>
      <c r="X8" s="78" t="s">
        <v>67</v>
      </c>
      <c r="Y8" s="98" t="s">
        <v>340</v>
      </c>
      <c r="Z8" s="32" t="s">
        <v>238</v>
      </c>
      <c r="AA8" s="32" t="s">
        <v>341</v>
      </c>
      <c r="AB8" s="78" t="s">
        <v>71</v>
      </c>
      <c r="AC8" s="98" t="s">
        <v>62</v>
      </c>
      <c r="AD8" s="98" t="s">
        <v>72</v>
      </c>
      <c r="AE8" s="65" t="s">
        <v>73</v>
      </c>
      <c r="AF8" s="39" t="s">
        <v>343</v>
      </c>
      <c r="AG8" s="98" t="s">
        <v>127</v>
      </c>
      <c r="AH8" s="115">
        <v>650</v>
      </c>
      <c r="AI8" s="117" t="s">
        <v>128</v>
      </c>
      <c r="AJ8" s="115" t="s">
        <v>94</v>
      </c>
      <c r="AK8" s="73">
        <v>743</v>
      </c>
      <c r="AL8" s="116">
        <f t="shared" si="5"/>
        <v>281597000</v>
      </c>
      <c r="AM8" s="116">
        <v>7</v>
      </c>
      <c r="AN8" s="116">
        <v>2489229</v>
      </c>
      <c r="AO8" s="116">
        <v>62</v>
      </c>
      <c r="AP8" s="116">
        <v>22632257</v>
      </c>
      <c r="AQ8" s="116">
        <f t="shared" si="6"/>
        <v>284.89999999999998</v>
      </c>
      <c r="AR8" s="116">
        <f t="shared" si="7"/>
        <v>99338932</v>
      </c>
      <c r="AS8" s="118">
        <v>0.38344549125168237</v>
      </c>
    </row>
    <row r="9" spans="1:47" x14ac:dyDescent="0.3">
      <c r="A9" s="1" t="str">
        <f t="shared" si="1"/>
        <v>DWDJ9E056PPS</v>
      </c>
      <c r="B9" s="126" t="s">
        <v>482</v>
      </c>
      <c r="C9" s="98" t="str">
        <f t="shared" si="2"/>
        <v>DJ9E0</v>
      </c>
      <c r="D9" s="98" t="s">
        <v>55</v>
      </c>
      <c r="E9" s="98" t="str">
        <f t="shared" si="3"/>
        <v>W</v>
      </c>
      <c r="F9" s="98" t="str">
        <f t="shared" si="4"/>
        <v>DJ</v>
      </c>
      <c r="G9" s="98" t="s">
        <v>56</v>
      </c>
      <c r="H9" s="115" t="s">
        <v>483</v>
      </c>
      <c r="I9" s="98" t="s">
        <v>177</v>
      </c>
      <c r="J9" s="115" t="str">
        <f t="shared" si="8"/>
        <v/>
      </c>
      <c r="K9" s="115">
        <v>1</v>
      </c>
      <c r="L9" s="116">
        <v>379000</v>
      </c>
      <c r="M9" s="78" t="s">
        <v>408</v>
      </c>
      <c r="N9" s="98" t="s">
        <v>484</v>
      </c>
      <c r="O9" s="98" t="s">
        <v>485</v>
      </c>
      <c r="P9" s="98">
        <v>100</v>
      </c>
      <c r="Q9" s="32" t="s">
        <v>119</v>
      </c>
      <c r="R9" s="98" t="s">
        <v>486</v>
      </c>
      <c r="S9" s="32" t="s">
        <v>121</v>
      </c>
      <c r="T9" s="98" t="s">
        <v>65</v>
      </c>
      <c r="U9" s="98"/>
      <c r="V9" s="98" t="s">
        <v>412</v>
      </c>
      <c r="W9" s="98" t="s">
        <v>408</v>
      </c>
      <c r="X9" s="78" t="s">
        <v>67</v>
      </c>
      <c r="Y9" s="98" t="s">
        <v>340</v>
      </c>
      <c r="Z9" s="32" t="s">
        <v>238</v>
      </c>
      <c r="AA9" s="32" t="s">
        <v>341</v>
      </c>
      <c r="AB9" s="78" t="s">
        <v>71</v>
      </c>
      <c r="AC9" s="98" t="s">
        <v>62</v>
      </c>
      <c r="AD9" s="98" t="s">
        <v>72</v>
      </c>
      <c r="AE9" s="65" t="s">
        <v>73</v>
      </c>
      <c r="AF9" s="39" t="s">
        <v>343</v>
      </c>
      <c r="AG9" s="98" t="s">
        <v>127</v>
      </c>
      <c r="AH9" s="115">
        <v>650</v>
      </c>
      <c r="AI9" s="117" t="s">
        <v>128</v>
      </c>
      <c r="AJ9" s="115" t="s">
        <v>94</v>
      </c>
      <c r="AK9" s="73">
        <v>581</v>
      </c>
      <c r="AL9" s="116">
        <f t="shared" si="5"/>
        <v>220199000</v>
      </c>
      <c r="AM9" s="116">
        <v>3</v>
      </c>
      <c r="AN9" s="116">
        <v>1073657</v>
      </c>
      <c r="AO9" s="116">
        <v>16</v>
      </c>
      <c r="AP9" s="116">
        <v>5877118</v>
      </c>
      <c r="AQ9" s="116">
        <f t="shared" si="6"/>
        <v>190.3</v>
      </c>
      <c r="AR9" s="116">
        <f t="shared" si="7"/>
        <v>66353804</v>
      </c>
      <c r="AS9" s="118">
        <v>0.32753872633390707</v>
      </c>
    </row>
    <row r="10" spans="1:47" x14ac:dyDescent="0.3">
      <c r="A10" s="1" t="str">
        <f t="shared" si="1"/>
        <v>DWDJ9E056BKS</v>
      </c>
      <c r="B10" s="126" t="s">
        <v>482</v>
      </c>
      <c r="C10" s="98" t="str">
        <f t="shared" si="2"/>
        <v>DJ9E0</v>
      </c>
      <c r="D10" s="98" t="s">
        <v>55</v>
      </c>
      <c r="E10" s="98" t="str">
        <f t="shared" si="3"/>
        <v>W</v>
      </c>
      <c r="F10" s="98" t="str">
        <f t="shared" si="4"/>
        <v>DJ</v>
      </c>
      <c r="G10" s="98" t="s">
        <v>56</v>
      </c>
      <c r="H10" s="115" t="s">
        <v>483</v>
      </c>
      <c r="I10" s="98" t="s">
        <v>78</v>
      </c>
      <c r="J10" s="115" t="str">
        <f t="shared" si="8"/>
        <v/>
      </c>
      <c r="K10" s="115">
        <v>1</v>
      </c>
      <c r="L10" s="116">
        <v>379000</v>
      </c>
      <c r="M10" s="78" t="s">
        <v>408</v>
      </c>
      <c r="N10" s="98" t="s">
        <v>484</v>
      </c>
      <c r="O10" s="98" t="s">
        <v>485</v>
      </c>
      <c r="P10" s="98">
        <v>100</v>
      </c>
      <c r="Q10" s="32" t="s">
        <v>119</v>
      </c>
      <c r="R10" s="98" t="s">
        <v>486</v>
      </c>
      <c r="S10" s="32" t="s">
        <v>121</v>
      </c>
      <c r="T10" s="98" t="s">
        <v>65</v>
      </c>
      <c r="U10" s="98"/>
      <c r="V10" s="98" t="s">
        <v>412</v>
      </c>
      <c r="W10" s="98" t="s">
        <v>408</v>
      </c>
      <c r="X10" s="78" t="s">
        <v>67</v>
      </c>
      <c r="Y10" s="98" t="s">
        <v>340</v>
      </c>
      <c r="Z10" s="32" t="s">
        <v>238</v>
      </c>
      <c r="AA10" s="32" t="s">
        <v>341</v>
      </c>
      <c r="AB10" s="78" t="s">
        <v>71</v>
      </c>
      <c r="AC10" s="98" t="s">
        <v>62</v>
      </c>
      <c r="AD10" s="98" t="s">
        <v>72</v>
      </c>
      <c r="AE10" s="65" t="s">
        <v>73</v>
      </c>
      <c r="AF10" s="39" t="s">
        <v>343</v>
      </c>
      <c r="AG10" s="98" t="s">
        <v>127</v>
      </c>
      <c r="AH10" s="115">
        <v>650</v>
      </c>
      <c r="AI10" s="117" t="s">
        <v>128</v>
      </c>
      <c r="AJ10" s="115" t="s">
        <v>94</v>
      </c>
      <c r="AK10" s="73">
        <v>771</v>
      </c>
      <c r="AL10" s="116">
        <f t="shared" si="5"/>
        <v>292209000</v>
      </c>
      <c r="AM10" s="116">
        <v>16</v>
      </c>
      <c r="AN10" s="116">
        <v>5762285</v>
      </c>
      <c r="AO10" s="116">
        <v>87</v>
      </c>
      <c r="AP10" s="116">
        <v>31879373</v>
      </c>
      <c r="AQ10" s="116">
        <f t="shared" si="6"/>
        <v>318.29999999999995</v>
      </c>
      <c r="AR10" s="116">
        <f t="shared" si="7"/>
        <v>110984844</v>
      </c>
      <c r="AS10" s="118">
        <v>0.41284046692607002</v>
      </c>
    </row>
    <row r="11" spans="1:47" x14ac:dyDescent="0.3">
      <c r="A11" s="1" t="str">
        <f t="shared" si="1"/>
        <v>DWDJ9K056CRS</v>
      </c>
      <c r="B11" s="126" t="s">
        <v>487</v>
      </c>
      <c r="C11" s="98" t="str">
        <f t="shared" ref="C11:C74" si="9">MID(B11,3,5)</f>
        <v>DJ9K0</v>
      </c>
      <c r="D11" s="98" t="s">
        <v>55</v>
      </c>
      <c r="E11" s="98" t="str">
        <f t="shared" ref="E11:E74" si="10">MID($B11,2,1)</f>
        <v>W</v>
      </c>
      <c r="F11" s="98" t="str">
        <f t="shared" ref="F11:F74" si="11">MID($B11,3,2)</f>
        <v>DJ</v>
      </c>
      <c r="G11" s="98" t="s">
        <v>56</v>
      </c>
      <c r="H11" s="115" t="s">
        <v>488</v>
      </c>
      <c r="I11" s="98" t="s">
        <v>79</v>
      </c>
      <c r="J11" s="115">
        <f t="shared" si="8"/>
        <v>1</v>
      </c>
      <c r="K11" s="115">
        <v>1</v>
      </c>
      <c r="L11" s="116">
        <v>550000</v>
      </c>
      <c r="M11" s="78" t="s">
        <v>225</v>
      </c>
      <c r="N11" s="98" t="s">
        <v>489</v>
      </c>
      <c r="O11" s="98" t="s">
        <v>485</v>
      </c>
      <c r="P11" s="98">
        <v>100</v>
      </c>
      <c r="Q11" s="32" t="s">
        <v>85</v>
      </c>
      <c r="R11" s="98" t="s">
        <v>490</v>
      </c>
      <c r="S11" s="32" t="s">
        <v>491</v>
      </c>
      <c r="T11" s="98" t="s">
        <v>228</v>
      </c>
      <c r="U11" s="98" t="s">
        <v>123</v>
      </c>
      <c r="V11" s="98" t="s">
        <v>66</v>
      </c>
      <c r="W11" s="98" t="s">
        <v>229</v>
      </c>
      <c r="X11" s="78" t="s">
        <v>67</v>
      </c>
      <c r="Y11" s="98" t="s">
        <v>340</v>
      </c>
      <c r="Z11" s="32" t="s">
        <v>238</v>
      </c>
      <c r="AA11" s="32" t="s">
        <v>90</v>
      </c>
      <c r="AB11" s="78" t="s">
        <v>71</v>
      </c>
      <c r="AC11" s="98" t="s">
        <v>62</v>
      </c>
      <c r="AD11" s="98" t="s">
        <v>72</v>
      </c>
      <c r="AE11" s="65" t="s">
        <v>73</v>
      </c>
      <c r="AF11" s="39" t="s">
        <v>199</v>
      </c>
      <c r="AG11" s="98" t="s">
        <v>127</v>
      </c>
      <c r="AH11" s="115">
        <v>650</v>
      </c>
      <c r="AI11" s="117" t="s">
        <v>99</v>
      </c>
      <c r="AJ11" s="115" t="s">
        <v>100</v>
      </c>
      <c r="AK11" s="73">
        <v>732</v>
      </c>
      <c r="AL11" s="116">
        <f t="shared" si="5"/>
        <v>402600000</v>
      </c>
      <c r="AM11" s="116">
        <v>68</v>
      </c>
      <c r="AN11" s="116">
        <v>34813678</v>
      </c>
      <c r="AO11" s="116">
        <v>237</v>
      </c>
      <c r="AP11" s="116">
        <v>125473022</v>
      </c>
      <c r="AQ11" s="116">
        <f t="shared" ref="AQ11:AQ74" si="12">AK11*AS11</f>
        <v>493.20000000000005</v>
      </c>
      <c r="AR11" s="116">
        <f t="shared" ref="AR11:AR74" si="13">(AL11*AS11)*0.92</f>
        <v>249559200</v>
      </c>
      <c r="AS11" s="118">
        <v>0.67377049180327875</v>
      </c>
    </row>
    <row r="12" spans="1:47" x14ac:dyDescent="0.3">
      <c r="A12" s="1" t="str">
        <f t="shared" si="1"/>
        <v>DWDJ9K056BKS</v>
      </c>
      <c r="B12" s="126" t="s">
        <v>487</v>
      </c>
      <c r="C12" s="98" t="str">
        <f t="shared" si="9"/>
        <v>DJ9K0</v>
      </c>
      <c r="D12" s="98" t="s">
        <v>55</v>
      </c>
      <c r="E12" s="98" t="str">
        <f t="shared" si="10"/>
        <v>W</v>
      </c>
      <c r="F12" s="98" t="str">
        <f t="shared" si="11"/>
        <v>DJ</v>
      </c>
      <c r="G12" s="98" t="s">
        <v>56</v>
      </c>
      <c r="H12" s="115" t="s">
        <v>488</v>
      </c>
      <c r="I12" s="98" t="s">
        <v>78</v>
      </c>
      <c r="J12" s="115" t="str">
        <f t="shared" si="8"/>
        <v/>
      </c>
      <c r="K12" s="115">
        <v>1</v>
      </c>
      <c r="L12" s="116">
        <v>550000</v>
      </c>
      <c r="M12" s="78" t="s">
        <v>225</v>
      </c>
      <c r="N12" s="98" t="s">
        <v>489</v>
      </c>
      <c r="O12" s="98" t="s">
        <v>485</v>
      </c>
      <c r="P12" s="98">
        <v>100</v>
      </c>
      <c r="Q12" s="32" t="s">
        <v>85</v>
      </c>
      <c r="R12" s="98" t="s">
        <v>490</v>
      </c>
      <c r="S12" s="32" t="s">
        <v>491</v>
      </c>
      <c r="T12" s="98" t="s">
        <v>228</v>
      </c>
      <c r="U12" s="98" t="s">
        <v>123</v>
      </c>
      <c r="V12" s="98" t="s">
        <v>66</v>
      </c>
      <c r="W12" s="98" t="s">
        <v>229</v>
      </c>
      <c r="X12" s="78" t="s">
        <v>67</v>
      </c>
      <c r="Y12" s="98" t="s">
        <v>340</v>
      </c>
      <c r="Z12" s="32" t="s">
        <v>238</v>
      </c>
      <c r="AA12" s="32" t="s">
        <v>90</v>
      </c>
      <c r="AB12" s="78" t="s">
        <v>71</v>
      </c>
      <c r="AC12" s="98" t="s">
        <v>62</v>
      </c>
      <c r="AD12" s="98" t="s">
        <v>72</v>
      </c>
      <c r="AE12" s="65" t="s">
        <v>73</v>
      </c>
      <c r="AF12" s="39" t="s">
        <v>199</v>
      </c>
      <c r="AG12" s="98" t="s">
        <v>127</v>
      </c>
      <c r="AH12" s="115">
        <v>650</v>
      </c>
      <c r="AI12" s="117" t="s">
        <v>99</v>
      </c>
      <c r="AJ12" s="115" t="s">
        <v>100</v>
      </c>
      <c r="AK12" s="73">
        <v>1346</v>
      </c>
      <c r="AL12" s="116">
        <f t="shared" si="5"/>
        <v>740300000</v>
      </c>
      <c r="AM12" s="116">
        <v>142</v>
      </c>
      <c r="AN12" s="116">
        <v>72557383</v>
      </c>
      <c r="AO12" s="116">
        <v>447</v>
      </c>
      <c r="AP12" s="116">
        <v>233343523</v>
      </c>
      <c r="AQ12" s="116">
        <f t="shared" si="12"/>
        <v>918.1</v>
      </c>
      <c r="AR12" s="116">
        <f t="shared" si="13"/>
        <v>464558600</v>
      </c>
      <c r="AS12" s="118">
        <v>0.68209509658246659</v>
      </c>
    </row>
    <row r="13" spans="1:47" x14ac:dyDescent="0.3">
      <c r="A13" s="1" t="str">
        <f t="shared" si="1"/>
        <v>DWDJ9B056OLD</v>
      </c>
      <c r="B13" s="126" t="s">
        <v>492</v>
      </c>
      <c r="C13" s="98" t="str">
        <f t="shared" si="9"/>
        <v>DJ9B0</v>
      </c>
      <c r="D13" s="98" t="s">
        <v>55</v>
      </c>
      <c r="E13" s="98" t="str">
        <f t="shared" si="10"/>
        <v>W</v>
      </c>
      <c r="F13" s="98" t="str">
        <f t="shared" si="11"/>
        <v>DJ</v>
      </c>
      <c r="G13" s="98" t="s">
        <v>56</v>
      </c>
      <c r="H13" s="115" t="s">
        <v>493</v>
      </c>
      <c r="I13" s="98" t="s">
        <v>209</v>
      </c>
      <c r="J13" s="115">
        <f t="shared" si="8"/>
        <v>1</v>
      </c>
      <c r="K13" s="115">
        <v>1</v>
      </c>
      <c r="L13" s="116">
        <v>630000</v>
      </c>
      <c r="M13" s="78" t="s">
        <v>225</v>
      </c>
      <c r="N13" s="98" t="s">
        <v>494</v>
      </c>
      <c r="O13" s="98" t="s">
        <v>485</v>
      </c>
      <c r="P13" s="98">
        <v>100</v>
      </c>
      <c r="Q13" s="32" t="s">
        <v>204</v>
      </c>
      <c r="R13" s="98" t="s">
        <v>495</v>
      </c>
      <c r="S13" s="32" t="s">
        <v>496</v>
      </c>
      <c r="T13" s="98" t="s">
        <v>228</v>
      </c>
      <c r="U13" s="98" t="s">
        <v>198</v>
      </c>
      <c r="V13" s="98" t="s">
        <v>66</v>
      </c>
      <c r="W13" s="98" t="s">
        <v>229</v>
      </c>
      <c r="X13" s="78" t="s">
        <v>67</v>
      </c>
      <c r="Y13" s="98" t="s">
        <v>68</v>
      </c>
      <c r="Z13" s="32" t="s">
        <v>125</v>
      </c>
      <c r="AA13" s="32" t="s">
        <v>90</v>
      </c>
      <c r="AB13" s="78" t="s">
        <v>71</v>
      </c>
      <c r="AC13" s="98" t="s">
        <v>62</v>
      </c>
      <c r="AD13" s="98" t="s">
        <v>72</v>
      </c>
      <c r="AE13" s="65" t="s">
        <v>73</v>
      </c>
      <c r="AF13" s="39" t="s">
        <v>230</v>
      </c>
      <c r="AG13" s="98" t="s">
        <v>127</v>
      </c>
      <c r="AH13" s="115">
        <v>650</v>
      </c>
      <c r="AI13" s="117" t="s">
        <v>107</v>
      </c>
      <c r="AJ13" s="115" t="s">
        <v>108</v>
      </c>
      <c r="AK13" s="73">
        <v>511</v>
      </c>
      <c r="AL13" s="116">
        <f t="shared" si="5"/>
        <v>321930000</v>
      </c>
      <c r="AM13" s="116">
        <v>16</v>
      </c>
      <c r="AN13" s="116">
        <v>9355975</v>
      </c>
      <c r="AO13" s="116">
        <v>40</v>
      </c>
      <c r="AP13" s="116">
        <v>23844305</v>
      </c>
      <c r="AQ13" s="116">
        <f t="shared" si="12"/>
        <v>193.29999999999998</v>
      </c>
      <c r="AR13" s="116">
        <f t="shared" si="13"/>
        <v>112036680</v>
      </c>
      <c r="AS13" s="118">
        <v>0.37827788649706456</v>
      </c>
    </row>
    <row r="14" spans="1:47" x14ac:dyDescent="0.3">
      <c r="A14" s="1" t="str">
        <f t="shared" si="1"/>
        <v>DWDJ9B056BES</v>
      </c>
      <c r="B14" s="126" t="s">
        <v>492</v>
      </c>
      <c r="C14" s="98" t="str">
        <f t="shared" si="9"/>
        <v>DJ9B0</v>
      </c>
      <c r="D14" s="98" t="s">
        <v>55</v>
      </c>
      <c r="E14" s="98" t="str">
        <f t="shared" si="10"/>
        <v>W</v>
      </c>
      <c r="F14" s="98" t="str">
        <f t="shared" si="11"/>
        <v>DJ</v>
      </c>
      <c r="G14" s="98" t="s">
        <v>56</v>
      </c>
      <c r="H14" s="115" t="s">
        <v>493</v>
      </c>
      <c r="I14" s="98" t="s">
        <v>385</v>
      </c>
      <c r="J14" s="115" t="str">
        <f t="shared" si="8"/>
        <v/>
      </c>
      <c r="K14" s="115">
        <v>1</v>
      </c>
      <c r="L14" s="116">
        <v>630000</v>
      </c>
      <c r="M14" s="78" t="s">
        <v>225</v>
      </c>
      <c r="N14" s="98" t="s">
        <v>494</v>
      </c>
      <c r="O14" s="98" t="s">
        <v>485</v>
      </c>
      <c r="P14" s="98">
        <v>100</v>
      </c>
      <c r="Q14" s="32" t="s">
        <v>204</v>
      </c>
      <c r="R14" s="98" t="s">
        <v>495</v>
      </c>
      <c r="S14" s="32" t="s">
        <v>496</v>
      </c>
      <c r="T14" s="98" t="s">
        <v>228</v>
      </c>
      <c r="U14" s="98" t="s">
        <v>198</v>
      </c>
      <c r="V14" s="98" t="s">
        <v>66</v>
      </c>
      <c r="W14" s="98" t="s">
        <v>229</v>
      </c>
      <c r="X14" s="78" t="s">
        <v>67</v>
      </c>
      <c r="Y14" s="98" t="s">
        <v>68</v>
      </c>
      <c r="Z14" s="32" t="s">
        <v>125</v>
      </c>
      <c r="AA14" s="32" t="s">
        <v>90</v>
      </c>
      <c r="AB14" s="78" t="s">
        <v>71</v>
      </c>
      <c r="AC14" s="98" t="s">
        <v>62</v>
      </c>
      <c r="AD14" s="98" t="s">
        <v>72</v>
      </c>
      <c r="AE14" s="65" t="s">
        <v>73</v>
      </c>
      <c r="AF14" s="39" t="s">
        <v>230</v>
      </c>
      <c r="AG14" s="98" t="s">
        <v>127</v>
      </c>
      <c r="AH14" s="115">
        <v>650</v>
      </c>
      <c r="AI14" s="117" t="s">
        <v>107</v>
      </c>
      <c r="AJ14" s="115" t="s">
        <v>108</v>
      </c>
      <c r="AK14" s="73">
        <v>1628</v>
      </c>
      <c r="AL14" s="116">
        <f t="shared" si="5"/>
        <v>1025640000</v>
      </c>
      <c r="AM14" s="116">
        <v>90</v>
      </c>
      <c r="AN14" s="116">
        <v>51920577</v>
      </c>
      <c r="AO14" s="116">
        <v>218</v>
      </c>
      <c r="AP14" s="116">
        <v>129492625</v>
      </c>
      <c r="AQ14" s="116">
        <f t="shared" si="12"/>
        <v>706.4</v>
      </c>
      <c r="AR14" s="116">
        <f t="shared" si="13"/>
        <v>409429439.99999994</v>
      </c>
      <c r="AS14" s="118">
        <v>0.43390663390663387</v>
      </c>
    </row>
    <row r="15" spans="1:47" x14ac:dyDescent="0.3">
      <c r="A15" s="1" t="str">
        <f t="shared" si="1"/>
        <v>DWDJ9B056BKS</v>
      </c>
      <c r="B15" s="126" t="s">
        <v>492</v>
      </c>
      <c r="C15" s="98" t="str">
        <f t="shared" si="9"/>
        <v>DJ9B0</v>
      </c>
      <c r="D15" s="98" t="s">
        <v>55</v>
      </c>
      <c r="E15" s="98" t="str">
        <f t="shared" si="10"/>
        <v>W</v>
      </c>
      <c r="F15" s="98" t="str">
        <f t="shared" si="11"/>
        <v>DJ</v>
      </c>
      <c r="G15" s="98" t="s">
        <v>56</v>
      </c>
      <c r="H15" s="115" t="s">
        <v>493</v>
      </c>
      <c r="I15" s="98" t="s">
        <v>78</v>
      </c>
      <c r="J15" s="115" t="str">
        <f t="shared" si="8"/>
        <v/>
      </c>
      <c r="K15" s="115">
        <v>1</v>
      </c>
      <c r="L15" s="116">
        <v>630000</v>
      </c>
      <c r="M15" s="78" t="s">
        <v>225</v>
      </c>
      <c r="N15" s="98" t="s">
        <v>494</v>
      </c>
      <c r="O15" s="98" t="s">
        <v>485</v>
      </c>
      <c r="P15" s="98">
        <v>100</v>
      </c>
      <c r="Q15" s="32" t="s">
        <v>204</v>
      </c>
      <c r="R15" s="98" t="s">
        <v>495</v>
      </c>
      <c r="S15" s="32" t="s">
        <v>496</v>
      </c>
      <c r="T15" s="98" t="s">
        <v>228</v>
      </c>
      <c r="U15" s="98" t="s">
        <v>198</v>
      </c>
      <c r="V15" s="98" t="s">
        <v>66</v>
      </c>
      <c r="W15" s="98" t="s">
        <v>229</v>
      </c>
      <c r="X15" s="78" t="s">
        <v>67</v>
      </c>
      <c r="Y15" s="98" t="s">
        <v>68</v>
      </c>
      <c r="Z15" s="32" t="s">
        <v>125</v>
      </c>
      <c r="AA15" s="32" t="s">
        <v>90</v>
      </c>
      <c r="AB15" s="78" t="s">
        <v>71</v>
      </c>
      <c r="AC15" s="98" t="s">
        <v>62</v>
      </c>
      <c r="AD15" s="98" t="s">
        <v>72</v>
      </c>
      <c r="AE15" s="65" t="s">
        <v>73</v>
      </c>
      <c r="AF15" s="39" t="s">
        <v>230</v>
      </c>
      <c r="AG15" s="98" t="s">
        <v>127</v>
      </c>
      <c r="AH15" s="115">
        <v>650</v>
      </c>
      <c r="AI15" s="117" t="s">
        <v>107</v>
      </c>
      <c r="AJ15" s="115" t="s">
        <v>108</v>
      </c>
      <c r="AK15" s="73">
        <v>3474</v>
      </c>
      <c r="AL15" s="116">
        <f t="shared" si="5"/>
        <v>2188620000</v>
      </c>
      <c r="AM15" s="116">
        <v>267</v>
      </c>
      <c r="AN15" s="116">
        <v>154755487</v>
      </c>
      <c r="AO15" s="116">
        <v>652</v>
      </c>
      <c r="AP15" s="116">
        <v>387930953</v>
      </c>
      <c r="AQ15" s="116">
        <f t="shared" si="12"/>
        <v>1694.2</v>
      </c>
      <c r="AR15" s="116">
        <f t="shared" si="13"/>
        <v>981958320</v>
      </c>
      <c r="AS15" s="118">
        <v>0.48767990788716176</v>
      </c>
    </row>
    <row r="16" spans="1:47" x14ac:dyDescent="0.3">
      <c r="A16" s="1" t="str">
        <f t="shared" si="1"/>
        <v>DWDJ9F056CAS</v>
      </c>
      <c r="B16" s="126" t="s">
        <v>497</v>
      </c>
      <c r="C16" s="98" t="str">
        <f t="shared" si="9"/>
        <v>DJ9F0</v>
      </c>
      <c r="D16" s="98" t="s">
        <v>55</v>
      </c>
      <c r="E16" s="98" t="str">
        <f t="shared" si="10"/>
        <v>W</v>
      </c>
      <c r="F16" s="98" t="str">
        <f t="shared" si="11"/>
        <v>DJ</v>
      </c>
      <c r="G16" s="98" t="s">
        <v>56</v>
      </c>
      <c r="H16" s="115" t="s">
        <v>498</v>
      </c>
      <c r="I16" s="98" t="s">
        <v>499</v>
      </c>
      <c r="J16" s="115">
        <f t="shared" si="8"/>
        <v>1</v>
      </c>
      <c r="K16" s="115">
        <v>1</v>
      </c>
      <c r="L16" s="116">
        <v>249000</v>
      </c>
      <c r="M16" s="78" t="s">
        <v>477</v>
      </c>
      <c r="N16" s="98" t="s">
        <v>500</v>
      </c>
      <c r="O16" s="98" t="s">
        <v>143</v>
      </c>
      <c r="P16" s="98">
        <v>100</v>
      </c>
      <c r="Q16" s="32" t="s">
        <v>62</v>
      </c>
      <c r="R16" s="98" t="s">
        <v>392</v>
      </c>
      <c r="S16" s="32" t="s">
        <v>501</v>
      </c>
      <c r="T16" s="98" t="s">
        <v>65</v>
      </c>
      <c r="U16" s="98"/>
      <c r="V16" s="98"/>
      <c r="W16" s="98"/>
      <c r="X16" s="78" t="s">
        <v>67</v>
      </c>
      <c r="Y16" s="98" t="s">
        <v>68</v>
      </c>
      <c r="Z16" s="32" t="s">
        <v>125</v>
      </c>
      <c r="AA16" s="32" t="s">
        <v>90</v>
      </c>
      <c r="AB16" s="78" t="s">
        <v>71</v>
      </c>
      <c r="AC16" s="98" t="s">
        <v>62</v>
      </c>
      <c r="AD16" s="98" t="s">
        <v>72</v>
      </c>
      <c r="AE16" s="65" t="s">
        <v>137</v>
      </c>
      <c r="AF16" s="39" t="s">
        <v>502</v>
      </c>
      <c r="AG16" s="98" t="s">
        <v>75</v>
      </c>
      <c r="AH16" s="115">
        <v>650</v>
      </c>
      <c r="AI16" s="117" t="s">
        <v>76</v>
      </c>
      <c r="AJ16" s="115" t="s">
        <v>77</v>
      </c>
      <c r="AK16" s="73">
        <v>992</v>
      </c>
      <c r="AL16" s="116">
        <f t="shared" si="5"/>
        <v>247008000</v>
      </c>
      <c r="AM16" s="116">
        <v>21</v>
      </c>
      <c r="AN16" s="116">
        <v>4817190</v>
      </c>
      <c r="AO16" s="116">
        <v>236</v>
      </c>
      <c r="AP16" s="116">
        <v>54271020</v>
      </c>
      <c r="AQ16" s="116">
        <f t="shared" si="12"/>
        <v>464.15999999999997</v>
      </c>
      <c r="AR16" s="116">
        <f t="shared" si="13"/>
        <v>106329772.80000001</v>
      </c>
      <c r="AS16" s="118">
        <v>0.46790322580645161</v>
      </c>
    </row>
    <row r="17" spans="1:45" x14ac:dyDescent="0.3">
      <c r="A17" s="1" t="str">
        <f t="shared" si="1"/>
        <v>DWDJ9F056BKS</v>
      </c>
      <c r="B17" s="126" t="s">
        <v>497</v>
      </c>
      <c r="C17" s="98" t="str">
        <f t="shared" si="9"/>
        <v>DJ9F0</v>
      </c>
      <c r="D17" s="98" t="s">
        <v>55</v>
      </c>
      <c r="E17" s="98" t="str">
        <f t="shared" si="10"/>
        <v>W</v>
      </c>
      <c r="F17" s="98" t="str">
        <f t="shared" si="11"/>
        <v>DJ</v>
      </c>
      <c r="G17" s="98" t="s">
        <v>56</v>
      </c>
      <c r="H17" s="115" t="s">
        <v>498</v>
      </c>
      <c r="I17" s="98" t="s">
        <v>78</v>
      </c>
      <c r="J17" s="115" t="str">
        <f t="shared" si="8"/>
        <v/>
      </c>
      <c r="K17" s="115">
        <v>1</v>
      </c>
      <c r="L17" s="116">
        <v>249000</v>
      </c>
      <c r="M17" s="78" t="s">
        <v>477</v>
      </c>
      <c r="N17" s="98" t="s">
        <v>500</v>
      </c>
      <c r="O17" s="98" t="s">
        <v>143</v>
      </c>
      <c r="P17" s="98">
        <v>100</v>
      </c>
      <c r="Q17" s="32" t="s">
        <v>62</v>
      </c>
      <c r="R17" s="98" t="s">
        <v>392</v>
      </c>
      <c r="S17" s="32" t="s">
        <v>501</v>
      </c>
      <c r="T17" s="98" t="s">
        <v>65</v>
      </c>
      <c r="U17" s="98"/>
      <c r="V17" s="98"/>
      <c r="W17" s="98"/>
      <c r="X17" s="78" t="s">
        <v>67</v>
      </c>
      <c r="Y17" s="98" t="s">
        <v>68</v>
      </c>
      <c r="Z17" s="32" t="s">
        <v>125</v>
      </c>
      <c r="AA17" s="32" t="s">
        <v>90</v>
      </c>
      <c r="AB17" s="78" t="s">
        <v>71</v>
      </c>
      <c r="AC17" s="98" t="s">
        <v>62</v>
      </c>
      <c r="AD17" s="98" t="s">
        <v>72</v>
      </c>
      <c r="AE17" s="65" t="s">
        <v>137</v>
      </c>
      <c r="AF17" s="39" t="s">
        <v>502</v>
      </c>
      <c r="AG17" s="98" t="s">
        <v>75</v>
      </c>
      <c r="AH17" s="115">
        <v>650</v>
      </c>
      <c r="AI17" s="117" t="s">
        <v>76</v>
      </c>
      <c r="AJ17" s="115" t="s">
        <v>77</v>
      </c>
      <c r="AK17" s="73">
        <v>1478</v>
      </c>
      <c r="AL17" s="116">
        <f t="shared" si="5"/>
        <v>368022000</v>
      </c>
      <c r="AM17" s="116">
        <v>29</v>
      </c>
      <c r="AN17" s="116">
        <v>6732866</v>
      </c>
      <c r="AO17" s="116">
        <v>452</v>
      </c>
      <c r="AP17" s="116">
        <v>104552915</v>
      </c>
      <c r="AQ17" s="116">
        <f t="shared" si="12"/>
        <v>791.94</v>
      </c>
      <c r="AR17" s="116">
        <f t="shared" si="13"/>
        <v>181417615.20000005</v>
      </c>
      <c r="AS17" s="118">
        <v>0.53581867388362658</v>
      </c>
    </row>
    <row r="18" spans="1:45" x14ac:dyDescent="0.3">
      <c r="A18" s="1" t="str">
        <f t="shared" si="1"/>
        <v>DWDJ9F056CRS</v>
      </c>
      <c r="B18" s="126" t="s">
        <v>497</v>
      </c>
      <c r="C18" s="98" t="str">
        <f t="shared" si="9"/>
        <v>DJ9F0</v>
      </c>
      <c r="D18" s="98" t="s">
        <v>55</v>
      </c>
      <c r="E18" s="98" t="str">
        <f t="shared" si="10"/>
        <v>W</v>
      </c>
      <c r="F18" s="98" t="str">
        <f t="shared" si="11"/>
        <v>DJ</v>
      </c>
      <c r="G18" s="98" t="s">
        <v>56</v>
      </c>
      <c r="H18" s="115" t="s">
        <v>498</v>
      </c>
      <c r="I18" s="98" t="s">
        <v>79</v>
      </c>
      <c r="J18" s="115" t="str">
        <f t="shared" si="8"/>
        <v/>
      </c>
      <c r="K18" s="115">
        <v>1</v>
      </c>
      <c r="L18" s="116">
        <v>249000</v>
      </c>
      <c r="M18" s="78" t="s">
        <v>477</v>
      </c>
      <c r="N18" s="98" t="s">
        <v>500</v>
      </c>
      <c r="O18" s="98" t="s">
        <v>143</v>
      </c>
      <c r="P18" s="98">
        <v>100</v>
      </c>
      <c r="Q18" s="32" t="s">
        <v>62</v>
      </c>
      <c r="R18" s="98" t="s">
        <v>392</v>
      </c>
      <c r="S18" s="32" t="s">
        <v>501</v>
      </c>
      <c r="T18" s="98" t="s">
        <v>65</v>
      </c>
      <c r="U18" s="98"/>
      <c r="V18" s="98"/>
      <c r="W18" s="98"/>
      <c r="X18" s="78" t="s">
        <v>67</v>
      </c>
      <c r="Y18" s="98" t="s">
        <v>68</v>
      </c>
      <c r="Z18" s="32" t="s">
        <v>125</v>
      </c>
      <c r="AA18" s="32" t="s">
        <v>90</v>
      </c>
      <c r="AB18" s="78" t="s">
        <v>71</v>
      </c>
      <c r="AC18" s="98" t="s">
        <v>62</v>
      </c>
      <c r="AD18" s="98" t="s">
        <v>72</v>
      </c>
      <c r="AE18" s="65" t="s">
        <v>137</v>
      </c>
      <c r="AF18" s="39" t="s">
        <v>502</v>
      </c>
      <c r="AG18" s="98" t="s">
        <v>75</v>
      </c>
      <c r="AH18" s="115">
        <v>650</v>
      </c>
      <c r="AI18" s="117" t="s">
        <v>76</v>
      </c>
      <c r="AJ18" s="115" t="s">
        <v>77</v>
      </c>
      <c r="AK18" s="73">
        <v>986</v>
      </c>
      <c r="AL18" s="116">
        <f t="shared" si="5"/>
        <v>245514000</v>
      </c>
      <c r="AM18" s="116">
        <v>36</v>
      </c>
      <c r="AN18" s="116">
        <v>8265712</v>
      </c>
      <c r="AO18" s="116">
        <v>484</v>
      </c>
      <c r="AP18" s="116">
        <v>111523754</v>
      </c>
      <c r="AQ18" s="116">
        <f t="shared" si="12"/>
        <v>710.78</v>
      </c>
      <c r="AR18" s="116">
        <f t="shared" si="13"/>
        <v>162825482.40000001</v>
      </c>
      <c r="AS18" s="118">
        <v>0.72087221095334686</v>
      </c>
    </row>
    <row r="19" spans="1:45" x14ac:dyDescent="0.3">
      <c r="A19" s="1" t="str">
        <f t="shared" si="1"/>
        <v>DWDJ92056CRS</v>
      </c>
      <c r="B19" s="126" t="s">
        <v>503</v>
      </c>
      <c r="C19" s="98" t="str">
        <f t="shared" si="9"/>
        <v>DJ920</v>
      </c>
      <c r="D19" s="98" t="s">
        <v>55</v>
      </c>
      <c r="E19" s="98" t="str">
        <f t="shared" si="10"/>
        <v>W</v>
      </c>
      <c r="F19" s="98" t="str">
        <f t="shared" si="11"/>
        <v>DJ</v>
      </c>
      <c r="G19" s="98" t="s">
        <v>56</v>
      </c>
      <c r="H19" s="115" t="s">
        <v>504</v>
      </c>
      <c r="I19" s="98" t="s">
        <v>79</v>
      </c>
      <c r="J19" s="115">
        <f t="shared" si="8"/>
        <v>1</v>
      </c>
      <c r="K19" s="115">
        <v>1</v>
      </c>
      <c r="L19" s="116">
        <v>299000</v>
      </c>
      <c r="M19" s="78" t="s">
        <v>83</v>
      </c>
      <c r="N19" s="98" t="s">
        <v>505</v>
      </c>
      <c r="O19" s="98" t="s">
        <v>485</v>
      </c>
      <c r="P19" s="98">
        <v>100</v>
      </c>
      <c r="Q19" s="32" t="s">
        <v>85</v>
      </c>
      <c r="R19" s="98" t="s">
        <v>86</v>
      </c>
      <c r="S19" s="32" t="s">
        <v>87</v>
      </c>
      <c r="T19" s="98" t="s">
        <v>65</v>
      </c>
      <c r="U19" s="98"/>
      <c r="V19" s="98" t="s">
        <v>66</v>
      </c>
      <c r="W19" s="98"/>
      <c r="X19" s="78" t="s">
        <v>67</v>
      </c>
      <c r="Y19" s="98" t="s">
        <v>88</v>
      </c>
      <c r="Z19" s="32" t="s">
        <v>125</v>
      </c>
      <c r="AA19" s="32" t="s">
        <v>90</v>
      </c>
      <c r="AB19" s="78" t="s">
        <v>91</v>
      </c>
      <c r="AC19" s="69" t="s">
        <v>92</v>
      </c>
      <c r="AD19" s="69" t="s">
        <v>506</v>
      </c>
      <c r="AE19" s="65" t="s">
        <v>137</v>
      </c>
      <c r="AF19" s="39" t="s">
        <v>175</v>
      </c>
      <c r="AG19" s="98" t="s">
        <v>75</v>
      </c>
      <c r="AH19" s="115">
        <v>650</v>
      </c>
      <c r="AI19" s="117" t="s">
        <v>76</v>
      </c>
      <c r="AJ19" s="115" t="s">
        <v>94</v>
      </c>
      <c r="AK19" s="73">
        <v>990</v>
      </c>
      <c r="AL19" s="116">
        <f t="shared" si="5"/>
        <v>296010000</v>
      </c>
      <c r="AM19" s="116">
        <v>53</v>
      </c>
      <c r="AN19" s="116">
        <v>14860666</v>
      </c>
      <c r="AO19" s="116">
        <v>655</v>
      </c>
      <c r="AP19" s="116">
        <v>184420517</v>
      </c>
      <c r="AQ19" s="116">
        <f t="shared" si="12"/>
        <v>882.7</v>
      </c>
      <c r="AR19" s="116">
        <f t="shared" si="13"/>
        <v>242813116</v>
      </c>
      <c r="AS19" s="118">
        <v>0.89161616161616164</v>
      </c>
    </row>
    <row r="20" spans="1:45" x14ac:dyDescent="0.3">
      <c r="A20" s="1" t="str">
        <f t="shared" si="1"/>
        <v>DWDJ92056BGL</v>
      </c>
      <c r="B20" s="126" t="s">
        <v>503</v>
      </c>
      <c r="C20" s="98" t="str">
        <f t="shared" si="9"/>
        <v>DJ920</v>
      </c>
      <c r="D20" s="98" t="s">
        <v>55</v>
      </c>
      <c r="E20" s="98" t="str">
        <f t="shared" si="10"/>
        <v>W</v>
      </c>
      <c r="F20" s="98" t="str">
        <f t="shared" si="11"/>
        <v>DJ</v>
      </c>
      <c r="G20" s="98" t="s">
        <v>56</v>
      </c>
      <c r="H20" s="115" t="s">
        <v>504</v>
      </c>
      <c r="I20" s="98" t="s">
        <v>163</v>
      </c>
      <c r="J20" s="115" t="str">
        <f t="shared" si="8"/>
        <v/>
      </c>
      <c r="K20" s="115">
        <v>1</v>
      </c>
      <c r="L20" s="116">
        <v>299000</v>
      </c>
      <c r="M20" s="78" t="s">
        <v>83</v>
      </c>
      <c r="N20" s="98" t="s">
        <v>505</v>
      </c>
      <c r="O20" s="98" t="s">
        <v>485</v>
      </c>
      <c r="P20" s="98">
        <v>100</v>
      </c>
      <c r="Q20" s="32" t="s">
        <v>85</v>
      </c>
      <c r="R20" s="98" t="s">
        <v>86</v>
      </c>
      <c r="S20" s="32" t="s">
        <v>87</v>
      </c>
      <c r="T20" s="98" t="s">
        <v>65</v>
      </c>
      <c r="U20" s="98"/>
      <c r="V20" s="98" t="s">
        <v>66</v>
      </c>
      <c r="W20" s="98"/>
      <c r="X20" s="78" t="s">
        <v>67</v>
      </c>
      <c r="Y20" s="98" t="s">
        <v>88</v>
      </c>
      <c r="Z20" s="32" t="s">
        <v>125</v>
      </c>
      <c r="AA20" s="32" t="s">
        <v>90</v>
      </c>
      <c r="AB20" s="78" t="s">
        <v>91</v>
      </c>
      <c r="AC20" s="69" t="s">
        <v>92</v>
      </c>
      <c r="AD20" s="69" t="s">
        <v>506</v>
      </c>
      <c r="AE20" s="65" t="s">
        <v>137</v>
      </c>
      <c r="AF20" s="39" t="s">
        <v>175</v>
      </c>
      <c r="AG20" s="98" t="s">
        <v>75</v>
      </c>
      <c r="AH20" s="115">
        <v>650</v>
      </c>
      <c r="AI20" s="117" t="s">
        <v>76</v>
      </c>
      <c r="AJ20" s="115" t="s">
        <v>94</v>
      </c>
      <c r="AK20" s="73">
        <v>1497</v>
      </c>
      <c r="AL20" s="116">
        <f t="shared" si="5"/>
        <v>447603000</v>
      </c>
      <c r="AM20" s="116">
        <v>80</v>
      </c>
      <c r="AN20" s="116">
        <v>22406285</v>
      </c>
      <c r="AO20" s="116">
        <v>766</v>
      </c>
      <c r="AP20" s="116">
        <v>216269369</v>
      </c>
      <c r="AQ20" s="116">
        <f t="shared" si="12"/>
        <v>1110.31</v>
      </c>
      <c r="AR20" s="116">
        <f t="shared" si="13"/>
        <v>305424074.80000001</v>
      </c>
      <c r="AS20" s="118">
        <v>0.74169004676018702</v>
      </c>
    </row>
    <row r="21" spans="1:45" x14ac:dyDescent="0.3">
      <c r="A21" s="1" t="str">
        <f t="shared" si="1"/>
        <v>DWDJ92056BKS</v>
      </c>
      <c r="B21" s="126" t="s">
        <v>503</v>
      </c>
      <c r="C21" s="98" t="str">
        <f t="shared" si="9"/>
        <v>DJ920</v>
      </c>
      <c r="D21" s="98" t="s">
        <v>55</v>
      </c>
      <c r="E21" s="98" t="str">
        <f t="shared" si="10"/>
        <v>W</v>
      </c>
      <c r="F21" s="98" t="str">
        <f t="shared" si="11"/>
        <v>DJ</v>
      </c>
      <c r="G21" s="98" t="s">
        <v>56</v>
      </c>
      <c r="H21" s="115" t="s">
        <v>504</v>
      </c>
      <c r="I21" s="98" t="s">
        <v>78</v>
      </c>
      <c r="J21" s="115" t="str">
        <f t="shared" si="8"/>
        <v/>
      </c>
      <c r="K21" s="115">
        <v>1</v>
      </c>
      <c r="L21" s="116">
        <v>299000</v>
      </c>
      <c r="M21" s="78" t="s">
        <v>83</v>
      </c>
      <c r="N21" s="98" t="s">
        <v>505</v>
      </c>
      <c r="O21" s="98" t="s">
        <v>485</v>
      </c>
      <c r="P21" s="98">
        <v>100</v>
      </c>
      <c r="Q21" s="32" t="s">
        <v>85</v>
      </c>
      <c r="R21" s="98" t="s">
        <v>86</v>
      </c>
      <c r="S21" s="32" t="s">
        <v>87</v>
      </c>
      <c r="T21" s="98" t="s">
        <v>65</v>
      </c>
      <c r="U21" s="98"/>
      <c r="V21" s="98" t="s">
        <v>66</v>
      </c>
      <c r="W21" s="98"/>
      <c r="X21" s="78" t="s">
        <v>67</v>
      </c>
      <c r="Y21" s="98" t="s">
        <v>88</v>
      </c>
      <c r="Z21" s="32" t="s">
        <v>125</v>
      </c>
      <c r="AA21" s="32" t="s">
        <v>90</v>
      </c>
      <c r="AB21" s="78" t="s">
        <v>91</v>
      </c>
      <c r="AC21" s="69" t="s">
        <v>92</v>
      </c>
      <c r="AD21" s="69" t="s">
        <v>506</v>
      </c>
      <c r="AE21" s="65" t="s">
        <v>137</v>
      </c>
      <c r="AF21" s="39" t="s">
        <v>175</v>
      </c>
      <c r="AG21" s="98" t="s">
        <v>75</v>
      </c>
      <c r="AH21" s="115">
        <v>650</v>
      </c>
      <c r="AI21" s="117" t="s">
        <v>76</v>
      </c>
      <c r="AJ21" s="115" t="s">
        <v>94</v>
      </c>
      <c r="AK21" s="72">
        <f>2997+600</f>
        <v>3597</v>
      </c>
      <c r="AL21" s="116">
        <f t="shared" si="5"/>
        <v>1075503000</v>
      </c>
      <c r="AM21" s="116">
        <v>189</v>
      </c>
      <c r="AN21" s="116">
        <v>52427386</v>
      </c>
      <c r="AO21" s="116">
        <v>1918</v>
      </c>
      <c r="AP21" s="116">
        <v>541777479</v>
      </c>
      <c r="AQ21" s="116">
        <f t="shared" si="12"/>
        <v>3417.1499999999996</v>
      </c>
      <c r="AR21" s="116">
        <f t="shared" si="13"/>
        <v>939989622</v>
      </c>
      <c r="AS21" s="70">
        <v>0.95</v>
      </c>
    </row>
    <row r="22" spans="1:45" x14ac:dyDescent="0.3">
      <c r="A22" s="1" t="str">
        <f t="shared" si="1"/>
        <v>DWDJ9H056BKS</v>
      </c>
      <c r="B22" s="126" t="s">
        <v>507</v>
      </c>
      <c r="C22" s="98" t="str">
        <f t="shared" si="9"/>
        <v>DJ9H0</v>
      </c>
      <c r="D22" s="98" t="s">
        <v>55</v>
      </c>
      <c r="E22" s="98" t="str">
        <f t="shared" si="10"/>
        <v>W</v>
      </c>
      <c r="F22" s="98" t="str">
        <f t="shared" si="11"/>
        <v>DJ</v>
      </c>
      <c r="G22" s="98" t="s">
        <v>56</v>
      </c>
      <c r="H22" s="115" t="s">
        <v>508</v>
      </c>
      <c r="I22" s="98" t="s">
        <v>78</v>
      </c>
      <c r="J22" s="115">
        <f t="shared" si="8"/>
        <v>1</v>
      </c>
      <c r="K22" s="115">
        <v>1</v>
      </c>
      <c r="L22" s="116">
        <v>319000</v>
      </c>
      <c r="M22" s="78" t="s">
        <v>509</v>
      </c>
      <c r="N22" s="98" t="s">
        <v>510</v>
      </c>
      <c r="O22" s="98" t="s">
        <v>143</v>
      </c>
      <c r="P22" s="98">
        <v>100</v>
      </c>
      <c r="Q22" s="32" t="s">
        <v>62</v>
      </c>
      <c r="R22" s="98" t="s">
        <v>63</v>
      </c>
      <c r="S22" s="32" t="s">
        <v>72</v>
      </c>
      <c r="T22" s="98" t="s">
        <v>65</v>
      </c>
      <c r="U22" s="98"/>
      <c r="V22" s="98" t="s">
        <v>66</v>
      </c>
      <c r="W22" s="98"/>
      <c r="X22" s="78" t="s">
        <v>67</v>
      </c>
      <c r="Y22" s="98" t="s">
        <v>68</v>
      </c>
      <c r="Z22" s="32" t="s">
        <v>238</v>
      </c>
      <c r="AA22" s="32" t="s">
        <v>90</v>
      </c>
      <c r="AB22" s="78" t="s">
        <v>71</v>
      </c>
      <c r="AC22" s="98" t="s">
        <v>62</v>
      </c>
      <c r="AD22" s="98" t="s">
        <v>72</v>
      </c>
      <c r="AE22" s="65" t="s">
        <v>137</v>
      </c>
      <c r="AF22" s="39" t="s">
        <v>106</v>
      </c>
      <c r="AG22" s="98" t="s">
        <v>75</v>
      </c>
      <c r="AH22" s="115">
        <v>650</v>
      </c>
      <c r="AI22" s="117" t="s">
        <v>76</v>
      </c>
      <c r="AJ22" s="115" t="s">
        <v>100</v>
      </c>
      <c r="AK22" s="73">
        <v>2471</v>
      </c>
      <c r="AL22" s="116">
        <f t="shared" si="5"/>
        <v>788249000</v>
      </c>
      <c r="AM22" s="116">
        <v>119</v>
      </c>
      <c r="AN22" s="116">
        <v>28627289</v>
      </c>
      <c r="AO22" s="116">
        <v>788</v>
      </c>
      <c r="AP22" s="116">
        <v>227659673</v>
      </c>
      <c r="AQ22" s="116">
        <f t="shared" si="12"/>
        <v>1356.33</v>
      </c>
      <c r="AR22" s="116">
        <f t="shared" si="13"/>
        <v>398055728.40000004</v>
      </c>
      <c r="AS22" s="118">
        <v>0.54889923108053418</v>
      </c>
    </row>
    <row r="23" spans="1:45" x14ac:dyDescent="0.3">
      <c r="A23" s="1" t="str">
        <f t="shared" si="1"/>
        <v>DWDJ9H056OLD</v>
      </c>
      <c r="B23" s="126" t="s">
        <v>511</v>
      </c>
      <c r="C23" s="98" t="str">
        <f t="shared" si="9"/>
        <v>DJ9H0</v>
      </c>
      <c r="D23" s="98" t="s">
        <v>55</v>
      </c>
      <c r="E23" s="98" t="str">
        <f t="shared" si="10"/>
        <v>W</v>
      </c>
      <c r="F23" s="98" t="str">
        <f t="shared" si="11"/>
        <v>DJ</v>
      </c>
      <c r="G23" s="98" t="s">
        <v>56</v>
      </c>
      <c r="H23" s="115" t="s">
        <v>508</v>
      </c>
      <c r="I23" s="98" t="s">
        <v>209</v>
      </c>
      <c r="J23" s="115" t="str">
        <f t="shared" si="8"/>
        <v/>
      </c>
      <c r="K23" s="115">
        <v>1</v>
      </c>
      <c r="L23" s="116">
        <v>319000</v>
      </c>
      <c r="M23" s="78" t="s">
        <v>509</v>
      </c>
      <c r="N23" s="98" t="s">
        <v>510</v>
      </c>
      <c r="O23" s="98" t="s">
        <v>143</v>
      </c>
      <c r="P23" s="98">
        <v>100</v>
      </c>
      <c r="Q23" s="32" t="s">
        <v>62</v>
      </c>
      <c r="R23" s="98" t="s">
        <v>63</v>
      </c>
      <c r="S23" s="32" t="s">
        <v>72</v>
      </c>
      <c r="T23" s="98" t="s">
        <v>65</v>
      </c>
      <c r="U23" s="98"/>
      <c r="V23" s="98" t="s">
        <v>66</v>
      </c>
      <c r="W23" s="98"/>
      <c r="X23" s="78" t="s">
        <v>67</v>
      </c>
      <c r="Y23" s="98" t="s">
        <v>68</v>
      </c>
      <c r="Z23" s="32" t="s">
        <v>238</v>
      </c>
      <c r="AA23" s="32" t="s">
        <v>90</v>
      </c>
      <c r="AB23" s="78" t="s">
        <v>71</v>
      </c>
      <c r="AC23" s="98" t="s">
        <v>62</v>
      </c>
      <c r="AD23" s="98" t="s">
        <v>72</v>
      </c>
      <c r="AE23" s="65" t="s">
        <v>137</v>
      </c>
      <c r="AF23" s="39" t="s">
        <v>106</v>
      </c>
      <c r="AG23" s="98" t="s">
        <v>75</v>
      </c>
      <c r="AH23" s="115">
        <v>650</v>
      </c>
      <c r="AI23" s="117" t="s">
        <v>76</v>
      </c>
      <c r="AJ23" s="115" t="s">
        <v>100</v>
      </c>
      <c r="AK23" s="73">
        <v>475</v>
      </c>
      <c r="AL23" s="116">
        <f t="shared" si="5"/>
        <v>151525000</v>
      </c>
      <c r="AM23" s="116">
        <v>18</v>
      </c>
      <c r="AN23" s="116">
        <v>4284380</v>
      </c>
      <c r="AO23" s="116">
        <v>103</v>
      </c>
      <c r="AP23" s="116">
        <v>29308260</v>
      </c>
      <c r="AQ23" s="116">
        <f t="shared" si="12"/>
        <v>212.25000000000003</v>
      </c>
      <c r="AR23" s="116">
        <f t="shared" si="13"/>
        <v>62291130</v>
      </c>
      <c r="AS23" s="118">
        <v>0.44684210526315793</v>
      </c>
    </row>
    <row r="24" spans="1:45" x14ac:dyDescent="0.3">
      <c r="A24" s="1" t="str">
        <f t="shared" si="1"/>
        <v>DWDJ9H056BGL</v>
      </c>
      <c r="B24" s="126" t="s">
        <v>511</v>
      </c>
      <c r="C24" s="98" t="str">
        <f t="shared" si="9"/>
        <v>DJ9H0</v>
      </c>
      <c r="D24" s="98" t="s">
        <v>55</v>
      </c>
      <c r="E24" s="98" t="str">
        <f t="shared" si="10"/>
        <v>W</v>
      </c>
      <c r="F24" s="98" t="str">
        <f t="shared" si="11"/>
        <v>DJ</v>
      </c>
      <c r="G24" s="98" t="s">
        <v>56</v>
      </c>
      <c r="H24" s="115" t="s">
        <v>508</v>
      </c>
      <c r="I24" s="98" t="s">
        <v>163</v>
      </c>
      <c r="J24" s="115" t="str">
        <f t="shared" si="8"/>
        <v/>
      </c>
      <c r="K24" s="115">
        <v>1</v>
      </c>
      <c r="L24" s="116">
        <v>319000</v>
      </c>
      <c r="M24" s="78" t="s">
        <v>509</v>
      </c>
      <c r="N24" s="98" t="s">
        <v>510</v>
      </c>
      <c r="O24" s="98" t="s">
        <v>143</v>
      </c>
      <c r="P24" s="98">
        <v>100</v>
      </c>
      <c r="Q24" s="32" t="s">
        <v>62</v>
      </c>
      <c r="R24" s="98" t="s">
        <v>63</v>
      </c>
      <c r="S24" s="32" t="s">
        <v>72</v>
      </c>
      <c r="T24" s="98" t="s">
        <v>65</v>
      </c>
      <c r="U24" s="98"/>
      <c r="V24" s="98" t="s">
        <v>66</v>
      </c>
      <c r="W24" s="98"/>
      <c r="X24" s="78" t="s">
        <v>67</v>
      </c>
      <c r="Y24" s="98" t="s">
        <v>68</v>
      </c>
      <c r="Z24" s="32" t="s">
        <v>238</v>
      </c>
      <c r="AA24" s="32" t="s">
        <v>90</v>
      </c>
      <c r="AB24" s="78" t="s">
        <v>71</v>
      </c>
      <c r="AC24" s="98" t="s">
        <v>62</v>
      </c>
      <c r="AD24" s="98" t="s">
        <v>72</v>
      </c>
      <c r="AE24" s="65" t="s">
        <v>137</v>
      </c>
      <c r="AF24" s="39" t="s">
        <v>106</v>
      </c>
      <c r="AG24" s="98" t="s">
        <v>75</v>
      </c>
      <c r="AH24" s="115">
        <v>650</v>
      </c>
      <c r="AI24" s="117" t="s">
        <v>76</v>
      </c>
      <c r="AJ24" s="115" t="s">
        <v>100</v>
      </c>
      <c r="AK24" s="73">
        <v>1265</v>
      </c>
      <c r="AL24" s="116">
        <f t="shared" si="5"/>
        <v>403535000</v>
      </c>
      <c r="AM24" s="116">
        <v>32</v>
      </c>
      <c r="AN24" s="116">
        <v>7825886</v>
      </c>
      <c r="AO24" s="116">
        <v>204</v>
      </c>
      <c r="AP24" s="116">
        <v>58760974</v>
      </c>
      <c r="AQ24" s="116">
        <f t="shared" si="12"/>
        <v>494.95000000000005</v>
      </c>
      <c r="AR24" s="116">
        <f t="shared" si="13"/>
        <v>145257926.00000003</v>
      </c>
      <c r="AS24" s="118">
        <v>0.3912648221343874</v>
      </c>
    </row>
    <row r="25" spans="1:45" x14ac:dyDescent="0.3">
      <c r="A25" s="1" t="str">
        <f t="shared" si="1"/>
        <v>DWDJ9I056BGD</v>
      </c>
      <c r="B25" s="126" t="s">
        <v>512</v>
      </c>
      <c r="C25" s="98" t="str">
        <f t="shared" si="9"/>
        <v>DJ9I0</v>
      </c>
      <c r="D25" s="98" t="s">
        <v>55</v>
      </c>
      <c r="E25" s="98" t="str">
        <f t="shared" si="10"/>
        <v>W</v>
      </c>
      <c r="F25" s="98" t="str">
        <f t="shared" si="11"/>
        <v>DJ</v>
      </c>
      <c r="G25" s="98" t="s">
        <v>56</v>
      </c>
      <c r="H25" s="115" t="s">
        <v>513</v>
      </c>
      <c r="I25" s="98" t="s">
        <v>260</v>
      </c>
      <c r="J25" s="115">
        <f t="shared" si="8"/>
        <v>1</v>
      </c>
      <c r="K25" s="115">
        <v>1</v>
      </c>
      <c r="L25" s="116">
        <v>339000</v>
      </c>
      <c r="M25" s="78" t="s">
        <v>83</v>
      </c>
      <c r="N25" s="98" t="s">
        <v>505</v>
      </c>
      <c r="O25" s="98" t="s">
        <v>485</v>
      </c>
      <c r="P25" s="98">
        <v>100</v>
      </c>
      <c r="Q25" s="32" t="s">
        <v>85</v>
      </c>
      <c r="R25" s="98" t="s">
        <v>86</v>
      </c>
      <c r="S25" s="32" t="s">
        <v>87</v>
      </c>
      <c r="T25" s="98" t="s">
        <v>65</v>
      </c>
      <c r="U25" s="98"/>
      <c r="V25" s="98" t="s">
        <v>66</v>
      </c>
      <c r="W25" s="98"/>
      <c r="X25" s="78" t="s">
        <v>67</v>
      </c>
      <c r="Y25" s="98" t="s">
        <v>88</v>
      </c>
      <c r="Z25" s="32" t="s">
        <v>125</v>
      </c>
      <c r="AA25" s="32" t="s">
        <v>90</v>
      </c>
      <c r="AB25" s="78" t="s">
        <v>91</v>
      </c>
      <c r="AC25" s="69" t="s">
        <v>92</v>
      </c>
      <c r="AD25" s="69" t="s">
        <v>506</v>
      </c>
      <c r="AE25" s="65" t="s">
        <v>137</v>
      </c>
      <c r="AF25" s="39" t="s">
        <v>514</v>
      </c>
      <c r="AG25" s="98" t="s">
        <v>75</v>
      </c>
      <c r="AH25" s="115">
        <v>650</v>
      </c>
      <c r="AI25" s="117" t="s">
        <v>76</v>
      </c>
      <c r="AJ25" s="115" t="s">
        <v>108</v>
      </c>
      <c r="AK25" s="73">
        <v>887</v>
      </c>
      <c r="AL25" s="116">
        <f t="shared" si="5"/>
        <v>300693000</v>
      </c>
      <c r="AM25" s="116">
        <v>29</v>
      </c>
      <c r="AN25" s="116">
        <v>7202010</v>
      </c>
      <c r="AO25" s="116">
        <v>158</v>
      </c>
      <c r="AP25" s="116">
        <v>48336309</v>
      </c>
      <c r="AQ25" s="116">
        <f t="shared" si="12"/>
        <v>362.01</v>
      </c>
      <c r="AR25" s="116">
        <f t="shared" si="13"/>
        <v>112903678.80000001</v>
      </c>
      <c r="AS25" s="118">
        <v>0.40812852311161218</v>
      </c>
    </row>
    <row r="26" spans="1:45" x14ac:dyDescent="0.3">
      <c r="A26" s="1" t="str">
        <f t="shared" si="1"/>
        <v>DWDJ9I056BKS</v>
      </c>
      <c r="B26" s="126" t="s">
        <v>512</v>
      </c>
      <c r="C26" s="98" t="str">
        <f t="shared" si="9"/>
        <v>DJ9I0</v>
      </c>
      <c r="D26" s="98" t="s">
        <v>55</v>
      </c>
      <c r="E26" s="98" t="str">
        <f t="shared" si="10"/>
        <v>W</v>
      </c>
      <c r="F26" s="98" t="str">
        <f t="shared" si="11"/>
        <v>DJ</v>
      </c>
      <c r="G26" s="98" t="s">
        <v>56</v>
      </c>
      <c r="H26" s="115" t="s">
        <v>513</v>
      </c>
      <c r="I26" s="98" t="s">
        <v>78</v>
      </c>
      <c r="J26" s="115" t="str">
        <f t="shared" si="8"/>
        <v/>
      </c>
      <c r="K26" s="115">
        <v>1</v>
      </c>
      <c r="L26" s="116">
        <v>339000</v>
      </c>
      <c r="M26" s="78" t="s">
        <v>83</v>
      </c>
      <c r="N26" s="98" t="s">
        <v>505</v>
      </c>
      <c r="O26" s="98" t="s">
        <v>485</v>
      </c>
      <c r="P26" s="98">
        <v>100</v>
      </c>
      <c r="Q26" s="32" t="s">
        <v>85</v>
      </c>
      <c r="R26" s="98" t="s">
        <v>86</v>
      </c>
      <c r="S26" s="32" t="s">
        <v>87</v>
      </c>
      <c r="T26" s="98" t="s">
        <v>65</v>
      </c>
      <c r="U26" s="98"/>
      <c r="V26" s="98" t="s">
        <v>66</v>
      </c>
      <c r="W26" s="98"/>
      <c r="X26" s="78" t="s">
        <v>67</v>
      </c>
      <c r="Y26" s="98" t="s">
        <v>88</v>
      </c>
      <c r="Z26" s="32" t="s">
        <v>125</v>
      </c>
      <c r="AA26" s="32" t="s">
        <v>90</v>
      </c>
      <c r="AB26" s="78" t="s">
        <v>91</v>
      </c>
      <c r="AC26" s="69" t="s">
        <v>92</v>
      </c>
      <c r="AD26" s="69" t="s">
        <v>506</v>
      </c>
      <c r="AE26" s="65" t="s">
        <v>137</v>
      </c>
      <c r="AF26" s="39" t="s">
        <v>514</v>
      </c>
      <c r="AG26" s="98" t="s">
        <v>75</v>
      </c>
      <c r="AH26" s="115">
        <v>650</v>
      </c>
      <c r="AI26" s="117" t="s">
        <v>76</v>
      </c>
      <c r="AJ26" s="115" t="s">
        <v>108</v>
      </c>
      <c r="AK26" s="73">
        <v>2194</v>
      </c>
      <c r="AL26" s="116">
        <f t="shared" si="5"/>
        <v>743766000</v>
      </c>
      <c r="AM26" s="116">
        <v>194</v>
      </c>
      <c r="AN26" s="116">
        <v>50099069</v>
      </c>
      <c r="AO26" s="116">
        <v>784</v>
      </c>
      <c r="AP26" s="116">
        <v>238572743</v>
      </c>
      <c r="AQ26" s="116">
        <f t="shared" si="12"/>
        <v>1288.6200000000001</v>
      </c>
      <c r="AR26" s="116">
        <f t="shared" si="13"/>
        <v>401894805.60000002</v>
      </c>
      <c r="AS26" s="118">
        <v>0.58733819507748408</v>
      </c>
    </row>
    <row r="27" spans="1:45" x14ac:dyDescent="0.3">
      <c r="A27" s="1" t="str">
        <f t="shared" si="1"/>
        <v>DWDJ9I056DWS</v>
      </c>
      <c r="B27" s="126" t="s">
        <v>512</v>
      </c>
      <c r="C27" s="98" t="str">
        <f t="shared" si="9"/>
        <v>DJ9I0</v>
      </c>
      <c r="D27" s="98" t="s">
        <v>55</v>
      </c>
      <c r="E27" s="98" t="str">
        <f t="shared" si="10"/>
        <v>W</v>
      </c>
      <c r="F27" s="98" t="str">
        <f t="shared" si="11"/>
        <v>DJ</v>
      </c>
      <c r="G27" s="98" t="s">
        <v>56</v>
      </c>
      <c r="H27" s="115" t="s">
        <v>513</v>
      </c>
      <c r="I27" s="98" t="s">
        <v>318</v>
      </c>
      <c r="J27" s="115" t="str">
        <f t="shared" si="8"/>
        <v/>
      </c>
      <c r="K27" s="115">
        <v>1</v>
      </c>
      <c r="L27" s="116">
        <v>339000</v>
      </c>
      <c r="M27" s="78" t="s">
        <v>83</v>
      </c>
      <c r="N27" s="98" t="s">
        <v>505</v>
      </c>
      <c r="O27" s="98" t="s">
        <v>485</v>
      </c>
      <c r="P27" s="98">
        <v>100</v>
      </c>
      <c r="Q27" s="32" t="s">
        <v>85</v>
      </c>
      <c r="R27" s="98" t="s">
        <v>86</v>
      </c>
      <c r="S27" s="32" t="s">
        <v>87</v>
      </c>
      <c r="T27" s="98" t="s">
        <v>65</v>
      </c>
      <c r="U27" s="98"/>
      <c r="V27" s="98" t="s">
        <v>66</v>
      </c>
      <c r="W27" s="98"/>
      <c r="X27" s="78" t="s">
        <v>67</v>
      </c>
      <c r="Y27" s="98" t="s">
        <v>88</v>
      </c>
      <c r="Z27" s="32" t="s">
        <v>125</v>
      </c>
      <c r="AA27" s="32" t="s">
        <v>90</v>
      </c>
      <c r="AB27" s="78" t="s">
        <v>91</v>
      </c>
      <c r="AC27" s="69" t="s">
        <v>92</v>
      </c>
      <c r="AD27" s="69" t="s">
        <v>506</v>
      </c>
      <c r="AE27" s="65" t="s">
        <v>137</v>
      </c>
      <c r="AF27" s="39" t="s">
        <v>514</v>
      </c>
      <c r="AG27" s="98" t="s">
        <v>75</v>
      </c>
      <c r="AH27" s="115">
        <v>650</v>
      </c>
      <c r="AI27" s="117" t="s">
        <v>76</v>
      </c>
      <c r="AJ27" s="115" t="s">
        <v>108</v>
      </c>
      <c r="AK27" s="73">
        <v>493</v>
      </c>
      <c r="AL27" s="116">
        <f t="shared" si="5"/>
        <v>167127000</v>
      </c>
      <c r="AM27" s="116">
        <v>20</v>
      </c>
      <c r="AN27" s="116">
        <v>5043192</v>
      </c>
      <c r="AO27" s="116">
        <v>105</v>
      </c>
      <c r="AP27" s="116">
        <v>32041117</v>
      </c>
      <c r="AQ27" s="116">
        <f t="shared" si="12"/>
        <v>218.39000000000001</v>
      </c>
      <c r="AR27" s="116">
        <f t="shared" si="13"/>
        <v>68111473.200000018</v>
      </c>
      <c r="AS27" s="118">
        <v>0.44298174442190674</v>
      </c>
    </row>
    <row r="28" spans="1:45" s="102" customFormat="1" x14ac:dyDescent="0.3">
      <c r="A28" s="101" t="str">
        <f t="shared" si="1"/>
        <v>DWDJ93056BES</v>
      </c>
      <c r="B28" s="126" t="s">
        <v>515</v>
      </c>
      <c r="C28" s="98" t="str">
        <f t="shared" si="9"/>
        <v>DJ930</v>
      </c>
      <c r="D28" s="98" t="s">
        <v>55</v>
      </c>
      <c r="E28" s="98" t="str">
        <f t="shared" si="10"/>
        <v>W</v>
      </c>
      <c r="F28" s="98" t="str">
        <f t="shared" si="11"/>
        <v>DJ</v>
      </c>
      <c r="G28" s="98" t="s">
        <v>56</v>
      </c>
      <c r="H28" s="115" t="s">
        <v>516</v>
      </c>
      <c r="I28" s="98" t="s">
        <v>385</v>
      </c>
      <c r="J28" s="115">
        <f t="shared" si="8"/>
        <v>1</v>
      </c>
      <c r="K28" s="115">
        <v>1</v>
      </c>
      <c r="L28" s="116">
        <v>299000</v>
      </c>
      <c r="M28" s="78" t="s">
        <v>225</v>
      </c>
      <c r="N28" s="98" t="s">
        <v>517</v>
      </c>
      <c r="O28" s="98" t="s">
        <v>143</v>
      </c>
      <c r="P28" s="98">
        <v>100</v>
      </c>
      <c r="Q28" s="32" t="s">
        <v>144</v>
      </c>
      <c r="R28" s="98" t="s">
        <v>518</v>
      </c>
      <c r="S28" s="32" t="s">
        <v>519</v>
      </c>
      <c r="T28" s="98" t="s">
        <v>122</v>
      </c>
      <c r="U28" s="98" t="s">
        <v>332</v>
      </c>
      <c r="V28" s="98" t="s">
        <v>66</v>
      </c>
      <c r="W28" s="98"/>
      <c r="X28" s="78" t="s">
        <v>67</v>
      </c>
      <c r="Y28" s="98" t="s">
        <v>68</v>
      </c>
      <c r="Z28" s="32" t="s">
        <v>441</v>
      </c>
      <c r="AA28" s="32" t="s">
        <v>353</v>
      </c>
      <c r="AB28" s="78" t="s">
        <v>71</v>
      </c>
      <c r="AC28" s="98" t="s">
        <v>62</v>
      </c>
      <c r="AD28" s="98" t="s">
        <v>72</v>
      </c>
      <c r="AE28" s="65" t="s">
        <v>137</v>
      </c>
      <c r="AF28" s="39" t="s">
        <v>106</v>
      </c>
      <c r="AG28" s="98" t="s">
        <v>127</v>
      </c>
      <c r="AH28" s="115">
        <v>650</v>
      </c>
      <c r="AI28" s="117" t="s">
        <v>128</v>
      </c>
      <c r="AJ28" s="115" t="s">
        <v>94</v>
      </c>
      <c r="AK28" s="72">
        <f>2007+1500</f>
        <v>3507</v>
      </c>
      <c r="AL28" s="116">
        <f t="shared" si="5"/>
        <v>1048593000</v>
      </c>
      <c r="AM28" s="116">
        <v>172</v>
      </c>
      <c r="AN28" s="116">
        <v>47963108</v>
      </c>
      <c r="AO28" s="116">
        <v>963</v>
      </c>
      <c r="AP28" s="116">
        <v>276625460</v>
      </c>
      <c r="AQ28" s="116">
        <f t="shared" si="12"/>
        <v>2980.95</v>
      </c>
      <c r="AR28" s="116">
        <f t="shared" si="13"/>
        <v>819999726</v>
      </c>
      <c r="AS28" s="70">
        <v>0.85</v>
      </c>
    </row>
    <row r="29" spans="1:45" s="105" customFormat="1" x14ac:dyDescent="0.3">
      <c r="A29" s="104" t="str">
        <f t="shared" si="1"/>
        <v>DWDJ93056CRN</v>
      </c>
      <c r="B29" s="126" t="s">
        <v>515</v>
      </c>
      <c r="C29" s="98" t="str">
        <f t="shared" si="9"/>
        <v>DJ930</v>
      </c>
      <c r="D29" s="98" t="s">
        <v>55</v>
      </c>
      <c r="E29" s="98" t="str">
        <f t="shared" si="10"/>
        <v>W</v>
      </c>
      <c r="F29" s="98" t="str">
        <f t="shared" si="11"/>
        <v>DJ</v>
      </c>
      <c r="G29" s="98" t="s">
        <v>56</v>
      </c>
      <c r="H29" s="115" t="s">
        <v>516</v>
      </c>
      <c r="I29" s="98" t="s">
        <v>176</v>
      </c>
      <c r="J29" s="115" t="str">
        <f t="shared" si="8"/>
        <v/>
      </c>
      <c r="K29" s="115">
        <v>1</v>
      </c>
      <c r="L29" s="116">
        <v>299000</v>
      </c>
      <c r="M29" s="78" t="s">
        <v>217</v>
      </c>
      <c r="N29" s="98" t="s">
        <v>218</v>
      </c>
      <c r="O29" s="98" t="s">
        <v>485</v>
      </c>
      <c r="P29" s="98">
        <v>100</v>
      </c>
      <c r="Q29" s="32" t="s">
        <v>219</v>
      </c>
      <c r="R29" s="98" t="s">
        <v>220</v>
      </c>
      <c r="S29" s="32" t="s">
        <v>221</v>
      </c>
      <c r="T29" s="98" t="s">
        <v>65</v>
      </c>
      <c r="U29" s="98"/>
      <c r="V29" s="98" t="s">
        <v>520</v>
      </c>
      <c r="W29" s="98"/>
      <c r="X29" s="78" t="s">
        <v>67</v>
      </c>
      <c r="Y29" s="98" t="s">
        <v>68</v>
      </c>
      <c r="Z29" s="32" t="s">
        <v>69</v>
      </c>
      <c r="AA29" s="32" t="s">
        <v>70</v>
      </c>
      <c r="AB29" s="78" t="s">
        <v>71</v>
      </c>
      <c r="AC29" s="98" t="s">
        <v>62</v>
      </c>
      <c r="AD29" s="98" t="s">
        <v>72</v>
      </c>
      <c r="AE29" s="65" t="s">
        <v>137</v>
      </c>
      <c r="AF29" s="39" t="s">
        <v>106</v>
      </c>
      <c r="AG29" s="98" t="s">
        <v>127</v>
      </c>
      <c r="AH29" s="115">
        <v>650</v>
      </c>
      <c r="AI29" s="117" t="s">
        <v>128</v>
      </c>
      <c r="AJ29" s="115" t="s">
        <v>94</v>
      </c>
      <c r="AK29" s="73">
        <v>2530</v>
      </c>
      <c r="AL29" s="116">
        <f t="shared" si="5"/>
        <v>756470000</v>
      </c>
      <c r="AM29" s="116">
        <v>35</v>
      </c>
      <c r="AN29" s="116">
        <v>9836163</v>
      </c>
      <c r="AO29" s="116">
        <v>210</v>
      </c>
      <c r="AP29" s="116">
        <v>60474340</v>
      </c>
      <c r="AQ29" s="116">
        <f t="shared" si="12"/>
        <v>969</v>
      </c>
      <c r="AR29" s="116">
        <f t="shared" si="13"/>
        <v>266552520</v>
      </c>
      <c r="AS29" s="118">
        <v>0.38300395256916997</v>
      </c>
    </row>
    <row r="30" spans="1:45" s="105" customFormat="1" x14ac:dyDescent="0.3">
      <c r="A30" s="104" t="str">
        <f t="shared" si="1"/>
        <v>DWDJ93056BRD</v>
      </c>
      <c r="B30" s="126" t="s">
        <v>515</v>
      </c>
      <c r="C30" s="98" t="str">
        <f t="shared" si="9"/>
        <v>DJ930</v>
      </c>
      <c r="D30" s="98" t="s">
        <v>55</v>
      </c>
      <c r="E30" s="98" t="str">
        <f t="shared" si="10"/>
        <v>W</v>
      </c>
      <c r="F30" s="98" t="str">
        <f t="shared" si="11"/>
        <v>DJ</v>
      </c>
      <c r="G30" s="98" t="s">
        <v>56</v>
      </c>
      <c r="H30" s="115" t="s">
        <v>516</v>
      </c>
      <c r="I30" s="98" t="s">
        <v>159</v>
      </c>
      <c r="J30" s="115" t="str">
        <f t="shared" si="8"/>
        <v/>
      </c>
      <c r="K30" s="115">
        <v>1</v>
      </c>
      <c r="L30" s="116">
        <v>299000</v>
      </c>
      <c r="M30" s="78" t="s">
        <v>521</v>
      </c>
      <c r="N30" s="98" t="s">
        <v>133</v>
      </c>
      <c r="O30" s="98" t="s">
        <v>485</v>
      </c>
      <c r="P30" s="98">
        <v>100</v>
      </c>
      <c r="Q30" s="32" t="s">
        <v>85</v>
      </c>
      <c r="R30" s="98" t="s">
        <v>134</v>
      </c>
      <c r="S30" s="32" t="s">
        <v>135</v>
      </c>
      <c r="T30" s="98" t="s">
        <v>122</v>
      </c>
      <c r="U30" s="98" t="s">
        <v>136</v>
      </c>
      <c r="V30" s="98"/>
      <c r="W30" s="98"/>
      <c r="X30" s="78" t="s">
        <v>67</v>
      </c>
      <c r="Y30" s="98" t="s">
        <v>68</v>
      </c>
      <c r="Z30" s="32" t="s">
        <v>89</v>
      </c>
      <c r="AA30" s="32" t="s">
        <v>90</v>
      </c>
      <c r="AB30" s="78" t="s">
        <v>71</v>
      </c>
      <c r="AC30" s="98" t="s">
        <v>62</v>
      </c>
      <c r="AD30" s="98" t="s">
        <v>72</v>
      </c>
      <c r="AE30" s="65" t="s">
        <v>137</v>
      </c>
      <c r="AF30" s="39" t="s">
        <v>106</v>
      </c>
      <c r="AG30" s="98" t="s">
        <v>127</v>
      </c>
      <c r="AH30" s="115">
        <v>650</v>
      </c>
      <c r="AI30" s="117" t="s">
        <v>128</v>
      </c>
      <c r="AJ30" s="115" t="s">
        <v>94</v>
      </c>
      <c r="AK30" s="72">
        <f>2009+500</f>
        <v>2509</v>
      </c>
      <c r="AL30" s="116">
        <f t="shared" si="5"/>
        <v>750191000</v>
      </c>
      <c r="AM30" s="116">
        <v>167</v>
      </c>
      <c r="AN30" s="116">
        <v>46437670</v>
      </c>
      <c r="AO30" s="116">
        <v>668</v>
      </c>
      <c r="AP30" s="116">
        <v>190773565</v>
      </c>
      <c r="AQ30" s="116">
        <f t="shared" si="12"/>
        <v>2132.65</v>
      </c>
      <c r="AR30" s="116">
        <f t="shared" si="13"/>
        <v>586649362</v>
      </c>
      <c r="AS30" s="70">
        <v>0.85</v>
      </c>
    </row>
    <row r="31" spans="1:45" s="105" customFormat="1" x14ac:dyDescent="0.3">
      <c r="A31" s="104" t="str">
        <f t="shared" si="1"/>
        <v>DWDJ93056BKN</v>
      </c>
      <c r="B31" s="126" t="s">
        <v>515</v>
      </c>
      <c r="C31" s="98" t="str">
        <f t="shared" si="9"/>
        <v>DJ930</v>
      </c>
      <c r="D31" s="98" t="s">
        <v>55</v>
      </c>
      <c r="E31" s="98" t="str">
        <f t="shared" si="10"/>
        <v>W</v>
      </c>
      <c r="F31" s="98" t="str">
        <f t="shared" si="11"/>
        <v>DJ</v>
      </c>
      <c r="G31" s="98" t="s">
        <v>56</v>
      </c>
      <c r="H31" s="115" t="s">
        <v>516</v>
      </c>
      <c r="I31" s="98" t="s">
        <v>140</v>
      </c>
      <c r="J31" s="115" t="str">
        <f t="shared" si="8"/>
        <v/>
      </c>
      <c r="K31" s="115">
        <v>1</v>
      </c>
      <c r="L31" s="116">
        <v>299000</v>
      </c>
      <c r="M31" s="78" t="s">
        <v>217</v>
      </c>
      <c r="N31" s="98" t="s">
        <v>218</v>
      </c>
      <c r="O31" s="98" t="s">
        <v>485</v>
      </c>
      <c r="P31" s="98">
        <v>100</v>
      </c>
      <c r="Q31" s="32" t="s">
        <v>219</v>
      </c>
      <c r="R31" s="98" t="s">
        <v>220</v>
      </c>
      <c r="S31" s="32" t="s">
        <v>221</v>
      </c>
      <c r="T31" s="98" t="s">
        <v>65</v>
      </c>
      <c r="U31" s="98"/>
      <c r="V31" s="98" t="s">
        <v>520</v>
      </c>
      <c r="W31" s="98"/>
      <c r="X31" s="78" t="s">
        <v>67</v>
      </c>
      <c r="Y31" s="98" t="s">
        <v>68</v>
      </c>
      <c r="Z31" s="32" t="s">
        <v>69</v>
      </c>
      <c r="AA31" s="32" t="s">
        <v>70</v>
      </c>
      <c r="AB31" s="78" t="s">
        <v>71</v>
      </c>
      <c r="AC31" s="98" t="s">
        <v>62</v>
      </c>
      <c r="AD31" s="98" t="s">
        <v>72</v>
      </c>
      <c r="AE31" s="65" t="s">
        <v>137</v>
      </c>
      <c r="AF31" s="39" t="s">
        <v>106</v>
      </c>
      <c r="AG31" s="98" t="s">
        <v>127</v>
      </c>
      <c r="AH31" s="115">
        <v>650</v>
      </c>
      <c r="AI31" s="117" t="s">
        <v>128</v>
      </c>
      <c r="AJ31" s="115" t="s">
        <v>94</v>
      </c>
      <c r="AK31" s="73">
        <v>3037</v>
      </c>
      <c r="AL31" s="116">
        <f t="shared" si="5"/>
        <v>908063000</v>
      </c>
      <c r="AM31" s="116">
        <v>56</v>
      </c>
      <c r="AN31" s="116">
        <v>15898092</v>
      </c>
      <c r="AO31" s="116">
        <v>275</v>
      </c>
      <c r="AP31" s="116">
        <v>78636514</v>
      </c>
      <c r="AQ31" s="116">
        <f t="shared" si="12"/>
        <v>1186.0999999999999</v>
      </c>
      <c r="AR31" s="116">
        <f t="shared" si="13"/>
        <v>326272388</v>
      </c>
      <c r="AS31" s="118">
        <v>0.3905498847546921</v>
      </c>
    </row>
    <row r="32" spans="1:45" s="102" customFormat="1" x14ac:dyDescent="0.3">
      <c r="A32" s="101" t="str">
        <f t="shared" si="1"/>
        <v>DWDJ93056PPD</v>
      </c>
      <c r="B32" s="126" t="s">
        <v>515</v>
      </c>
      <c r="C32" s="98" t="str">
        <f t="shared" si="9"/>
        <v>DJ930</v>
      </c>
      <c r="D32" s="98" t="s">
        <v>55</v>
      </c>
      <c r="E32" s="98" t="str">
        <f t="shared" si="10"/>
        <v>W</v>
      </c>
      <c r="F32" s="98" t="str">
        <f t="shared" si="11"/>
        <v>DJ</v>
      </c>
      <c r="G32" s="98" t="s">
        <v>56</v>
      </c>
      <c r="H32" s="115" t="s">
        <v>516</v>
      </c>
      <c r="I32" s="98" t="s">
        <v>522</v>
      </c>
      <c r="J32" s="115" t="str">
        <f t="shared" si="8"/>
        <v/>
      </c>
      <c r="K32" s="115">
        <v>1</v>
      </c>
      <c r="L32" s="116">
        <v>299000</v>
      </c>
      <c r="M32" s="78" t="s">
        <v>225</v>
      </c>
      <c r="N32" s="98" t="s">
        <v>517</v>
      </c>
      <c r="O32" s="98" t="s">
        <v>143</v>
      </c>
      <c r="P32" s="98">
        <v>100</v>
      </c>
      <c r="Q32" s="32" t="s">
        <v>144</v>
      </c>
      <c r="R32" s="98" t="s">
        <v>518</v>
      </c>
      <c r="S32" s="32" t="s">
        <v>519</v>
      </c>
      <c r="T32" s="98" t="s">
        <v>122</v>
      </c>
      <c r="U32" s="98" t="s">
        <v>332</v>
      </c>
      <c r="V32" s="98" t="s">
        <v>66</v>
      </c>
      <c r="W32" s="98"/>
      <c r="X32" s="78" t="s">
        <v>67</v>
      </c>
      <c r="Y32" s="98" t="s">
        <v>68</v>
      </c>
      <c r="Z32" s="32" t="s">
        <v>441</v>
      </c>
      <c r="AA32" s="32" t="s">
        <v>353</v>
      </c>
      <c r="AB32" s="78" t="s">
        <v>71</v>
      </c>
      <c r="AC32" s="98" t="s">
        <v>62</v>
      </c>
      <c r="AD32" s="98" t="s">
        <v>72</v>
      </c>
      <c r="AE32" s="65" t="s">
        <v>137</v>
      </c>
      <c r="AF32" s="39" t="s">
        <v>106</v>
      </c>
      <c r="AG32" s="98" t="s">
        <v>127</v>
      </c>
      <c r="AH32" s="115">
        <v>650</v>
      </c>
      <c r="AI32" s="117" t="s">
        <v>128</v>
      </c>
      <c r="AJ32" s="115" t="s">
        <v>94</v>
      </c>
      <c r="AK32" s="73">
        <v>878</v>
      </c>
      <c r="AL32" s="116">
        <f t="shared" si="5"/>
        <v>262522000</v>
      </c>
      <c r="AM32" s="116">
        <v>26</v>
      </c>
      <c r="AN32" s="116">
        <v>7136675</v>
      </c>
      <c r="AO32" s="116">
        <v>297</v>
      </c>
      <c r="AP32" s="116">
        <v>85498347</v>
      </c>
      <c r="AQ32" s="116">
        <f t="shared" si="12"/>
        <v>560.4</v>
      </c>
      <c r="AR32" s="116">
        <f t="shared" si="13"/>
        <v>154154832</v>
      </c>
      <c r="AS32" s="118">
        <v>0.63826879271070613</v>
      </c>
    </row>
    <row r="33" spans="1:45" s="105" customFormat="1" x14ac:dyDescent="0.3">
      <c r="A33" s="104" t="str">
        <f t="shared" si="1"/>
        <v>DWDJ93056SIL</v>
      </c>
      <c r="B33" s="126" t="s">
        <v>515</v>
      </c>
      <c r="C33" s="98" t="str">
        <f t="shared" si="9"/>
        <v>DJ930</v>
      </c>
      <c r="D33" s="98" t="s">
        <v>55</v>
      </c>
      <c r="E33" s="98" t="str">
        <f t="shared" si="10"/>
        <v>W</v>
      </c>
      <c r="F33" s="98" t="str">
        <f t="shared" si="11"/>
        <v>DJ</v>
      </c>
      <c r="G33" s="98" t="s">
        <v>56</v>
      </c>
      <c r="H33" s="115" t="s">
        <v>516</v>
      </c>
      <c r="I33" s="98" t="s">
        <v>178</v>
      </c>
      <c r="J33" s="115" t="str">
        <f t="shared" si="8"/>
        <v/>
      </c>
      <c r="K33" s="115">
        <v>1</v>
      </c>
      <c r="L33" s="116">
        <v>299000</v>
      </c>
      <c r="M33" s="78" t="s">
        <v>521</v>
      </c>
      <c r="N33" s="98" t="s">
        <v>133</v>
      </c>
      <c r="O33" s="98" t="s">
        <v>485</v>
      </c>
      <c r="P33" s="98">
        <v>100</v>
      </c>
      <c r="Q33" s="32" t="s">
        <v>85</v>
      </c>
      <c r="R33" s="98" t="s">
        <v>134</v>
      </c>
      <c r="S33" s="32" t="s">
        <v>135</v>
      </c>
      <c r="T33" s="98" t="s">
        <v>122</v>
      </c>
      <c r="U33" s="98" t="s">
        <v>136</v>
      </c>
      <c r="V33" s="98"/>
      <c r="W33" s="98"/>
      <c r="X33" s="78" t="s">
        <v>67</v>
      </c>
      <c r="Y33" s="98" t="s">
        <v>68</v>
      </c>
      <c r="Z33" s="32" t="s">
        <v>89</v>
      </c>
      <c r="AA33" s="32" t="s">
        <v>90</v>
      </c>
      <c r="AB33" s="78" t="s">
        <v>71</v>
      </c>
      <c r="AC33" s="98" t="s">
        <v>62</v>
      </c>
      <c r="AD33" s="98" t="s">
        <v>72</v>
      </c>
      <c r="AE33" s="65" t="s">
        <v>137</v>
      </c>
      <c r="AF33" s="39" t="s">
        <v>106</v>
      </c>
      <c r="AG33" s="98" t="s">
        <v>127</v>
      </c>
      <c r="AH33" s="115">
        <v>650</v>
      </c>
      <c r="AI33" s="117" t="s">
        <v>128</v>
      </c>
      <c r="AJ33" s="115" t="s">
        <v>94</v>
      </c>
      <c r="AK33" s="73">
        <v>4575</v>
      </c>
      <c r="AL33" s="116">
        <f t="shared" si="5"/>
        <v>1367925000</v>
      </c>
      <c r="AM33" s="116">
        <v>97</v>
      </c>
      <c r="AN33" s="116">
        <v>25986694</v>
      </c>
      <c r="AO33" s="116">
        <v>556</v>
      </c>
      <c r="AP33" s="116">
        <v>158348792</v>
      </c>
      <c r="AQ33" s="116">
        <f t="shared" si="12"/>
        <v>1928.5</v>
      </c>
      <c r="AR33" s="116">
        <f t="shared" si="13"/>
        <v>530491780</v>
      </c>
      <c r="AS33" s="118">
        <v>0.42153005464480875</v>
      </c>
    </row>
    <row r="34" spans="1:45" s="105" customFormat="1" x14ac:dyDescent="0.3">
      <c r="A34" s="104" t="str">
        <f t="shared" si="1"/>
        <v>DWDJ93056BKS</v>
      </c>
      <c r="B34" s="126" t="s">
        <v>515</v>
      </c>
      <c r="C34" s="98" t="str">
        <f t="shared" si="9"/>
        <v>DJ930</v>
      </c>
      <c r="D34" s="98" t="s">
        <v>55</v>
      </c>
      <c r="E34" s="98" t="str">
        <f t="shared" si="10"/>
        <v>W</v>
      </c>
      <c r="F34" s="98" t="str">
        <f t="shared" si="11"/>
        <v>DJ</v>
      </c>
      <c r="G34" s="98" t="s">
        <v>56</v>
      </c>
      <c r="H34" s="115" t="s">
        <v>516</v>
      </c>
      <c r="I34" s="98" t="s">
        <v>78</v>
      </c>
      <c r="J34" s="115" t="str">
        <f t="shared" si="8"/>
        <v/>
      </c>
      <c r="K34" s="115">
        <v>1</v>
      </c>
      <c r="L34" s="116">
        <v>299000</v>
      </c>
      <c r="M34" s="78" t="s">
        <v>521</v>
      </c>
      <c r="N34" s="98" t="s">
        <v>133</v>
      </c>
      <c r="O34" s="98" t="s">
        <v>485</v>
      </c>
      <c r="P34" s="98">
        <v>100</v>
      </c>
      <c r="Q34" s="32" t="s">
        <v>85</v>
      </c>
      <c r="R34" s="98" t="s">
        <v>134</v>
      </c>
      <c r="S34" s="32" t="s">
        <v>135</v>
      </c>
      <c r="T34" s="98" t="s">
        <v>122</v>
      </c>
      <c r="U34" s="98" t="s">
        <v>136</v>
      </c>
      <c r="V34" s="98"/>
      <c r="W34" s="98"/>
      <c r="X34" s="78" t="s">
        <v>67</v>
      </c>
      <c r="Y34" s="98" t="s">
        <v>68</v>
      </c>
      <c r="Z34" s="32" t="s">
        <v>89</v>
      </c>
      <c r="AA34" s="32" t="s">
        <v>90</v>
      </c>
      <c r="AB34" s="78" t="s">
        <v>71</v>
      </c>
      <c r="AC34" s="98" t="s">
        <v>62</v>
      </c>
      <c r="AD34" s="98" t="s">
        <v>72</v>
      </c>
      <c r="AE34" s="65" t="s">
        <v>137</v>
      </c>
      <c r="AF34" s="39" t="s">
        <v>106</v>
      </c>
      <c r="AG34" s="98" t="s">
        <v>127</v>
      </c>
      <c r="AH34" s="115">
        <v>650</v>
      </c>
      <c r="AI34" s="117" t="s">
        <v>128</v>
      </c>
      <c r="AJ34" s="115" t="s">
        <v>94</v>
      </c>
      <c r="AK34" s="73">
        <v>10761</v>
      </c>
      <c r="AL34" s="116">
        <f t="shared" si="5"/>
        <v>3217539000</v>
      </c>
      <c r="AM34" s="116">
        <v>303</v>
      </c>
      <c r="AN34" s="116">
        <v>85281218</v>
      </c>
      <c r="AO34" s="116">
        <v>1352</v>
      </c>
      <c r="AP34" s="116">
        <v>386755794</v>
      </c>
      <c r="AQ34" s="116">
        <f t="shared" si="12"/>
        <v>4580.3</v>
      </c>
      <c r="AR34" s="116">
        <f t="shared" si="13"/>
        <v>1259948924</v>
      </c>
      <c r="AS34" s="118">
        <v>0.42563888114487503</v>
      </c>
    </row>
    <row r="35" spans="1:45" s="105" customFormat="1" x14ac:dyDescent="0.3">
      <c r="A35" s="104" t="str">
        <f t="shared" si="1"/>
        <v>DWDJ93056CRS</v>
      </c>
      <c r="B35" s="126" t="s">
        <v>515</v>
      </c>
      <c r="C35" s="98" t="str">
        <f t="shared" si="9"/>
        <v>DJ930</v>
      </c>
      <c r="D35" s="98" t="s">
        <v>55</v>
      </c>
      <c r="E35" s="98" t="str">
        <f t="shared" si="10"/>
        <v>W</v>
      </c>
      <c r="F35" s="98" t="str">
        <f t="shared" si="11"/>
        <v>DJ</v>
      </c>
      <c r="G35" s="98" t="s">
        <v>56</v>
      </c>
      <c r="H35" s="115" t="s">
        <v>516</v>
      </c>
      <c r="I35" s="98" t="s">
        <v>79</v>
      </c>
      <c r="J35" s="115" t="str">
        <f t="shared" si="8"/>
        <v/>
      </c>
      <c r="K35" s="115">
        <v>1</v>
      </c>
      <c r="L35" s="116">
        <v>299000</v>
      </c>
      <c r="M35" s="78" t="s">
        <v>521</v>
      </c>
      <c r="N35" s="98" t="s">
        <v>133</v>
      </c>
      <c r="O35" s="98" t="s">
        <v>485</v>
      </c>
      <c r="P35" s="98">
        <v>100</v>
      </c>
      <c r="Q35" s="32" t="s">
        <v>85</v>
      </c>
      <c r="R35" s="98" t="s">
        <v>134</v>
      </c>
      <c r="S35" s="32" t="s">
        <v>135</v>
      </c>
      <c r="T35" s="98" t="s">
        <v>122</v>
      </c>
      <c r="U35" s="98" t="s">
        <v>136</v>
      </c>
      <c r="V35" s="98"/>
      <c r="W35" s="98"/>
      <c r="X35" s="78" t="s">
        <v>67</v>
      </c>
      <c r="Y35" s="98" t="s">
        <v>68</v>
      </c>
      <c r="Z35" s="32" t="s">
        <v>89</v>
      </c>
      <c r="AA35" s="32" t="s">
        <v>90</v>
      </c>
      <c r="AB35" s="78" t="s">
        <v>71</v>
      </c>
      <c r="AC35" s="98" t="s">
        <v>62</v>
      </c>
      <c r="AD35" s="98" t="s">
        <v>72</v>
      </c>
      <c r="AE35" s="65" t="s">
        <v>137</v>
      </c>
      <c r="AF35" s="39" t="s">
        <v>106</v>
      </c>
      <c r="AG35" s="98" t="s">
        <v>127</v>
      </c>
      <c r="AH35" s="115">
        <v>650</v>
      </c>
      <c r="AI35" s="117" t="s">
        <v>128</v>
      </c>
      <c r="AJ35" s="115" t="s">
        <v>94</v>
      </c>
      <c r="AK35" s="73">
        <v>6619</v>
      </c>
      <c r="AL35" s="116">
        <f t="shared" si="5"/>
        <v>1979081000</v>
      </c>
      <c r="AM35" s="116">
        <v>134</v>
      </c>
      <c r="AN35" s="116">
        <v>37479297</v>
      </c>
      <c r="AO35" s="116">
        <v>705</v>
      </c>
      <c r="AP35" s="116">
        <v>202790267</v>
      </c>
      <c r="AQ35" s="116">
        <f t="shared" si="12"/>
        <v>2690.7</v>
      </c>
      <c r="AR35" s="116">
        <f t="shared" si="13"/>
        <v>740157756</v>
      </c>
      <c r="AS35" s="118">
        <v>0.40651155763710528</v>
      </c>
    </row>
    <row r="36" spans="1:45" s="105" customFormat="1" x14ac:dyDescent="0.3">
      <c r="A36" s="104" t="str">
        <f t="shared" si="1"/>
        <v>DWDJ93056PKL</v>
      </c>
      <c r="B36" s="126" t="s">
        <v>515</v>
      </c>
      <c r="C36" s="98" t="str">
        <f t="shared" si="9"/>
        <v>DJ930</v>
      </c>
      <c r="D36" s="98" t="s">
        <v>148</v>
      </c>
      <c r="E36" s="98" t="str">
        <f t="shared" si="10"/>
        <v>W</v>
      </c>
      <c r="F36" s="98" t="str">
        <f t="shared" si="11"/>
        <v>DJ</v>
      </c>
      <c r="G36" s="98" t="s">
        <v>56</v>
      </c>
      <c r="H36" s="115" t="s">
        <v>516</v>
      </c>
      <c r="I36" s="98" t="s">
        <v>523</v>
      </c>
      <c r="J36" s="115" t="str">
        <f t="shared" si="8"/>
        <v/>
      </c>
      <c r="K36" s="115">
        <v>1</v>
      </c>
      <c r="L36" s="116">
        <v>299000</v>
      </c>
      <c r="M36" s="78" t="s">
        <v>521</v>
      </c>
      <c r="N36" s="98" t="s">
        <v>133</v>
      </c>
      <c r="O36" s="98" t="s">
        <v>485</v>
      </c>
      <c r="P36" s="98">
        <v>100</v>
      </c>
      <c r="Q36" s="32" t="s">
        <v>85</v>
      </c>
      <c r="R36" s="98" t="s">
        <v>134</v>
      </c>
      <c r="S36" s="32" t="s">
        <v>135</v>
      </c>
      <c r="T36" s="98" t="s">
        <v>122</v>
      </c>
      <c r="U36" s="98" t="s">
        <v>136</v>
      </c>
      <c r="V36" s="98"/>
      <c r="W36" s="98"/>
      <c r="X36" s="78" t="s">
        <v>67</v>
      </c>
      <c r="Y36" s="98" t="s">
        <v>68</v>
      </c>
      <c r="Z36" s="32" t="s">
        <v>89</v>
      </c>
      <c r="AA36" s="32" t="s">
        <v>90</v>
      </c>
      <c r="AB36" s="78" t="s">
        <v>71</v>
      </c>
      <c r="AC36" s="98" t="s">
        <v>62</v>
      </c>
      <c r="AD36" s="98" t="s">
        <v>72</v>
      </c>
      <c r="AE36" s="65" t="s">
        <v>137</v>
      </c>
      <c r="AF36" s="39" t="s">
        <v>106</v>
      </c>
      <c r="AG36" s="98" t="s">
        <v>127</v>
      </c>
      <c r="AH36" s="115">
        <v>650</v>
      </c>
      <c r="AI36" s="117" t="s">
        <v>128</v>
      </c>
      <c r="AJ36" s="115" t="s">
        <v>94</v>
      </c>
      <c r="AK36" s="73">
        <v>807</v>
      </c>
      <c r="AL36" s="116">
        <f t="shared" si="5"/>
        <v>241293000</v>
      </c>
      <c r="AM36" s="116">
        <v>11</v>
      </c>
      <c r="AN36" s="116">
        <v>2943520</v>
      </c>
      <c r="AO36" s="116">
        <v>57</v>
      </c>
      <c r="AP36" s="116">
        <v>16183510</v>
      </c>
      <c r="AQ36" s="116">
        <f t="shared" si="12"/>
        <v>299.10000000000002</v>
      </c>
      <c r="AR36" s="116">
        <f t="shared" si="13"/>
        <v>82276428</v>
      </c>
      <c r="AS36" s="118">
        <v>0.37063197026022304</v>
      </c>
    </row>
    <row r="37" spans="1:45" s="105" customFormat="1" x14ac:dyDescent="0.3">
      <c r="A37" s="104" t="str">
        <f t="shared" si="1"/>
        <v>DWDJ94056LWS</v>
      </c>
      <c r="B37" s="126" t="s">
        <v>524</v>
      </c>
      <c r="C37" s="98" t="str">
        <f t="shared" si="9"/>
        <v>DJ940</v>
      </c>
      <c r="D37" s="98" t="s">
        <v>55</v>
      </c>
      <c r="E37" s="98" t="str">
        <f t="shared" si="10"/>
        <v>W</v>
      </c>
      <c r="F37" s="98" t="str">
        <f t="shared" si="11"/>
        <v>DJ</v>
      </c>
      <c r="G37" s="98" t="s">
        <v>56</v>
      </c>
      <c r="H37" s="115" t="s">
        <v>525</v>
      </c>
      <c r="I37" s="98" t="s">
        <v>526</v>
      </c>
      <c r="J37" s="115">
        <f t="shared" si="8"/>
        <v>1</v>
      </c>
      <c r="K37" s="115">
        <v>1</v>
      </c>
      <c r="L37" s="116">
        <v>299000</v>
      </c>
      <c r="M37" s="78" t="s">
        <v>521</v>
      </c>
      <c r="N37" s="98" t="s">
        <v>133</v>
      </c>
      <c r="O37" s="98" t="s">
        <v>485</v>
      </c>
      <c r="P37" s="98">
        <v>100</v>
      </c>
      <c r="Q37" s="32" t="s">
        <v>85</v>
      </c>
      <c r="R37" s="98" t="s">
        <v>134</v>
      </c>
      <c r="S37" s="32" t="s">
        <v>135</v>
      </c>
      <c r="T37" s="98" t="s">
        <v>122</v>
      </c>
      <c r="U37" s="98" t="s">
        <v>136</v>
      </c>
      <c r="V37" s="98"/>
      <c r="W37" s="98"/>
      <c r="X37" s="78" t="s">
        <v>67</v>
      </c>
      <c r="Y37" s="98" t="s">
        <v>68</v>
      </c>
      <c r="Z37" s="32" t="s">
        <v>89</v>
      </c>
      <c r="AA37" s="32" t="s">
        <v>90</v>
      </c>
      <c r="AB37" s="78" t="s">
        <v>71</v>
      </c>
      <c r="AC37" s="98" t="s">
        <v>62</v>
      </c>
      <c r="AD37" s="98" t="s">
        <v>72</v>
      </c>
      <c r="AE37" s="65" t="s">
        <v>137</v>
      </c>
      <c r="AF37" s="39" t="s">
        <v>106</v>
      </c>
      <c r="AG37" s="98" t="s">
        <v>127</v>
      </c>
      <c r="AH37" s="115">
        <v>650</v>
      </c>
      <c r="AI37" s="117" t="s">
        <v>128</v>
      </c>
      <c r="AJ37" s="115" t="s">
        <v>77</v>
      </c>
      <c r="AK37" s="72">
        <f>1011+600</f>
        <v>1611</v>
      </c>
      <c r="AL37" s="116">
        <f t="shared" si="5"/>
        <v>481689000</v>
      </c>
      <c r="AM37" s="116">
        <v>104</v>
      </c>
      <c r="AN37" s="116">
        <v>29318791</v>
      </c>
      <c r="AO37" s="116">
        <v>448</v>
      </c>
      <c r="AP37" s="116">
        <v>128577183</v>
      </c>
      <c r="AQ37" s="116">
        <f t="shared" si="12"/>
        <v>1369.35</v>
      </c>
      <c r="AR37" s="116">
        <f t="shared" si="13"/>
        <v>376680798</v>
      </c>
      <c r="AS37" s="70">
        <v>0.85</v>
      </c>
    </row>
    <row r="38" spans="1:45" s="105" customFormat="1" x14ac:dyDescent="0.3">
      <c r="A38" s="104" t="str">
        <f t="shared" si="1"/>
        <v>DWDJ94056BLN</v>
      </c>
      <c r="B38" s="126" t="s">
        <v>524</v>
      </c>
      <c r="C38" s="98" t="str">
        <f t="shared" si="9"/>
        <v>DJ940</v>
      </c>
      <c r="D38" s="98" t="s">
        <v>55</v>
      </c>
      <c r="E38" s="98" t="str">
        <f t="shared" si="10"/>
        <v>W</v>
      </c>
      <c r="F38" s="98" t="str">
        <f t="shared" si="11"/>
        <v>DJ</v>
      </c>
      <c r="G38" s="98" t="s">
        <v>56</v>
      </c>
      <c r="H38" s="115" t="s">
        <v>525</v>
      </c>
      <c r="I38" s="98" t="s">
        <v>527</v>
      </c>
      <c r="J38" s="115" t="str">
        <f t="shared" si="8"/>
        <v/>
      </c>
      <c r="K38" s="115">
        <v>1</v>
      </c>
      <c r="L38" s="116">
        <v>299000</v>
      </c>
      <c r="M38" s="78" t="s">
        <v>141</v>
      </c>
      <c r="N38" s="98" t="s">
        <v>174</v>
      </c>
      <c r="O38" s="98" t="s">
        <v>143</v>
      </c>
      <c r="P38" s="98">
        <v>100</v>
      </c>
      <c r="Q38" s="32" t="s">
        <v>144</v>
      </c>
      <c r="R38" s="98" t="s">
        <v>145</v>
      </c>
      <c r="S38" s="32" t="s">
        <v>146</v>
      </c>
      <c r="T38" s="98" t="s">
        <v>65</v>
      </c>
      <c r="U38" s="98"/>
      <c r="V38" s="98" t="s">
        <v>528</v>
      </c>
      <c r="W38" s="98"/>
      <c r="X38" s="78" t="s">
        <v>67</v>
      </c>
      <c r="Y38" s="98" t="s">
        <v>68</v>
      </c>
      <c r="Z38" s="32" t="s">
        <v>69</v>
      </c>
      <c r="AA38" s="32" t="s">
        <v>529</v>
      </c>
      <c r="AB38" s="78" t="s">
        <v>71</v>
      </c>
      <c r="AC38" s="98" t="s">
        <v>62</v>
      </c>
      <c r="AD38" s="98" t="s">
        <v>72</v>
      </c>
      <c r="AE38" s="65" t="s">
        <v>137</v>
      </c>
      <c r="AF38" s="39" t="s">
        <v>106</v>
      </c>
      <c r="AG38" s="98" t="s">
        <v>127</v>
      </c>
      <c r="AH38" s="115">
        <v>650</v>
      </c>
      <c r="AI38" s="117" t="s">
        <v>128</v>
      </c>
      <c r="AJ38" s="115" t="s">
        <v>77</v>
      </c>
      <c r="AK38" s="73">
        <v>606</v>
      </c>
      <c r="AL38" s="116">
        <f t="shared" si="5"/>
        <v>181194000</v>
      </c>
      <c r="AM38" s="116">
        <v>11</v>
      </c>
      <c r="AN38" s="116">
        <v>3093927</v>
      </c>
      <c r="AO38" s="116">
        <v>118</v>
      </c>
      <c r="AP38" s="116">
        <v>34038964</v>
      </c>
      <c r="AQ38" s="116">
        <f t="shared" si="12"/>
        <v>299.79999999999995</v>
      </c>
      <c r="AR38" s="116">
        <f t="shared" si="13"/>
        <v>82468983.999999985</v>
      </c>
      <c r="AS38" s="118">
        <v>0.49471947194719468</v>
      </c>
    </row>
    <row r="39" spans="1:45" s="105" customFormat="1" x14ac:dyDescent="0.3">
      <c r="A39" s="104" t="str">
        <f t="shared" si="1"/>
        <v>DWDJ94056BKS</v>
      </c>
      <c r="B39" s="126" t="s">
        <v>524</v>
      </c>
      <c r="C39" s="98" t="str">
        <f t="shared" si="9"/>
        <v>DJ940</v>
      </c>
      <c r="D39" s="98" t="s">
        <v>55</v>
      </c>
      <c r="E39" s="98" t="str">
        <f t="shared" si="10"/>
        <v>W</v>
      </c>
      <c r="F39" s="98" t="str">
        <f t="shared" si="11"/>
        <v>DJ</v>
      </c>
      <c r="G39" s="98" t="s">
        <v>56</v>
      </c>
      <c r="H39" s="115" t="s">
        <v>525</v>
      </c>
      <c r="I39" s="98" t="s">
        <v>78</v>
      </c>
      <c r="J39" s="115" t="str">
        <f t="shared" si="8"/>
        <v/>
      </c>
      <c r="K39" s="115">
        <v>1</v>
      </c>
      <c r="L39" s="116">
        <v>299000</v>
      </c>
      <c r="M39" s="78" t="s">
        <v>521</v>
      </c>
      <c r="N39" s="98" t="s">
        <v>133</v>
      </c>
      <c r="O39" s="98" t="s">
        <v>485</v>
      </c>
      <c r="P39" s="98">
        <v>100</v>
      </c>
      <c r="Q39" s="32" t="s">
        <v>85</v>
      </c>
      <c r="R39" s="98" t="s">
        <v>134</v>
      </c>
      <c r="S39" s="32" t="s">
        <v>135</v>
      </c>
      <c r="T39" s="98" t="s">
        <v>122</v>
      </c>
      <c r="U39" s="98" t="s">
        <v>136</v>
      </c>
      <c r="V39" s="98"/>
      <c r="W39" s="98"/>
      <c r="X39" s="78" t="s">
        <v>67</v>
      </c>
      <c r="Y39" s="98" t="s">
        <v>68</v>
      </c>
      <c r="Z39" s="32" t="s">
        <v>89</v>
      </c>
      <c r="AA39" s="32" t="s">
        <v>90</v>
      </c>
      <c r="AB39" s="78" t="s">
        <v>71</v>
      </c>
      <c r="AC39" s="98" t="s">
        <v>62</v>
      </c>
      <c r="AD39" s="98" t="s">
        <v>72</v>
      </c>
      <c r="AE39" s="65" t="s">
        <v>137</v>
      </c>
      <c r="AF39" s="39" t="s">
        <v>106</v>
      </c>
      <c r="AG39" s="98" t="s">
        <v>127</v>
      </c>
      <c r="AH39" s="115">
        <v>650</v>
      </c>
      <c r="AI39" s="117" t="s">
        <v>128</v>
      </c>
      <c r="AJ39" s="115" t="s">
        <v>77</v>
      </c>
      <c r="AK39" s="73">
        <v>9648</v>
      </c>
      <c r="AL39" s="116">
        <f t="shared" si="5"/>
        <v>2884752000</v>
      </c>
      <c r="AM39" s="116">
        <v>570</v>
      </c>
      <c r="AN39" s="116">
        <v>162103656</v>
      </c>
      <c r="AO39" s="116">
        <v>2675</v>
      </c>
      <c r="AP39" s="116">
        <v>773563664</v>
      </c>
      <c r="AQ39" s="116">
        <f t="shared" si="12"/>
        <v>5569.4000000000005</v>
      </c>
      <c r="AR39" s="116">
        <f t="shared" si="13"/>
        <v>1532030552</v>
      </c>
      <c r="AS39" s="118">
        <v>0.57725953565505805</v>
      </c>
    </row>
    <row r="40" spans="1:45" s="105" customFormat="1" x14ac:dyDescent="0.3">
      <c r="A40" s="104" t="str">
        <f t="shared" si="1"/>
        <v>DWDJ94056BGS</v>
      </c>
      <c r="B40" s="126" t="s">
        <v>524</v>
      </c>
      <c r="C40" s="98" t="str">
        <f t="shared" si="9"/>
        <v>DJ940</v>
      </c>
      <c r="D40" s="98" t="s">
        <v>55</v>
      </c>
      <c r="E40" s="98" t="str">
        <f t="shared" si="10"/>
        <v>W</v>
      </c>
      <c r="F40" s="98" t="str">
        <f t="shared" si="11"/>
        <v>DJ</v>
      </c>
      <c r="G40" s="98" t="s">
        <v>56</v>
      </c>
      <c r="H40" s="115" t="s">
        <v>525</v>
      </c>
      <c r="I40" s="98" t="s">
        <v>82</v>
      </c>
      <c r="J40" s="115" t="str">
        <f t="shared" si="8"/>
        <v/>
      </c>
      <c r="K40" s="115">
        <v>1</v>
      </c>
      <c r="L40" s="116">
        <v>299000</v>
      </c>
      <c r="M40" s="78" t="s">
        <v>521</v>
      </c>
      <c r="N40" s="98" t="s">
        <v>133</v>
      </c>
      <c r="O40" s="98" t="s">
        <v>485</v>
      </c>
      <c r="P40" s="98">
        <v>100</v>
      </c>
      <c r="Q40" s="32" t="s">
        <v>85</v>
      </c>
      <c r="R40" s="98" t="s">
        <v>134</v>
      </c>
      <c r="S40" s="32" t="s">
        <v>135</v>
      </c>
      <c r="T40" s="98" t="s">
        <v>122</v>
      </c>
      <c r="U40" s="98" t="s">
        <v>136</v>
      </c>
      <c r="V40" s="98"/>
      <c r="W40" s="98"/>
      <c r="X40" s="78" t="s">
        <v>67</v>
      </c>
      <c r="Y40" s="98" t="s">
        <v>68</v>
      </c>
      <c r="Z40" s="32" t="s">
        <v>89</v>
      </c>
      <c r="AA40" s="32" t="s">
        <v>90</v>
      </c>
      <c r="AB40" s="78" t="s">
        <v>71</v>
      </c>
      <c r="AC40" s="98" t="s">
        <v>62</v>
      </c>
      <c r="AD40" s="98" t="s">
        <v>72</v>
      </c>
      <c r="AE40" s="65" t="s">
        <v>137</v>
      </c>
      <c r="AF40" s="39" t="s">
        <v>106</v>
      </c>
      <c r="AG40" s="98" t="s">
        <v>127</v>
      </c>
      <c r="AH40" s="115">
        <v>650</v>
      </c>
      <c r="AI40" s="117" t="s">
        <v>128</v>
      </c>
      <c r="AJ40" s="115" t="s">
        <v>77</v>
      </c>
      <c r="AK40" s="73">
        <v>1011</v>
      </c>
      <c r="AL40" s="116">
        <f t="shared" si="5"/>
        <v>302289000</v>
      </c>
      <c r="AM40" s="116">
        <v>31</v>
      </c>
      <c r="AN40" s="116">
        <v>8913942</v>
      </c>
      <c r="AO40" s="116">
        <v>191</v>
      </c>
      <c r="AP40" s="116">
        <v>54970180</v>
      </c>
      <c r="AQ40" s="116">
        <f t="shared" si="12"/>
        <v>494.3</v>
      </c>
      <c r="AR40" s="116">
        <f t="shared" si="13"/>
        <v>135972044</v>
      </c>
      <c r="AS40" s="118">
        <v>0.48892185954500494</v>
      </c>
    </row>
    <row r="41" spans="1:45" s="105" customFormat="1" x14ac:dyDescent="0.3">
      <c r="A41" s="104" t="str">
        <f t="shared" si="1"/>
        <v>DWDJ94056CRS</v>
      </c>
      <c r="B41" s="126" t="s">
        <v>524</v>
      </c>
      <c r="C41" s="98" t="str">
        <f t="shared" si="9"/>
        <v>DJ940</v>
      </c>
      <c r="D41" s="98" t="s">
        <v>55</v>
      </c>
      <c r="E41" s="98" t="str">
        <f t="shared" si="10"/>
        <v>W</v>
      </c>
      <c r="F41" s="98" t="str">
        <f t="shared" si="11"/>
        <v>DJ</v>
      </c>
      <c r="G41" s="98" t="s">
        <v>56</v>
      </c>
      <c r="H41" s="115" t="s">
        <v>525</v>
      </c>
      <c r="I41" s="98" t="s">
        <v>79</v>
      </c>
      <c r="J41" s="115" t="str">
        <f t="shared" si="8"/>
        <v/>
      </c>
      <c r="K41" s="115">
        <v>1</v>
      </c>
      <c r="L41" s="116">
        <v>299000</v>
      </c>
      <c r="M41" s="78" t="s">
        <v>521</v>
      </c>
      <c r="N41" s="98" t="s">
        <v>133</v>
      </c>
      <c r="O41" s="98" t="s">
        <v>485</v>
      </c>
      <c r="P41" s="98">
        <v>100</v>
      </c>
      <c r="Q41" s="32" t="s">
        <v>85</v>
      </c>
      <c r="R41" s="98" t="s">
        <v>134</v>
      </c>
      <c r="S41" s="32" t="s">
        <v>135</v>
      </c>
      <c r="T41" s="98" t="s">
        <v>122</v>
      </c>
      <c r="U41" s="98" t="s">
        <v>136</v>
      </c>
      <c r="V41" s="98"/>
      <c r="W41" s="98"/>
      <c r="X41" s="78" t="s">
        <v>67</v>
      </c>
      <c r="Y41" s="98" t="s">
        <v>68</v>
      </c>
      <c r="Z41" s="32" t="s">
        <v>89</v>
      </c>
      <c r="AA41" s="32" t="s">
        <v>90</v>
      </c>
      <c r="AB41" s="78" t="s">
        <v>71</v>
      </c>
      <c r="AC41" s="98" t="s">
        <v>62</v>
      </c>
      <c r="AD41" s="98" t="s">
        <v>72</v>
      </c>
      <c r="AE41" s="65" t="s">
        <v>137</v>
      </c>
      <c r="AF41" s="39" t="s">
        <v>106</v>
      </c>
      <c r="AG41" s="98" t="s">
        <v>127</v>
      </c>
      <c r="AH41" s="115">
        <v>650</v>
      </c>
      <c r="AI41" s="117" t="s">
        <v>128</v>
      </c>
      <c r="AJ41" s="115" t="s">
        <v>77</v>
      </c>
      <c r="AK41" s="73">
        <v>7618</v>
      </c>
      <c r="AL41" s="116">
        <f t="shared" si="5"/>
        <v>2277782000</v>
      </c>
      <c r="AM41" s="116">
        <v>192</v>
      </c>
      <c r="AN41" s="116">
        <v>54551219</v>
      </c>
      <c r="AO41" s="116">
        <v>972</v>
      </c>
      <c r="AP41" s="116">
        <v>280794269</v>
      </c>
      <c r="AQ41" s="116">
        <f t="shared" si="12"/>
        <v>3257.3999999999996</v>
      </c>
      <c r="AR41" s="116">
        <f t="shared" si="13"/>
        <v>896045592</v>
      </c>
      <c r="AS41" s="118">
        <v>0.42759254397479651</v>
      </c>
    </row>
    <row r="42" spans="1:45" s="105" customFormat="1" x14ac:dyDescent="0.3">
      <c r="A42" s="104" t="str">
        <f t="shared" si="1"/>
        <v>DWDJ94056CRN</v>
      </c>
      <c r="B42" s="126" t="s">
        <v>524</v>
      </c>
      <c r="C42" s="98" t="str">
        <f t="shared" si="9"/>
        <v>DJ940</v>
      </c>
      <c r="D42" s="98" t="s">
        <v>55</v>
      </c>
      <c r="E42" s="98" t="str">
        <f t="shared" si="10"/>
        <v>W</v>
      </c>
      <c r="F42" s="98" t="str">
        <f t="shared" si="11"/>
        <v>DJ</v>
      </c>
      <c r="G42" s="98" t="s">
        <v>56</v>
      </c>
      <c r="H42" s="115" t="s">
        <v>525</v>
      </c>
      <c r="I42" s="98" t="s">
        <v>176</v>
      </c>
      <c r="J42" s="115" t="str">
        <f t="shared" si="8"/>
        <v/>
      </c>
      <c r="K42" s="115">
        <v>1</v>
      </c>
      <c r="L42" s="116">
        <v>299000</v>
      </c>
      <c r="M42" s="78" t="s">
        <v>141</v>
      </c>
      <c r="N42" s="98" t="s">
        <v>174</v>
      </c>
      <c r="O42" s="98" t="s">
        <v>143</v>
      </c>
      <c r="P42" s="98">
        <v>100</v>
      </c>
      <c r="Q42" s="32" t="s">
        <v>144</v>
      </c>
      <c r="R42" s="98" t="s">
        <v>145</v>
      </c>
      <c r="S42" s="32" t="s">
        <v>146</v>
      </c>
      <c r="T42" s="98" t="s">
        <v>65</v>
      </c>
      <c r="U42" s="98"/>
      <c r="V42" s="98" t="s">
        <v>528</v>
      </c>
      <c r="W42" s="98"/>
      <c r="X42" s="78" t="s">
        <v>67</v>
      </c>
      <c r="Y42" s="98" t="s">
        <v>68</v>
      </c>
      <c r="Z42" s="32" t="s">
        <v>69</v>
      </c>
      <c r="AA42" s="32" t="s">
        <v>529</v>
      </c>
      <c r="AB42" s="78" t="s">
        <v>71</v>
      </c>
      <c r="AC42" s="98" t="s">
        <v>62</v>
      </c>
      <c r="AD42" s="98" t="s">
        <v>72</v>
      </c>
      <c r="AE42" s="65" t="s">
        <v>137</v>
      </c>
      <c r="AF42" s="39" t="s">
        <v>106</v>
      </c>
      <c r="AG42" s="98" t="s">
        <v>127</v>
      </c>
      <c r="AH42" s="115">
        <v>650</v>
      </c>
      <c r="AI42" s="117" t="s">
        <v>128</v>
      </c>
      <c r="AJ42" s="115" t="s">
        <v>77</v>
      </c>
      <c r="AK42" s="73">
        <v>4569</v>
      </c>
      <c r="AL42" s="116">
        <f t="shared" si="5"/>
        <v>1366131000</v>
      </c>
      <c r="AM42" s="116">
        <v>126</v>
      </c>
      <c r="AN42" s="116">
        <v>35676011</v>
      </c>
      <c r="AO42" s="116">
        <v>603</v>
      </c>
      <c r="AP42" s="116">
        <v>173668107</v>
      </c>
      <c r="AQ42" s="116">
        <f t="shared" si="12"/>
        <v>1973.6999999999998</v>
      </c>
      <c r="AR42" s="116">
        <f t="shared" si="13"/>
        <v>542925395.99999988</v>
      </c>
      <c r="AS42" s="118">
        <v>0.43197636244254756</v>
      </c>
    </row>
    <row r="43" spans="1:45" s="105" customFormat="1" x14ac:dyDescent="0.3">
      <c r="A43" s="104" t="str">
        <f t="shared" si="1"/>
        <v>DWDJ94056BKN</v>
      </c>
      <c r="B43" s="126" t="s">
        <v>524</v>
      </c>
      <c r="C43" s="98" t="str">
        <f t="shared" si="9"/>
        <v>DJ940</v>
      </c>
      <c r="D43" s="98" t="s">
        <v>55</v>
      </c>
      <c r="E43" s="98" t="str">
        <f t="shared" si="10"/>
        <v>W</v>
      </c>
      <c r="F43" s="98" t="str">
        <f t="shared" si="11"/>
        <v>DJ</v>
      </c>
      <c r="G43" s="98" t="s">
        <v>56</v>
      </c>
      <c r="H43" s="115" t="s">
        <v>525</v>
      </c>
      <c r="I43" s="98" t="s">
        <v>140</v>
      </c>
      <c r="J43" s="115" t="str">
        <f t="shared" si="8"/>
        <v/>
      </c>
      <c r="K43" s="115">
        <v>1</v>
      </c>
      <c r="L43" s="116">
        <v>299000</v>
      </c>
      <c r="M43" s="78" t="s">
        <v>141</v>
      </c>
      <c r="N43" s="98" t="s">
        <v>174</v>
      </c>
      <c r="O43" s="98" t="s">
        <v>143</v>
      </c>
      <c r="P43" s="98">
        <v>100</v>
      </c>
      <c r="Q43" s="32" t="s">
        <v>144</v>
      </c>
      <c r="R43" s="98" t="s">
        <v>145</v>
      </c>
      <c r="S43" s="32" t="s">
        <v>146</v>
      </c>
      <c r="T43" s="98" t="s">
        <v>65</v>
      </c>
      <c r="U43" s="98"/>
      <c r="V43" s="98" t="s">
        <v>528</v>
      </c>
      <c r="W43" s="98"/>
      <c r="X43" s="78" t="s">
        <v>67</v>
      </c>
      <c r="Y43" s="98" t="s">
        <v>68</v>
      </c>
      <c r="Z43" s="32" t="s">
        <v>69</v>
      </c>
      <c r="AA43" s="32" t="s">
        <v>529</v>
      </c>
      <c r="AB43" s="78" t="s">
        <v>71</v>
      </c>
      <c r="AC43" s="98" t="s">
        <v>62</v>
      </c>
      <c r="AD43" s="98" t="s">
        <v>72</v>
      </c>
      <c r="AE43" s="65" t="s">
        <v>137</v>
      </c>
      <c r="AF43" s="39" t="s">
        <v>106</v>
      </c>
      <c r="AG43" s="98" t="s">
        <v>127</v>
      </c>
      <c r="AH43" s="115">
        <v>650</v>
      </c>
      <c r="AI43" s="117" t="s">
        <v>128</v>
      </c>
      <c r="AJ43" s="115" t="s">
        <v>77</v>
      </c>
      <c r="AK43" s="73">
        <v>2539</v>
      </c>
      <c r="AL43" s="116">
        <f t="shared" si="5"/>
        <v>759161000</v>
      </c>
      <c r="AM43" s="116">
        <v>118</v>
      </c>
      <c r="AN43" s="116">
        <v>33331187</v>
      </c>
      <c r="AO43" s="116">
        <v>641</v>
      </c>
      <c r="AP43" s="116">
        <v>185449991</v>
      </c>
      <c r="AQ43" s="116">
        <f t="shared" si="12"/>
        <v>1402.6999999999998</v>
      </c>
      <c r="AR43" s="116">
        <f t="shared" si="13"/>
        <v>385854715.99999994</v>
      </c>
      <c r="AS43" s="118">
        <v>0.5524615990547459</v>
      </c>
    </row>
    <row r="44" spans="1:45" s="102" customFormat="1" x14ac:dyDescent="0.3">
      <c r="A44" s="101" t="str">
        <f t="shared" si="1"/>
        <v>DWDJ97056OLS</v>
      </c>
      <c r="B44" s="126" t="s">
        <v>530</v>
      </c>
      <c r="C44" s="98" t="str">
        <f t="shared" si="9"/>
        <v>DJ970</v>
      </c>
      <c r="D44" s="98" t="s">
        <v>55</v>
      </c>
      <c r="E44" s="98" t="str">
        <f t="shared" si="10"/>
        <v>W</v>
      </c>
      <c r="F44" s="98" t="str">
        <f t="shared" si="11"/>
        <v>DJ</v>
      </c>
      <c r="G44" s="98" t="s">
        <v>56</v>
      </c>
      <c r="H44" s="115" t="s">
        <v>531</v>
      </c>
      <c r="I44" s="98" t="s">
        <v>345</v>
      </c>
      <c r="J44" s="115">
        <f t="shared" si="8"/>
        <v>1</v>
      </c>
      <c r="K44" s="115">
        <v>1</v>
      </c>
      <c r="L44" s="116">
        <v>299000</v>
      </c>
      <c r="M44" s="78" t="s">
        <v>167</v>
      </c>
      <c r="N44" s="98" t="s">
        <v>168</v>
      </c>
      <c r="O44" s="98" t="s">
        <v>532</v>
      </c>
      <c r="P44" s="98">
        <v>100</v>
      </c>
      <c r="Q44" s="32" t="s">
        <v>119</v>
      </c>
      <c r="R44" s="98" t="s">
        <v>169</v>
      </c>
      <c r="S44" s="32" t="s">
        <v>152</v>
      </c>
      <c r="T44" s="98" t="s">
        <v>65</v>
      </c>
      <c r="U44" s="98"/>
      <c r="V44" s="98"/>
      <c r="W44" s="98"/>
      <c r="X44" s="78" t="s">
        <v>67</v>
      </c>
      <c r="Y44" s="98" t="s">
        <v>68</v>
      </c>
      <c r="Z44" s="32" t="s">
        <v>69</v>
      </c>
      <c r="AA44" s="32" t="s">
        <v>70</v>
      </c>
      <c r="AB44" s="78" t="s">
        <v>71</v>
      </c>
      <c r="AC44" s="98" t="s">
        <v>62</v>
      </c>
      <c r="AD44" s="98" t="s">
        <v>72</v>
      </c>
      <c r="AE44" s="65" t="s">
        <v>137</v>
      </c>
      <c r="AF44" s="39" t="s">
        <v>175</v>
      </c>
      <c r="AG44" s="98" t="s">
        <v>127</v>
      </c>
      <c r="AH44" s="115">
        <v>650</v>
      </c>
      <c r="AI44" s="117" t="s">
        <v>128</v>
      </c>
      <c r="AJ44" s="115" t="s">
        <v>77</v>
      </c>
      <c r="AK44" s="73">
        <v>1427</v>
      </c>
      <c r="AL44" s="116">
        <f t="shared" si="5"/>
        <v>426673000</v>
      </c>
      <c r="AM44" s="116">
        <v>42</v>
      </c>
      <c r="AN44" s="116">
        <v>11676975</v>
      </c>
      <c r="AO44" s="116">
        <v>243</v>
      </c>
      <c r="AP44" s="116">
        <v>69934676</v>
      </c>
      <c r="AQ44" s="116">
        <f t="shared" si="12"/>
        <v>671.09999999999991</v>
      </c>
      <c r="AR44" s="116">
        <f t="shared" si="13"/>
        <v>184606188</v>
      </c>
      <c r="AS44" s="118">
        <v>0.47028731604765239</v>
      </c>
    </row>
    <row r="45" spans="1:45" s="102" customFormat="1" x14ac:dyDescent="0.3">
      <c r="A45" s="101" t="str">
        <f t="shared" si="1"/>
        <v>DWDJ97056BKS</v>
      </c>
      <c r="B45" s="126" t="s">
        <v>530</v>
      </c>
      <c r="C45" s="98" t="str">
        <f t="shared" si="9"/>
        <v>DJ970</v>
      </c>
      <c r="D45" s="98" t="s">
        <v>55</v>
      </c>
      <c r="E45" s="98" t="str">
        <f t="shared" si="10"/>
        <v>W</v>
      </c>
      <c r="F45" s="98" t="str">
        <f t="shared" si="11"/>
        <v>DJ</v>
      </c>
      <c r="G45" s="98" t="s">
        <v>56</v>
      </c>
      <c r="H45" s="115" t="s">
        <v>531</v>
      </c>
      <c r="I45" s="98" t="s">
        <v>78</v>
      </c>
      <c r="J45" s="115" t="str">
        <f t="shared" si="8"/>
        <v/>
      </c>
      <c r="K45" s="115">
        <v>1</v>
      </c>
      <c r="L45" s="116">
        <v>299000</v>
      </c>
      <c r="M45" s="78" t="s">
        <v>167</v>
      </c>
      <c r="N45" s="98" t="s">
        <v>168</v>
      </c>
      <c r="O45" s="98" t="s">
        <v>532</v>
      </c>
      <c r="P45" s="98">
        <v>100</v>
      </c>
      <c r="Q45" s="32" t="s">
        <v>119</v>
      </c>
      <c r="R45" s="98" t="s">
        <v>169</v>
      </c>
      <c r="S45" s="32" t="s">
        <v>152</v>
      </c>
      <c r="T45" s="98" t="s">
        <v>65</v>
      </c>
      <c r="U45" s="98"/>
      <c r="V45" s="98"/>
      <c r="W45" s="98"/>
      <c r="X45" s="78" t="s">
        <v>67</v>
      </c>
      <c r="Y45" s="98" t="s">
        <v>68</v>
      </c>
      <c r="Z45" s="32" t="s">
        <v>69</v>
      </c>
      <c r="AA45" s="32" t="s">
        <v>70</v>
      </c>
      <c r="AB45" s="78" t="s">
        <v>71</v>
      </c>
      <c r="AC45" s="98" t="s">
        <v>62</v>
      </c>
      <c r="AD45" s="98" t="s">
        <v>72</v>
      </c>
      <c r="AE45" s="65" t="s">
        <v>137</v>
      </c>
      <c r="AF45" s="39" t="s">
        <v>175</v>
      </c>
      <c r="AG45" s="98" t="s">
        <v>127</v>
      </c>
      <c r="AH45" s="115">
        <v>650</v>
      </c>
      <c r="AI45" s="117" t="s">
        <v>128</v>
      </c>
      <c r="AJ45" s="115" t="s">
        <v>77</v>
      </c>
      <c r="AK45" s="72">
        <f>1958+4000</f>
        <v>5958</v>
      </c>
      <c r="AL45" s="116">
        <f t="shared" si="5"/>
        <v>1781442000</v>
      </c>
      <c r="AM45" s="116">
        <v>92</v>
      </c>
      <c r="AN45" s="116">
        <v>26121331</v>
      </c>
      <c r="AO45" s="116">
        <v>1851</v>
      </c>
      <c r="AP45" s="116">
        <v>534038590</v>
      </c>
      <c r="AQ45" s="116">
        <f t="shared" si="12"/>
        <v>5064.3</v>
      </c>
      <c r="AR45" s="116">
        <f t="shared" si="13"/>
        <v>1393087644</v>
      </c>
      <c r="AS45" s="70">
        <v>0.85</v>
      </c>
    </row>
    <row r="46" spans="1:45" s="102" customFormat="1" x14ac:dyDescent="0.3">
      <c r="A46" s="101" t="str">
        <f t="shared" si="1"/>
        <v>DWDJ97056PPD</v>
      </c>
      <c r="B46" s="126" t="s">
        <v>530</v>
      </c>
      <c r="C46" s="98" t="str">
        <f t="shared" si="9"/>
        <v>DJ970</v>
      </c>
      <c r="D46" s="98" t="s">
        <v>55</v>
      </c>
      <c r="E46" s="98" t="str">
        <f t="shared" si="10"/>
        <v>W</v>
      </c>
      <c r="F46" s="98" t="str">
        <f t="shared" si="11"/>
        <v>DJ</v>
      </c>
      <c r="G46" s="98" t="s">
        <v>56</v>
      </c>
      <c r="H46" s="115" t="s">
        <v>531</v>
      </c>
      <c r="I46" s="98" t="s">
        <v>522</v>
      </c>
      <c r="J46" s="115" t="str">
        <f t="shared" si="8"/>
        <v/>
      </c>
      <c r="K46" s="115">
        <v>1</v>
      </c>
      <c r="L46" s="116">
        <v>299000</v>
      </c>
      <c r="M46" s="78" t="s">
        <v>167</v>
      </c>
      <c r="N46" s="98" t="s">
        <v>168</v>
      </c>
      <c r="O46" s="98" t="s">
        <v>532</v>
      </c>
      <c r="P46" s="98">
        <v>100</v>
      </c>
      <c r="Q46" s="32" t="s">
        <v>119</v>
      </c>
      <c r="R46" s="98" t="s">
        <v>169</v>
      </c>
      <c r="S46" s="32" t="s">
        <v>152</v>
      </c>
      <c r="T46" s="98" t="s">
        <v>65</v>
      </c>
      <c r="U46" s="98"/>
      <c r="V46" s="98"/>
      <c r="W46" s="98"/>
      <c r="X46" s="78" t="s">
        <v>67</v>
      </c>
      <c r="Y46" s="98" t="s">
        <v>68</v>
      </c>
      <c r="Z46" s="32" t="s">
        <v>69</v>
      </c>
      <c r="AA46" s="32" t="s">
        <v>70</v>
      </c>
      <c r="AB46" s="78" t="s">
        <v>71</v>
      </c>
      <c r="AC46" s="98" t="s">
        <v>62</v>
      </c>
      <c r="AD46" s="98" t="s">
        <v>72</v>
      </c>
      <c r="AE46" s="65" t="s">
        <v>137</v>
      </c>
      <c r="AF46" s="39" t="s">
        <v>175</v>
      </c>
      <c r="AG46" s="98" t="s">
        <v>127</v>
      </c>
      <c r="AH46" s="115">
        <v>650</v>
      </c>
      <c r="AI46" s="117" t="s">
        <v>128</v>
      </c>
      <c r="AJ46" s="115" t="s">
        <v>77</v>
      </c>
      <c r="AK46" s="73">
        <v>1509</v>
      </c>
      <c r="AL46" s="116">
        <f t="shared" si="5"/>
        <v>451191000</v>
      </c>
      <c r="AM46" s="116">
        <v>45</v>
      </c>
      <c r="AN46" s="116">
        <v>12709570</v>
      </c>
      <c r="AO46" s="116">
        <v>227</v>
      </c>
      <c r="AP46" s="116">
        <v>65122837</v>
      </c>
      <c r="AQ46" s="116">
        <f t="shared" si="12"/>
        <v>679.69999999999993</v>
      </c>
      <c r="AR46" s="116">
        <f t="shared" si="13"/>
        <v>186971875.99999997</v>
      </c>
      <c r="AS46" s="118">
        <v>0.45043074884029155</v>
      </c>
    </row>
    <row r="47" spans="1:45" s="102" customFormat="1" x14ac:dyDescent="0.3">
      <c r="A47" s="101" t="str">
        <f t="shared" si="1"/>
        <v>DWDJ97056GRN</v>
      </c>
      <c r="B47" s="126" t="s">
        <v>530</v>
      </c>
      <c r="C47" s="98" t="str">
        <f t="shared" si="9"/>
        <v>DJ970</v>
      </c>
      <c r="D47" s="98" t="s">
        <v>55</v>
      </c>
      <c r="E47" s="98" t="str">
        <f t="shared" si="10"/>
        <v>W</v>
      </c>
      <c r="F47" s="98" t="str">
        <f t="shared" si="11"/>
        <v>DJ</v>
      </c>
      <c r="G47" s="98" t="s">
        <v>56</v>
      </c>
      <c r="H47" s="115" t="s">
        <v>531</v>
      </c>
      <c r="I47" s="98" t="s">
        <v>386</v>
      </c>
      <c r="J47" s="115" t="str">
        <f t="shared" si="8"/>
        <v/>
      </c>
      <c r="K47" s="115">
        <v>1</v>
      </c>
      <c r="L47" s="116">
        <v>299000</v>
      </c>
      <c r="M47" s="78" t="s">
        <v>533</v>
      </c>
      <c r="N47" s="98" t="s">
        <v>534</v>
      </c>
      <c r="O47" s="98" t="s">
        <v>532</v>
      </c>
      <c r="P47" s="98">
        <v>100</v>
      </c>
      <c r="Q47" s="32" t="s">
        <v>62</v>
      </c>
      <c r="R47" s="98" t="s">
        <v>535</v>
      </c>
      <c r="S47" s="32" t="s">
        <v>72</v>
      </c>
      <c r="T47" s="98" t="s">
        <v>65</v>
      </c>
      <c r="U47" s="98"/>
      <c r="V47" s="98"/>
      <c r="W47" s="98"/>
      <c r="X47" s="78" t="s">
        <v>67</v>
      </c>
      <c r="Y47" s="98" t="s">
        <v>68</v>
      </c>
      <c r="Z47" s="32" t="s">
        <v>536</v>
      </c>
      <c r="AA47" s="32" t="s">
        <v>529</v>
      </c>
      <c r="AB47" s="78" t="s">
        <v>71</v>
      </c>
      <c r="AC47" s="98" t="s">
        <v>62</v>
      </c>
      <c r="AD47" s="98" t="s">
        <v>72</v>
      </c>
      <c r="AE47" s="65" t="s">
        <v>137</v>
      </c>
      <c r="AF47" s="39" t="s">
        <v>175</v>
      </c>
      <c r="AG47" s="98" t="s">
        <v>127</v>
      </c>
      <c r="AH47" s="115">
        <v>650</v>
      </c>
      <c r="AI47" s="117" t="s">
        <v>128</v>
      </c>
      <c r="AJ47" s="115" t="s">
        <v>77</v>
      </c>
      <c r="AK47" s="72">
        <f>796+700</f>
        <v>1496</v>
      </c>
      <c r="AL47" s="116">
        <f t="shared" si="5"/>
        <v>447304000</v>
      </c>
      <c r="AM47" s="116">
        <v>52</v>
      </c>
      <c r="AN47" s="116">
        <v>14836545</v>
      </c>
      <c r="AO47" s="116">
        <v>236</v>
      </c>
      <c r="AP47" s="116">
        <v>68056876</v>
      </c>
      <c r="AQ47" s="116">
        <f t="shared" si="12"/>
        <v>1196.8</v>
      </c>
      <c r="AR47" s="116">
        <f t="shared" si="13"/>
        <v>329215744</v>
      </c>
      <c r="AS47" s="70">
        <v>0.8</v>
      </c>
    </row>
    <row r="48" spans="1:45" s="102" customFormat="1" x14ac:dyDescent="0.3">
      <c r="A48" s="101" t="str">
        <f t="shared" si="1"/>
        <v>DWDJ97056BKN</v>
      </c>
      <c r="B48" s="126" t="s">
        <v>530</v>
      </c>
      <c r="C48" s="98" t="str">
        <f t="shared" si="9"/>
        <v>DJ970</v>
      </c>
      <c r="D48" s="98" t="s">
        <v>55</v>
      </c>
      <c r="E48" s="98" t="str">
        <f t="shared" si="10"/>
        <v>W</v>
      </c>
      <c r="F48" s="98" t="str">
        <f t="shared" si="11"/>
        <v>DJ</v>
      </c>
      <c r="G48" s="98" t="s">
        <v>56</v>
      </c>
      <c r="H48" s="115" t="s">
        <v>531</v>
      </c>
      <c r="I48" s="98" t="s">
        <v>140</v>
      </c>
      <c r="J48" s="115" t="str">
        <f t="shared" si="8"/>
        <v/>
      </c>
      <c r="K48" s="115">
        <v>1</v>
      </c>
      <c r="L48" s="116">
        <v>299000</v>
      </c>
      <c r="M48" s="78" t="s">
        <v>533</v>
      </c>
      <c r="N48" s="98" t="s">
        <v>534</v>
      </c>
      <c r="O48" s="98" t="s">
        <v>532</v>
      </c>
      <c r="P48" s="98">
        <v>100</v>
      </c>
      <c r="Q48" s="32" t="s">
        <v>62</v>
      </c>
      <c r="R48" s="98" t="s">
        <v>535</v>
      </c>
      <c r="S48" s="32" t="s">
        <v>72</v>
      </c>
      <c r="T48" s="98" t="s">
        <v>65</v>
      </c>
      <c r="U48" s="98"/>
      <c r="V48" s="98"/>
      <c r="W48" s="98"/>
      <c r="X48" s="78" t="s">
        <v>67</v>
      </c>
      <c r="Y48" s="98" t="s">
        <v>68</v>
      </c>
      <c r="Z48" s="32" t="s">
        <v>536</v>
      </c>
      <c r="AA48" s="32" t="s">
        <v>529</v>
      </c>
      <c r="AB48" s="78" t="s">
        <v>71</v>
      </c>
      <c r="AC48" s="98" t="s">
        <v>62</v>
      </c>
      <c r="AD48" s="98" t="s">
        <v>72</v>
      </c>
      <c r="AE48" s="65" t="s">
        <v>137</v>
      </c>
      <c r="AF48" s="39" t="s">
        <v>175</v>
      </c>
      <c r="AG48" s="98" t="s">
        <v>127</v>
      </c>
      <c r="AH48" s="115">
        <v>650</v>
      </c>
      <c r="AI48" s="117" t="s">
        <v>128</v>
      </c>
      <c r="AJ48" s="115" t="s">
        <v>77</v>
      </c>
      <c r="AK48" s="72">
        <f>1295+500</f>
        <v>1795</v>
      </c>
      <c r="AL48" s="116">
        <f t="shared" si="5"/>
        <v>536705000</v>
      </c>
      <c r="AM48" s="116">
        <v>95</v>
      </c>
      <c r="AN48" s="116">
        <v>26606393</v>
      </c>
      <c r="AO48" s="116">
        <v>350</v>
      </c>
      <c r="AP48" s="116">
        <v>99530758</v>
      </c>
      <c r="AQ48" s="116">
        <f t="shared" si="12"/>
        <v>1543.7</v>
      </c>
      <c r="AR48" s="116">
        <f t="shared" si="13"/>
        <v>424640996</v>
      </c>
      <c r="AS48" s="70">
        <v>0.86</v>
      </c>
    </row>
    <row r="49" spans="1:45" s="105" customFormat="1" x14ac:dyDescent="0.3">
      <c r="A49" s="104" t="str">
        <f t="shared" si="1"/>
        <v>DWDJ95056CRS</v>
      </c>
      <c r="B49" s="126" t="s">
        <v>537</v>
      </c>
      <c r="C49" s="98" t="str">
        <f t="shared" si="9"/>
        <v>DJ950</v>
      </c>
      <c r="D49" s="98" t="s">
        <v>55</v>
      </c>
      <c r="E49" s="98" t="str">
        <f t="shared" si="10"/>
        <v>W</v>
      </c>
      <c r="F49" s="98" t="str">
        <f t="shared" si="11"/>
        <v>DJ</v>
      </c>
      <c r="G49" s="98" t="s">
        <v>56</v>
      </c>
      <c r="H49" s="115" t="s">
        <v>538</v>
      </c>
      <c r="I49" s="98" t="s">
        <v>79</v>
      </c>
      <c r="J49" s="115">
        <f t="shared" si="8"/>
        <v>1</v>
      </c>
      <c r="K49" s="115">
        <v>1</v>
      </c>
      <c r="L49" s="116">
        <v>299000</v>
      </c>
      <c r="M49" s="78" t="s">
        <v>521</v>
      </c>
      <c r="N49" s="98" t="s">
        <v>133</v>
      </c>
      <c r="O49" s="98" t="s">
        <v>485</v>
      </c>
      <c r="P49" s="98">
        <v>100</v>
      </c>
      <c r="Q49" s="32" t="s">
        <v>85</v>
      </c>
      <c r="R49" s="98" t="s">
        <v>134</v>
      </c>
      <c r="S49" s="32" t="s">
        <v>135</v>
      </c>
      <c r="T49" s="98" t="s">
        <v>122</v>
      </c>
      <c r="U49" s="98" t="s">
        <v>136</v>
      </c>
      <c r="V49" s="98"/>
      <c r="W49" s="98"/>
      <c r="X49" s="78" t="s">
        <v>67</v>
      </c>
      <c r="Y49" s="98" t="s">
        <v>68</v>
      </c>
      <c r="Z49" s="32" t="s">
        <v>89</v>
      </c>
      <c r="AA49" s="32" t="s">
        <v>90</v>
      </c>
      <c r="AB49" s="78" t="s">
        <v>71</v>
      </c>
      <c r="AC49" s="98" t="s">
        <v>62</v>
      </c>
      <c r="AD49" s="98" t="s">
        <v>72</v>
      </c>
      <c r="AE49" s="65" t="s">
        <v>137</v>
      </c>
      <c r="AF49" s="39" t="s">
        <v>191</v>
      </c>
      <c r="AG49" s="98" t="s">
        <v>127</v>
      </c>
      <c r="AH49" s="115">
        <v>650</v>
      </c>
      <c r="AI49" s="117" t="s">
        <v>128</v>
      </c>
      <c r="AJ49" s="115" t="s">
        <v>129</v>
      </c>
      <c r="AK49" s="73">
        <v>1389</v>
      </c>
      <c r="AL49" s="116">
        <f t="shared" si="5"/>
        <v>415311000</v>
      </c>
      <c r="AM49" s="116">
        <v>69</v>
      </c>
      <c r="AN49" s="116">
        <v>19428024</v>
      </c>
      <c r="AO49" s="116">
        <v>340</v>
      </c>
      <c r="AP49" s="116">
        <v>97709228</v>
      </c>
      <c r="AQ49" s="116">
        <f t="shared" si="12"/>
        <v>756.7</v>
      </c>
      <c r="AR49" s="116">
        <f t="shared" si="13"/>
        <v>208153036</v>
      </c>
      <c r="AS49" s="118">
        <v>0.54478041756659468</v>
      </c>
    </row>
    <row r="50" spans="1:45" s="105" customFormat="1" x14ac:dyDescent="0.3">
      <c r="A50" s="104" t="str">
        <f t="shared" si="1"/>
        <v>DWDJ95056BRD</v>
      </c>
      <c r="B50" s="126" t="s">
        <v>537</v>
      </c>
      <c r="C50" s="98" t="str">
        <f t="shared" si="9"/>
        <v>DJ950</v>
      </c>
      <c r="D50" s="98" t="s">
        <v>55</v>
      </c>
      <c r="E50" s="98" t="str">
        <f t="shared" si="10"/>
        <v>W</v>
      </c>
      <c r="F50" s="98" t="str">
        <f t="shared" si="11"/>
        <v>DJ</v>
      </c>
      <c r="G50" s="98" t="s">
        <v>56</v>
      </c>
      <c r="H50" s="115" t="s">
        <v>538</v>
      </c>
      <c r="I50" s="98" t="s">
        <v>159</v>
      </c>
      <c r="J50" s="115" t="str">
        <f t="shared" si="8"/>
        <v/>
      </c>
      <c r="K50" s="115">
        <v>1</v>
      </c>
      <c r="L50" s="116">
        <v>299000</v>
      </c>
      <c r="M50" s="78" t="s">
        <v>521</v>
      </c>
      <c r="N50" s="98" t="s">
        <v>133</v>
      </c>
      <c r="O50" s="98" t="s">
        <v>485</v>
      </c>
      <c r="P50" s="98">
        <v>100</v>
      </c>
      <c r="Q50" s="32" t="s">
        <v>85</v>
      </c>
      <c r="R50" s="98" t="s">
        <v>134</v>
      </c>
      <c r="S50" s="32" t="s">
        <v>135</v>
      </c>
      <c r="T50" s="98" t="s">
        <v>122</v>
      </c>
      <c r="U50" s="98" t="s">
        <v>136</v>
      </c>
      <c r="V50" s="98"/>
      <c r="W50" s="98"/>
      <c r="X50" s="78" t="s">
        <v>67</v>
      </c>
      <c r="Y50" s="98" t="s">
        <v>68</v>
      </c>
      <c r="Z50" s="32" t="s">
        <v>89</v>
      </c>
      <c r="AA50" s="32" t="s">
        <v>90</v>
      </c>
      <c r="AB50" s="78" t="s">
        <v>71</v>
      </c>
      <c r="AC50" s="98" t="s">
        <v>62</v>
      </c>
      <c r="AD50" s="98" t="s">
        <v>72</v>
      </c>
      <c r="AE50" s="65" t="s">
        <v>137</v>
      </c>
      <c r="AF50" s="39" t="s">
        <v>191</v>
      </c>
      <c r="AG50" s="98" t="s">
        <v>127</v>
      </c>
      <c r="AH50" s="115">
        <v>650</v>
      </c>
      <c r="AI50" s="117" t="s">
        <v>128</v>
      </c>
      <c r="AJ50" s="115" t="s">
        <v>129</v>
      </c>
      <c r="AK50" s="73">
        <v>1521</v>
      </c>
      <c r="AL50" s="116">
        <f t="shared" si="5"/>
        <v>454779000</v>
      </c>
      <c r="AM50" s="116">
        <v>73</v>
      </c>
      <c r="AN50" s="116">
        <v>20448265</v>
      </c>
      <c r="AO50" s="116">
        <v>316</v>
      </c>
      <c r="AP50" s="116">
        <v>90198505</v>
      </c>
      <c r="AQ50" s="116">
        <f t="shared" si="12"/>
        <v>772.29999999999984</v>
      </c>
      <c r="AR50" s="116">
        <f t="shared" si="13"/>
        <v>212444283.99999997</v>
      </c>
      <c r="AS50" s="118">
        <v>0.50775805391189999</v>
      </c>
    </row>
    <row r="51" spans="1:45" s="105" customFormat="1" x14ac:dyDescent="0.3">
      <c r="A51" s="104" t="str">
        <f t="shared" si="1"/>
        <v>DWDJ95056BKS</v>
      </c>
      <c r="B51" s="126" t="s">
        <v>537</v>
      </c>
      <c r="C51" s="98" t="str">
        <f t="shared" si="9"/>
        <v>DJ950</v>
      </c>
      <c r="D51" s="98" t="s">
        <v>55</v>
      </c>
      <c r="E51" s="98" t="str">
        <f t="shared" si="10"/>
        <v>W</v>
      </c>
      <c r="F51" s="98" t="str">
        <f t="shared" si="11"/>
        <v>DJ</v>
      </c>
      <c r="G51" s="98" t="s">
        <v>56</v>
      </c>
      <c r="H51" s="115" t="s">
        <v>538</v>
      </c>
      <c r="I51" s="98" t="s">
        <v>78</v>
      </c>
      <c r="J51" s="115" t="str">
        <f t="shared" si="8"/>
        <v/>
      </c>
      <c r="K51" s="115">
        <v>1</v>
      </c>
      <c r="L51" s="116">
        <v>299000</v>
      </c>
      <c r="M51" s="78" t="s">
        <v>521</v>
      </c>
      <c r="N51" s="98" t="s">
        <v>133</v>
      </c>
      <c r="O51" s="98" t="s">
        <v>485</v>
      </c>
      <c r="P51" s="98">
        <v>100</v>
      </c>
      <c r="Q51" s="32" t="s">
        <v>85</v>
      </c>
      <c r="R51" s="98" t="s">
        <v>134</v>
      </c>
      <c r="S51" s="32" t="s">
        <v>135</v>
      </c>
      <c r="T51" s="98" t="s">
        <v>122</v>
      </c>
      <c r="U51" s="98" t="s">
        <v>136</v>
      </c>
      <c r="V51" s="98"/>
      <c r="W51" s="98"/>
      <c r="X51" s="78" t="s">
        <v>67</v>
      </c>
      <c r="Y51" s="98" t="s">
        <v>68</v>
      </c>
      <c r="Z51" s="32" t="s">
        <v>89</v>
      </c>
      <c r="AA51" s="32" t="s">
        <v>90</v>
      </c>
      <c r="AB51" s="78" t="s">
        <v>71</v>
      </c>
      <c r="AC51" s="98" t="s">
        <v>62</v>
      </c>
      <c r="AD51" s="98" t="s">
        <v>72</v>
      </c>
      <c r="AE51" s="65" t="s">
        <v>137</v>
      </c>
      <c r="AF51" s="39" t="s">
        <v>191</v>
      </c>
      <c r="AG51" s="98" t="s">
        <v>127</v>
      </c>
      <c r="AH51" s="115">
        <v>650</v>
      </c>
      <c r="AI51" s="117" t="s">
        <v>128</v>
      </c>
      <c r="AJ51" s="115" t="s">
        <v>129</v>
      </c>
      <c r="AK51" s="73">
        <v>2538</v>
      </c>
      <c r="AL51" s="116">
        <f t="shared" si="5"/>
        <v>758862000</v>
      </c>
      <c r="AM51" s="116">
        <v>156</v>
      </c>
      <c r="AN51" s="116">
        <v>43964339</v>
      </c>
      <c r="AO51" s="116">
        <v>613</v>
      </c>
      <c r="AP51" s="116">
        <v>175562303</v>
      </c>
      <c r="AQ51" s="116">
        <f t="shared" si="12"/>
        <v>1374.4</v>
      </c>
      <c r="AR51" s="116">
        <f t="shared" si="13"/>
        <v>378069952</v>
      </c>
      <c r="AS51" s="118">
        <v>0.54152876280535855</v>
      </c>
    </row>
    <row r="52" spans="1:45" s="102" customFormat="1" x14ac:dyDescent="0.3">
      <c r="A52" s="101" t="str">
        <f t="shared" si="1"/>
        <v>DWDJ9G056CRS</v>
      </c>
      <c r="B52" s="126" t="s">
        <v>539</v>
      </c>
      <c r="C52" s="98" t="str">
        <f t="shared" si="9"/>
        <v>DJ9G0</v>
      </c>
      <c r="D52" s="98" t="s">
        <v>55</v>
      </c>
      <c r="E52" s="98" t="str">
        <f t="shared" si="10"/>
        <v>W</v>
      </c>
      <c r="F52" s="98" t="str">
        <f t="shared" si="11"/>
        <v>DJ</v>
      </c>
      <c r="G52" s="98" t="s">
        <v>56</v>
      </c>
      <c r="H52" s="115" t="s">
        <v>540</v>
      </c>
      <c r="I52" s="98" t="s">
        <v>79</v>
      </c>
      <c r="J52" s="115">
        <f t="shared" si="8"/>
        <v>1</v>
      </c>
      <c r="K52" s="115">
        <v>1</v>
      </c>
      <c r="L52" s="116">
        <v>299000</v>
      </c>
      <c r="M52" s="78" t="s">
        <v>509</v>
      </c>
      <c r="N52" s="98" t="s">
        <v>541</v>
      </c>
      <c r="O52" s="98" t="s">
        <v>485</v>
      </c>
      <c r="P52" s="98">
        <v>100</v>
      </c>
      <c r="Q52" s="32" t="s">
        <v>219</v>
      </c>
      <c r="R52" s="98" t="s">
        <v>220</v>
      </c>
      <c r="S52" s="32" t="s">
        <v>221</v>
      </c>
      <c r="T52" s="98" t="s">
        <v>122</v>
      </c>
      <c r="U52" s="98" t="s">
        <v>332</v>
      </c>
      <c r="V52" s="98" t="s">
        <v>66</v>
      </c>
      <c r="W52" s="98"/>
      <c r="X52" s="78" t="s">
        <v>67</v>
      </c>
      <c r="Y52" s="98" t="s">
        <v>68</v>
      </c>
      <c r="Z52" s="32" t="s">
        <v>69</v>
      </c>
      <c r="AA52" s="32" t="s">
        <v>341</v>
      </c>
      <c r="AB52" s="78" t="s">
        <v>71</v>
      </c>
      <c r="AC52" s="98" t="s">
        <v>62</v>
      </c>
      <c r="AD52" s="98" t="s">
        <v>72</v>
      </c>
      <c r="AE52" s="65" t="s">
        <v>137</v>
      </c>
      <c r="AF52" s="39" t="s">
        <v>158</v>
      </c>
      <c r="AG52" s="98" t="s">
        <v>127</v>
      </c>
      <c r="AH52" s="115">
        <v>650</v>
      </c>
      <c r="AI52" s="117" t="s">
        <v>128</v>
      </c>
      <c r="AJ52" s="115" t="s">
        <v>129</v>
      </c>
      <c r="AK52" s="73">
        <v>1499</v>
      </c>
      <c r="AL52" s="116">
        <f t="shared" si="5"/>
        <v>448201000</v>
      </c>
      <c r="AM52" s="116">
        <v>69</v>
      </c>
      <c r="AN52" s="116">
        <v>19130081</v>
      </c>
      <c r="AO52" s="116">
        <v>335</v>
      </c>
      <c r="AP52" s="116">
        <v>95405019</v>
      </c>
      <c r="AQ52" s="116">
        <f t="shared" si="12"/>
        <v>784.7</v>
      </c>
      <c r="AR52" s="116">
        <f t="shared" si="13"/>
        <v>215855276</v>
      </c>
      <c r="AS52" s="118">
        <v>0.52348232154769847</v>
      </c>
    </row>
    <row r="53" spans="1:45" s="102" customFormat="1" x14ac:dyDescent="0.3">
      <c r="A53" s="101" t="str">
        <f t="shared" si="1"/>
        <v>DWDJ9G056BRN</v>
      </c>
      <c r="B53" s="126" t="s">
        <v>539</v>
      </c>
      <c r="C53" s="98" t="str">
        <f t="shared" si="9"/>
        <v>DJ9G0</v>
      </c>
      <c r="D53" s="98" t="s">
        <v>55</v>
      </c>
      <c r="E53" s="98" t="str">
        <f t="shared" si="10"/>
        <v>W</v>
      </c>
      <c r="F53" s="98" t="str">
        <f t="shared" si="11"/>
        <v>DJ</v>
      </c>
      <c r="G53" s="98" t="s">
        <v>56</v>
      </c>
      <c r="H53" s="115" t="s">
        <v>540</v>
      </c>
      <c r="I53" s="98" t="s">
        <v>149</v>
      </c>
      <c r="J53" s="115" t="str">
        <f t="shared" si="8"/>
        <v/>
      </c>
      <c r="K53" s="115">
        <v>1</v>
      </c>
      <c r="L53" s="116">
        <v>299000</v>
      </c>
      <c r="M53" s="78" t="s">
        <v>167</v>
      </c>
      <c r="N53" s="98" t="s">
        <v>168</v>
      </c>
      <c r="O53" s="98" t="s">
        <v>532</v>
      </c>
      <c r="P53" s="98">
        <v>100</v>
      </c>
      <c r="Q53" s="32" t="s">
        <v>119</v>
      </c>
      <c r="R53" s="98" t="s">
        <v>169</v>
      </c>
      <c r="S53" s="32" t="s">
        <v>152</v>
      </c>
      <c r="T53" s="98" t="s">
        <v>65</v>
      </c>
      <c r="U53" s="98"/>
      <c r="V53" s="98"/>
      <c r="W53" s="98"/>
      <c r="X53" s="78" t="s">
        <v>67</v>
      </c>
      <c r="Y53" s="98" t="s">
        <v>68</v>
      </c>
      <c r="Z53" s="32" t="s">
        <v>69</v>
      </c>
      <c r="AA53" s="32" t="s">
        <v>70</v>
      </c>
      <c r="AB53" s="78" t="s">
        <v>71</v>
      </c>
      <c r="AC53" s="98" t="s">
        <v>62</v>
      </c>
      <c r="AD53" s="98" t="s">
        <v>72</v>
      </c>
      <c r="AE53" s="65" t="s">
        <v>137</v>
      </c>
      <c r="AF53" s="39" t="s">
        <v>93</v>
      </c>
      <c r="AG53" s="98" t="s">
        <v>127</v>
      </c>
      <c r="AH53" s="115">
        <v>650</v>
      </c>
      <c r="AI53" s="117" t="s">
        <v>128</v>
      </c>
      <c r="AJ53" s="115" t="s">
        <v>129</v>
      </c>
      <c r="AK53" s="73">
        <v>1957</v>
      </c>
      <c r="AL53" s="116">
        <f t="shared" si="5"/>
        <v>585143000</v>
      </c>
      <c r="AM53" s="116">
        <v>166</v>
      </c>
      <c r="AN53" s="116">
        <v>46731517</v>
      </c>
      <c r="AO53" s="116">
        <v>886</v>
      </c>
      <c r="AP53" s="116">
        <v>254613119</v>
      </c>
      <c r="AQ53" s="116">
        <f t="shared" si="12"/>
        <v>1473.1000000000001</v>
      </c>
      <c r="AR53" s="116">
        <f t="shared" si="13"/>
        <v>405220348</v>
      </c>
      <c r="AS53" s="118">
        <v>0.75273377618804294</v>
      </c>
    </row>
    <row r="54" spans="1:45" s="102" customFormat="1" x14ac:dyDescent="0.3">
      <c r="A54" s="101" t="str">
        <f t="shared" si="1"/>
        <v>DWDJ9G056TQN</v>
      </c>
      <c r="B54" s="126" t="s">
        <v>539</v>
      </c>
      <c r="C54" s="98" t="str">
        <f t="shared" si="9"/>
        <v>DJ9G0</v>
      </c>
      <c r="D54" s="98" t="s">
        <v>55</v>
      </c>
      <c r="E54" s="98" t="str">
        <f t="shared" si="10"/>
        <v>W</v>
      </c>
      <c r="F54" s="98" t="str">
        <f t="shared" si="11"/>
        <v>DJ</v>
      </c>
      <c r="G54" s="98" t="s">
        <v>56</v>
      </c>
      <c r="H54" s="115" t="s">
        <v>540</v>
      </c>
      <c r="I54" s="98" t="s">
        <v>542</v>
      </c>
      <c r="J54" s="115" t="str">
        <f t="shared" si="8"/>
        <v/>
      </c>
      <c r="K54" s="115">
        <v>1</v>
      </c>
      <c r="L54" s="116">
        <v>299000</v>
      </c>
      <c r="M54" s="78" t="s">
        <v>167</v>
      </c>
      <c r="N54" s="98" t="s">
        <v>168</v>
      </c>
      <c r="O54" s="98" t="s">
        <v>532</v>
      </c>
      <c r="P54" s="98">
        <v>100</v>
      </c>
      <c r="Q54" s="32" t="s">
        <v>119</v>
      </c>
      <c r="R54" s="98" t="s">
        <v>169</v>
      </c>
      <c r="S54" s="32" t="s">
        <v>152</v>
      </c>
      <c r="T54" s="98" t="s">
        <v>65</v>
      </c>
      <c r="U54" s="98"/>
      <c r="V54" s="98"/>
      <c r="W54" s="98"/>
      <c r="X54" s="78" t="s">
        <v>67</v>
      </c>
      <c r="Y54" s="98" t="s">
        <v>68</v>
      </c>
      <c r="Z54" s="32" t="s">
        <v>69</v>
      </c>
      <c r="AA54" s="32" t="s">
        <v>70</v>
      </c>
      <c r="AB54" s="78" t="s">
        <v>71</v>
      </c>
      <c r="AC54" s="98" t="s">
        <v>62</v>
      </c>
      <c r="AD54" s="98" t="s">
        <v>72</v>
      </c>
      <c r="AE54" s="65" t="s">
        <v>137</v>
      </c>
      <c r="AF54" s="39" t="s">
        <v>93</v>
      </c>
      <c r="AG54" s="98" t="s">
        <v>127</v>
      </c>
      <c r="AH54" s="115">
        <v>650</v>
      </c>
      <c r="AI54" s="117" t="s">
        <v>128</v>
      </c>
      <c r="AJ54" s="115" t="s">
        <v>129</v>
      </c>
      <c r="AK54" s="73">
        <v>1890</v>
      </c>
      <c r="AL54" s="116">
        <f t="shared" si="5"/>
        <v>565110000</v>
      </c>
      <c r="AM54" s="116">
        <v>64</v>
      </c>
      <c r="AN54" s="116">
        <v>18047574</v>
      </c>
      <c r="AO54" s="116">
        <v>421</v>
      </c>
      <c r="AP54" s="116">
        <v>121237987</v>
      </c>
      <c r="AQ54" s="116">
        <f t="shared" si="12"/>
        <v>988</v>
      </c>
      <c r="AR54" s="116">
        <f t="shared" si="13"/>
        <v>271779040</v>
      </c>
      <c r="AS54" s="118">
        <v>0.52275132275132274</v>
      </c>
    </row>
    <row r="55" spans="1:45" s="102" customFormat="1" x14ac:dyDescent="0.3">
      <c r="A55" s="101" t="str">
        <f t="shared" si="1"/>
        <v>DWDJ9G056BKS</v>
      </c>
      <c r="B55" s="126" t="s">
        <v>543</v>
      </c>
      <c r="C55" s="98" t="str">
        <f t="shared" si="9"/>
        <v>DJ9G0</v>
      </c>
      <c r="D55" s="98" t="s">
        <v>55</v>
      </c>
      <c r="E55" s="98" t="str">
        <f t="shared" si="10"/>
        <v>W</v>
      </c>
      <c r="F55" s="98" t="str">
        <f t="shared" si="11"/>
        <v>DJ</v>
      </c>
      <c r="G55" s="98" t="s">
        <v>56</v>
      </c>
      <c r="H55" s="115" t="s">
        <v>540</v>
      </c>
      <c r="I55" s="98" t="s">
        <v>78</v>
      </c>
      <c r="J55" s="115" t="str">
        <f t="shared" si="8"/>
        <v/>
      </c>
      <c r="K55" s="115">
        <v>1</v>
      </c>
      <c r="L55" s="116">
        <v>299000</v>
      </c>
      <c r="M55" s="78" t="s">
        <v>509</v>
      </c>
      <c r="N55" s="98" t="s">
        <v>541</v>
      </c>
      <c r="O55" s="98" t="s">
        <v>485</v>
      </c>
      <c r="P55" s="98">
        <v>100</v>
      </c>
      <c r="Q55" s="32" t="s">
        <v>219</v>
      </c>
      <c r="R55" s="98" t="s">
        <v>220</v>
      </c>
      <c r="S55" s="32" t="s">
        <v>221</v>
      </c>
      <c r="T55" s="98" t="s">
        <v>122</v>
      </c>
      <c r="U55" s="98" t="s">
        <v>332</v>
      </c>
      <c r="V55" s="98" t="s">
        <v>66</v>
      </c>
      <c r="W55" s="98"/>
      <c r="X55" s="78" t="s">
        <v>67</v>
      </c>
      <c r="Y55" s="98" t="s">
        <v>68</v>
      </c>
      <c r="Z55" s="32" t="s">
        <v>69</v>
      </c>
      <c r="AA55" s="32" t="s">
        <v>341</v>
      </c>
      <c r="AB55" s="78" t="s">
        <v>71</v>
      </c>
      <c r="AC55" s="98" t="s">
        <v>62</v>
      </c>
      <c r="AD55" s="98" t="s">
        <v>72</v>
      </c>
      <c r="AE55" s="65" t="s">
        <v>137</v>
      </c>
      <c r="AF55" s="39" t="s">
        <v>158</v>
      </c>
      <c r="AG55" s="98" t="s">
        <v>127</v>
      </c>
      <c r="AH55" s="115">
        <v>650</v>
      </c>
      <c r="AI55" s="117" t="s">
        <v>128</v>
      </c>
      <c r="AJ55" s="115" t="s">
        <v>129</v>
      </c>
      <c r="AK55" s="73">
        <v>3816</v>
      </c>
      <c r="AL55" s="116">
        <f t="shared" si="5"/>
        <v>1140984000</v>
      </c>
      <c r="AM55" s="116">
        <v>169</v>
      </c>
      <c r="AN55" s="116">
        <v>47378795</v>
      </c>
      <c r="AO55" s="116">
        <v>687</v>
      </c>
      <c r="AP55" s="116">
        <v>197349018</v>
      </c>
      <c r="AQ55" s="116">
        <f t="shared" si="12"/>
        <v>1831.8</v>
      </c>
      <c r="AR55" s="116">
        <f t="shared" si="13"/>
        <v>503891544</v>
      </c>
      <c r="AS55" s="118">
        <v>0.48003144654088048</v>
      </c>
    </row>
    <row r="56" spans="1:45" s="102" customFormat="1" x14ac:dyDescent="0.3">
      <c r="A56" s="101" t="str">
        <f t="shared" si="1"/>
        <v>DWDJ9G056BES</v>
      </c>
      <c r="B56" s="126" t="s">
        <v>539</v>
      </c>
      <c r="C56" s="98" t="str">
        <f t="shared" si="9"/>
        <v>DJ9G0</v>
      </c>
      <c r="D56" s="98" t="s">
        <v>55</v>
      </c>
      <c r="E56" s="98" t="str">
        <f t="shared" si="10"/>
        <v>W</v>
      </c>
      <c r="F56" s="98" t="str">
        <f t="shared" si="11"/>
        <v>DJ</v>
      </c>
      <c r="G56" s="98" t="s">
        <v>56</v>
      </c>
      <c r="H56" s="115" t="s">
        <v>540</v>
      </c>
      <c r="I56" s="98" t="s">
        <v>385</v>
      </c>
      <c r="J56" s="115" t="str">
        <f t="shared" si="8"/>
        <v/>
      </c>
      <c r="K56" s="115">
        <v>1</v>
      </c>
      <c r="L56" s="116">
        <v>299000</v>
      </c>
      <c r="M56" s="78" t="s">
        <v>477</v>
      </c>
      <c r="N56" s="98" t="s">
        <v>544</v>
      </c>
      <c r="O56" s="98" t="s">
        <v>143</v>
      </c>
      <c r="P56" s="98">
        <v>100</v>
      </c>
      <c r="Q56" s="32" t="s">
        <v>62</v>
      </c>
      <c r="R56" s="98" t="s">
        <v>545</v>
      </c>
      <c r="S56" s="32" t="s">
        <v>546</v>
      </c>
      <c r="T56" s="98" t="s">
        <v>65</v>
      </c>
      <c r="U56" s="98"/>
      <c r="V56" s="98" t="s">
        <v>66</v>
      </c>
      <c r="W56" s="98"/>
      <c r="X56" s="78" t="s">
        <v>67</v>
      </c>
      <c r="Y56" s="98" t="s">
        <v>340</v>
      </c>
      <c r="Z56" s="32" t="s">
        <v>441</v>
      </c>
      <c r="AA56" s="32" t="s">
        <v>353</v>
      </c>
      <c r="AB56" s="78" t="s">
        <v>71</v>
      </c>
      <c r="AC56" s="98" t="s">
        <v>62</v>
      </c>
      <c r="AD56" s="98" t="s">
        <v>72</v>
      </c>
      <c r="AE56" s="65" t="s">
        <v>137</v>
      </c>
      <c r="AF56" s="39" t="s">
        <v>158</v>
      </c>
      <c r="AG56" s="98" t="s">
        <v>127</v>
      </c>
      <c r="AH56" s="115">
        <v>650</v>
      </c>
      <c r="AI56" s="117" t="s">
        <v>128</v>
      </c>
      <c r="AJ56" s="115" t="s">
        <v>129</v>
      </c>
      <c r="AK56" s="73">
        <v>965</v>
      </c>
      <c r="AL56" s="116">
        <f t="shared" si="5"/>
        <v>288535000</v>
      </c>
      <c r="AM56" s="116">
        <v>17</v>
      </c>
      <c r="AN56" s="116">
        <v>4798984</v>
      </c>
      <c r="AO56" s="116">
        <v>113</v>
      </c>
      <c r="AP56" s="116">
        <v>32520663</v>
      </c>
      <c r="AQ56" s="116">
        <f t="shared" si="12"/>
        <v>402.5</v>
      </c>
      <c r="AR56" s="116">
        <f t="shared" si="13"/>
        <v>110719700</v>
      </c>
      <c r="AS56" s="118">
        <v>0.41709844559585491</v>
      </c>
    </row>
    <row r="57" spans="1:45" s="102" customFormat="1" x14ac:dyDescent="0.3">
      <c r="A57" s="101" t="str">
        <f t="shared" si="1"/>
        <v>DWDJ9G056KAL</v>
      </c>
      <c r="B57" s="126" t="s">
        <v>539</v>
      </c>
      <c r="C57" s="98" t="str">
        <f t="shared" si="9"/>
        <v>DJ9G0</v>
      </c>
      <c r="D57" s="98" t="s">
        <v>55</v>
      </c>
      <c r="E57" s="98" t="str">
        <f t="shared" si="10"/>
        <v>W</v>
      </c>
      <c r="F57" s="98" t="str">
        <f t="shared" si="11"/>
        <v>DJ</v>
      </c>
      <c r="G57" s="98" t="s">
        <v>56</v>
      </c>
      <c r="H57" s="115" t="s">
        <v>540</v>
      </c>
      <c r="I57" s="98" t="s">
        <v>547</v>
      </c>
      <c r="J57" s="115" t="str">
        <f t="shared" si="8"/>
        <v/>
      </c>
      <c r="K57" s="115">
        <v>1</v>
      </c>
      <c r="L57" s="116">
        <v>299000</v>
      </c>
      <c r="M57" s="78" t="s">
        <v>477</v>
      </c>
      <c r="N57" s="98" t="s">
        <v>544</v>
      </c>
      <c r="O57" s="98" t="s">
        <v>143</v>
      </c>
      <c r="P57" s="98">
        <v>100</v>
      </c>
      <c r="Q57" s="32" t="s">
        <v>62</v>
      </c>
      <c r="R57" s="98" t="s">
        <v>545</v>
      </c>
      <c r="S57" s="32" t="s">
        <v>546</v>
      </c>
      <c r="T57" s="98" t="s">
        <v>65</v>
      </c>
      <c r="U57" s="98"/>
      <c r="V57" s="98" t="s">
        <v>66</v>
      </c>
      <c r="W57" s="98"/>
      <c r="X57" s="78" t="s">
        <v>67</v>
      </c>
      <c r="Y57" s="98" t="s">
        <v>340</v>
      </c>
      <c r="Z57" s="32" t="s">
        <v>441</v>
      </c>
      <c r="AA57" s="32" t="s">
        <v>353</v>
      </c>
      <c r="AB57" s="78" t="s">
        <v>71</v>
      </c>
      <c r="AC57" s="98" t="s">
        <v>62</v>
      </c>
      <c r="AD57" s="98" t="s">
        <v>72</v>
      </c>
      <c r="AE57" s="65" t="s">
        <v>137</v>
      </c>
      <c r="AF57" s="39" t="s">
        <v>158</v>
      </c>
      <c r="AG57" s="98" t="s">
        <v>127</v>
      </c>
      <c r="AH57" s="115">
        <v>650</v>
      </c>
      <c r="AI57" s="117" t="s">
        <v>128</v>
      </c>
      <c r="AJ57" s="115" t="s">
        <v>129</v>
      </c>
      <c r="AK57" s="73">
        <v>997</v>
      </c>
      <c r="AL57" s="116">
        <f t="shared" si="5"/>
        <v>298103000</v>
      </c>
      <c r="AM57" s="116">
        <v>9</v>
      </c>
      <c r="AN57" s="116">
        <v>2573155</v>
      </c>
      <c r="AO57" s="116">
        <v>55</v>
      </c>
      <c r="AP57" s="116">
        <v>15905262</v>
      </c>
      <c r="AQ57" s="116">
        <f t="shared" si="12"/>
        <v>354.09999999999997</v>
      </c>
      <c r="AR57" s="116">
        <f t="shared" si="13"/>
        <v>97405827.999999985</v>
      </c>
      <c r="AS57" s="118">
        <v>0.35516549648946838</v>
      </c>
    </row>
    <row r="58" spans="1:45" s="102" customFormat="1" x14ac:dyDescent="0.3">
      <c r="A58" s="101" t="str">
        <f t="shared" si="1"/>
        <v>DWDJ9G056BKN</v>
      </c>
      <c r="B58" s="126" t="s">
        <v>539</v>
      </c>
      <c r="C58" s="98" t="str">
        <f t="shared" si="9"/>
        <v>DJ9G0</v>
      </c>
      <c r="D58" s="98" t="s">
        <v>55</v>
      </c>
      <c r="E58" s="98" t="str">
        <f t="shared" si="10"/>
        <v>W</v>
      </c>
      <c r="F58" s="98" t="str">
        <f t="shared" si="11"/>
        <v>DJ</v>
      </c>
      <c r="G58" s="98" t="s">
        <v>56</v>
      </c>
      <c r="H58" s="115" t="s">
        <v>540</v>
      </c>
      <c r="I58" s="98" t="s">
        <v>140</v>
      </c>
      <c r="J58" s="115" t="str">
        <f t="shared" si="8"/>
        <v/>
      </c>
      <c r="K58" s="115">
        <v>1</v>
      </c>
      <c r="L58" s="116">
        <v>299000</v>
      </c>
      <c r="M58" s="78" t="s">
        <v>167</v>
      </c>
      <c r="N58" s="98" t="s">
        <v>168</v>
      </c>
      <c r="O58" s="98" t="s">
        <v>532</v>
      </c>
      <c r="P58" s="98">
        <v>100</v>
      </c>
      <c r="Q58" s="32" t="s">
        <v>119</v>
      </c>
      <c r="R58" s="98" t="s">
        <v>169</v>
      </c>
      <c r="S58" s="32" t="s">
        <v>152</v>
      </c>
      <c r="T58" s="98" t="s">
        <v>65</v>
      </c>
      <c r="U58" s="98"/>
      <c r="V58" s="98"/>
      <c r="W58" s="98"/>
      <c r="X58" s="78" t="s">
        <v>67</v>
      </c>
      <c r="Y58" s="98" t="s">
        <v>68</v>
      </c>
      <c r="Z58" s="32" t="s">
        <v>69</v>
      </c>
      <c r="AA58" s="32" t="s">
        <v>70</v>
      </c>
      <c r="AB58" s="78" t="s">
        <v>71</v>
      </c>
      <c r="AC58" s="98" t="s">
        <v>62</v>
      </c>
      <c r="AD58" s="98" t="s">
        <v>72</v>
      </c>
      <c r="AE58" s="65" t="s">
        <v>137</v>
      </c>
      <c r="AF58" s="39" t="s">
        <v>93</v>
      </c>
      <c r="AG58" s="98" t="s">
        <v>127</v>
      </c>
      <c r="AH58" s="115">
        <v>650</v>
      </c>
      <c r="AI58" s="117" t="s">
        <v>128</v>
      </c>
      <c r="AJ58" s="115" t="s">
        <v>129</v>
      </c>
      <c r="AK58" s="73">
        <v>7780</v>
      </c>
      <c r="AL58" s="116">
        <f t="shared" si="5"/>
        <v>2326220000</v>
      </c>
      <c r="AM58" s="116">
        <v>782</v>
      </c>
      <c r="AN58" s="116">
        <v>219965793</v>
      </c>
      <c r="AO58" s="116">
        <v>3764</v>
      </c>
      <c r="AP58" s="116">
        <v>1081370438</v>
      </c>
      <c r="AQ58" s="116">
        <f t="shared" si="12"/>
        <v>6098</v>
      </c>
      <c r="AR58" s="116">
        <f t="shared" si="13"/>
        <v>1677437840</v>
      </c>
      <c r="AS58" s="118">
        <v>0.78380462724935729</v>
      </c>
    </row>
    <row r="59" spans="1:45" x14ac:dyDescent="0.3">
      <c r="A59" s="1" t="str">
        <f t="shared" si="1"/>
        <v>DWDJ96056CRS</v>
      </c>
      <c r="B59" s="126" t="s">
        <v>548</v>
      </c>
      <c r="C59" s="98" t="str">
        <f t="shared" si="9"/>
        <v>DJ960</v>
      </c>
      <c r="D59" s="98" t="s">
        <v>55</v>
      </c>
      <c r="E59" s="98" t="str">
        <f t="shared" si="10"/>
        <v>W</v>
      </c>
      <c r="F59" s="98" t="str">
        <f t="shared" si="11"/>
        <v>DJ</v>
      </c>
      <c r="G59" s="98" t="s">
        <v>56</v>
      </c>
      <c r="H59" s="115" t="s">
        <v>193</v>
      </c>
      <c r="I59" s="98" t="s">
        <v>79</v>
      </c>
      <c r="J59" s="115">
        <f t="shared" si="8"/>
        <v>1</v>
      </c>
      <c r="K59" s="115">
        <v>1</v>
      </c>
      <c r="L59" s="116">
        <v>399000</v>
      </c>
      <c r="M59" s="78" t="s">
        <v>509</v>
      </c>
      <c r="N59" s="98" t="s">
        <v>541</v>
      </c>
      <c r="O59" s="98" t="s">
        <v>485</v>
      </c>
      <c r="P59" s="98">
        <v>100</v>
      </c>
      <c r="Q59" s="32" t="s">
        <v>219</v>
      </c>
      <c r="R59" s="98" t="s">
        <v>220</v>
      </c>
      <c r="S59" s="32" t="s">
        <v>221</v>
      </c>
      <c r="T59" s="98" t="s">
        <v>122</v>
      </c>
      <c r="U59" s="98" t="s">
        <v>332</v>
      </c>
      <c r="V59" s="98" t="s">
        <v>66</v>
      </c>
      <c r="W59" s="98"/>
      <c r="X59" s="78" t="s">
        <v>67</v>
      </c>
      <c r="Y59" s="98" t="s">
        <v>68</v>
      </c>
      <c r="Z59" s="32" t="s">
        <v>69</v>
      </c>
      <c r="AA59" s="32" t="s">
        <v>341</v>
      </c>
      <c r="AB59" s="78" t="s">
        <v>71</v>
      </c>
      <c r="AC59" s="98" t="s">
        <v>62</v>
      </c>
      <c r="AD59" s="98" t="s">
        <v>72</v>
      </c>
      <c r="AE59" s="65" t="s">
        <v>73</v>
      </c>
      <c r="AF59" s="39" t="s">
        <v>549</v>
      </c>
      <c r="AG59" s="98" t="s">
        <v>127</v>
      </c>
      <c r="AH59" s="115">
        <v>650</v>
      </c>
      <c r="AI59" s="117" t="s">
        <v>99</v>
      </c>
      <c r="AJ59" s="115" t="s">
        <v>100</v>
      </c>
      <c r="AK59" s="73">
        <v>601</v>
      </c>
      <c r="AL59" s="116">
        <f t="shared" si="5"/>
        <v>239799000</v>
      </c>
      <c r="AM59" s="116">
        <v>12</v>
      </c>
      <c r="AN59" s="116">
        <v>4552851</v>
      </c>
      <c r="AO59" s="116">
        <v>86</v>
      </c>
      <c r="AP59" s="116">
        <v>33339438</v>
      </c>
      <c r="AQ59" s="116">
        <f t="shared" si="12"/>
        <v>296.34999999999997</v>
      </c>
      <c r="AR59" s="116">
        <f t="shared" si="13"/>
        <v>108784157.99999999</v>
      </c>
      <c r="AS59" s="118">
        <v>0.49309484193011643</v>
      </c>
    </row>
    <row r="60" spans="1:45" x14ac:dyDescent="0.3">
      <c r="A60" s="1" t="str">
        <f t="shared" si="1"/>
        <v>DWDJ96056BKS</v>
      </c>
      <c r="B60" s="126" t="s">
        <v>548</v>
      </c>
      <c r="C60" s="98" t="str">
        <f t="shared" si="9"/>
        <v>DJ960</v>
      </c>
      <c r="D60" s="98" t="s">
        <v>55</v>
      </c>
      <c r="E60" s="98" t="str">
        <f t="shared" si="10"/>
        <v>W</v>
      </c>
      <c r="F60" s="98" t="str">
        <f t="shared" si="11"/>
        <v>DJ</v>
      </c>
      <c r="G60" s="98" t="s">
        <v>56</v>
      </c>
      <c r="H60" s="115" t="s">
        <v>193</v>
      </c>
      <c r="I60" s="98" t="s">
        <v>78</v>
      </c>
      <c r="J60" s="115" t="str">
        <f t="shared" si="8"/>
        <v/>
      </c>
      <c r="K60" s="115">
        <v>1</v>
      </c>
      <c r="L60" s="116">
        <v>399000</v>
      </c>
      <c r="M60" s="78" t="s">
        <v>509</v>
      </c>
      <c r="N60" s="98" t="s">
        <v>541</v>
      </c>
      <c r="O60" s="98" t="s">
        <v>485</v>
      </c>
      <c r="P60" s="98">
        <v>100</v>
      </c>
      <c r="Q60" s="32" t="s">
        <v>219</v>
      </c>
      <c r="R60" s="98" t="s">
        <v>220</v>
      </c>
      <c r="S60" s="32" t="s">
        <v>221</v>
      </c>
      <c r="T60" s="98" t="s">
        <v>122</v>
      </c>
      <c r="U60" s="98" t="s">
        <v>332</v>
      </c>
      <c r="V60" s="98" t="s">
        <v>66</v>
      </c>
      <c r="W60" s="98"/>
      <c r="X60" s="78" t="s">
        <v>67</v>
      </c>
      <c r="Y60" s="98" t="s">
        <v>68</v>
      </c>
      <c r="Z60" s="32" t="s">
        <v>69</v>
      </c>
      <c r="AA60" s="32" t="s">
        <v>341</v>
      </c>
      <c r="AB60" s="78" t="s">
        <v>71</v>
      </c>
      <c r="AC60" s="98" t="s">
        <v>62</v>
      </c>
      <c r="AD60" s="98" t="s">
        <v>72</v>
      </c>
      <c r="AE60" s="65" t="s">
        <v>73</v>
      </c>
      <c r="AF60" s="39" t="s">
        <v>549</v>
      </c>
      <c r="AG60" s="98" t="s">
        <v>127</v>
      </c>
      <c r="AH60" s="115">
        <v>650</v>
      </c>
      <c r="AI60" s="117" t="s">
        <v>99</v>
      </c>
      <c r="AJ60" s="115" t="s">
        <v>100</v>
      </c>
      <c r="AK60" s="73">
        <v>795</v>
      </c>
      <c r="AL60" s="116">
        <f t="shared" si="5"/>
        <v>317205000</v>
      </c>
      <c r="AM60" s="116">
        <v>72</v>
      </c>
      <c r="AN60" s="116">
        <v>26853268</v>
      </c>
      <c r="AO60" s="116">
        <v>344</v>
      </c>
      <c r="AP60" s="116">
        <v>132032983</v>
      </c>
      <c r="AQ60" s="116">
        <f t="shared" si="12"/>
        <v>622.25</v>
      </c>
      <c r="AR60" s="116">
        <f t="shared" si="13"/>
        <v>228415530</v>
      </c>
      <c r="AS60" s="118">
        <v>0.78270440251572326</v>
      </c>
    </row>
    <row r="61" spans="1:45" s="102" customFormat="1" x14ac:dyDescent="0.3">
      <c r="A61" s="101" t="str">
        <f t="shared" si="1"/>
        <v>DWDJ99056BES</v>
      </c>
      <c r="B61" s="126" t="s">
        <v>550</v>
      </c>
      <c r="C61" s="98" t="str">
        <f t="shared" si="9"/>
        <v>DJ990</v>
      </c>
      <c r="D61" s="98" t="s">
        <v>55</v>
      </c>
      <c r="E61" s="98" t="str">
        <f t="shared" si="10"/>
        <v>W</v>
      </c>
      <c r="F61" s="98" t="str">
        <f t="shared" si="11"/>
        <v>DJ</v>
      </c>
      <c r="G61" s="98" t="s">
        <v>56</v>
      </c>
      <c r="H61" s="115" t="s">
        <v>211</v>
      </c>
      <c r="I61" s="98" t="s">
        <v>385</v>
      </c>
      <c r="J61" s="115">
        <f t="shared" si="8"/>
        <v>1</v>
      </c>
      <c r="K61" s="115">
        <v>1</v>
      </c>
      <c r="L61" s="116">
        <v>399000</v>
      </c>
      <c r="M61" s="78" t="s">
        <v>202</v>
      </c>
      <c r="N61" s="98" t="s">
        <v>203</v>
      </c>
      <c r="O61" s="98" t="s">
        <v>485</v>
      </c>
      <c r="P61" s="98">
        <v>100</v>
      </c>
      <c r="Q61" s="32" t="s">
        <v>204</v>
      </c>
      <c r="R61" s="98" t="s">
        <v>205</v>
      </c>
      <c r="S61" s="32" t="s">
        <v>551</v>
      </c>
      <c r="T61" s="98" t="s">
        <v>122</v>
      </c>
      <c r="U61" s="98" t="s">
        <v>207</v>
      </c>
      <c r="V61" s="98" t="s">
        <v>66</v>
      </c>
      <c r="W61" s="98"/>
      <c r="X61" s="78" t="s">
        <v>67</v>
      </c>
      <c r="Y61" s="98" t="s">
        <v>68</v>
      </c>
      <c r="Z61" s="32" t="s">
        <v>125</v>
      </c>
      <c r="AA61" s="32" t="s">
        <v>90</v>
      </c>
      <c r="AB61" s="78" t="s">
        <v>71</v>
      </c>
      <c r="AC61" s="98" t="s">
        <v>85</v>
      </c>
      <c r="AD61" s="98" t="s">
        <v>208</v>
      </c>
      <c r="AE61" s="65" t="s">
        <v>73</v>
      </c>
      <c r="AF61" s="39" t="s">
        <v>549</v>
      </c>
      <c r="AG61" s="98" t="s">
        <v>127</v>
      </c>
      <c r="AH61" s="115">
        <v>650</v>
      </c>
      <c r="AI61" s="117" t="s">
        <v>128</v>
      </c>
      <c r="AJ61" s="115" t="s">
        <v>94</v>
      </c>
      <c r="AK61" s="73">
        <v>3467</v>
      </c>
      <c r="AL61" s="116">
        <f t="shared" si="5"/>
        <v>1383333000</v>
      </c>
      <c r="AM61" s="116">
        <v>425</v>
      </c>
      <c r="AN61" s="116">
        <v>160228996</v>
      </c>
      <c r="AO61" s="116">
        <v>1613</v>
      </c>
      <c r="AP61" s="116">
        <v>621829687</v>
      </c>
      <c r="AQ61" s="116">
        <f t="shared" si="12"/>
        <v>2653.1</v>
      </c>
      <c r="AR61" s="116">
        <f t="shared" si="13"/>
        <v>973899948</v>
      </c>
      <c r="AS61" s="118">
        <v>0.76524372656475337</v>
      </c>
    </row>
    <row r="62" spans="1:45" s="102" customFormat="1" x14ac:dyDescent="0.3">
      <c r="A62" s="101" t="str">
        <f t="shared" si="1"/>
        <v>DWDJ99056BKS</v>
      </c>
      <c r="B62" s="126" t="s">
        <v>550</v>
      </c>
      <c r="C62" s="98" t="str">
        <f t="shared" si="9"/>
        <v>DJ990</v>
      </c>
      <c r="D62" s="98" t="s">
        <v>55</v>
      </c>
      <c r="E62" s="98" t="str">
        <f t="shared" si="10"/>
        <v>W</v>
      </c>
      <c r="F62" s="98" t="str">
        <f t="shared" si="11"/>
        <v>DJ</v>
      </c>
      <c r="G62" s="98" t="s">
        <v>56</v>
      </c>
      <c r="H62" s="115" t="s">
        <v>211</v>
      </c>
      <c r="I62" s="98" t="s">
        <v>78</v>
      </c>
      <c r="J62" s="115" t="str">
        <f t="shared" si="8"/>
        <v/>
      </c>
      <c r="K62" s="115">
        <v>1</v>
      </c>
      <c r="L62" s="116">
        <v>399000</v>
      </c>
      <c r="M62" s="78" t="s">
        <v>202</v>
      </c>
      <c r="N62" s="98" t="s">
        <v>203</v>
      </c>
      <c r="O62" s="98" t="s">
        <v>485</v>
      </c>
      <c r="P62" s="98">
        <v>100</v>
      </c>
      <c r="Q62" s="32" t="s">
        <v>204</v>
      </c>
      <c r="R62" s="98" t="s">
        <v>205</v>
      </c>
      <c r="S62" s="32" t="s">
        <v>551</v>
      </c>
      <c r="T62" s="98" t="s">
        <v>122</v>
      </c>
      <c r="U62" s="98" t="s">
        <v>207</v>
      </c>
      <c r="V62" s="98" t="s">
        <v>66</v>
      </c>
      <c r="W62" s="98"/>
      <c r="X62" s="78" t="s">
        <v>67</v>
      </c>
      <c r="Y62" s="98" t="s">
        <v>68</v>
      </c>
      <c r="Z62" s="32" t="s">
        <v>125</v>
      </c>
      <c r="AA62" s="32" t="s">
        <v>90</v>
      </c>
      <c r="AB62" s="78" t="s">
        <v>71</v>
      </c>
      <c r="AC62" s="98" t="s">
        <v>85</v>
      </c>
      <c r="AD62" s="98" t="s">
        <v>208</v>
      </c>
      <c r="AE62" s="65" t="s">
        <v>73</v>
      </c>
      <c r="AF62" s="39" t="s">
        <v>549</v>
      </c>
      <c r="AG62" s="98" t="s">
        <v>127</v>
      </c>
      <c r="AH62" s="115">
        <v>650</v>
      </c>
      <c r="AI62" s="117" t="s">
        <v>128</v>
      </c>
      <c r="AJ62" s="115" t="s">
        <v>94</v>
      </c>
      <c r="AK62" s="73">
        <v>4943</v>
      </c>
      <c r="AL62" s="116">
        <f t="shared" si="5"/>
        <v>1972257000</v>
      </c>
      <c r="AM62" s="116">
        <v>552</v>
      </c>
      <c r="AN62" s="116">
        <v>207719727</v>
      </c>
      <c r="AO62" s="116">
        <v>1963</v>
      </c>
      <c r="AP62" s="116">
        <v>755801731</v>
      </c>
      <c r="AQ62" s="116">
        <f t="shared" si="12"/>
        <v>3445.9</v>
      </c>
      <c r="AR62" s="116">
        <f t="shared" si="13"/>
        <v>1264920972</v>
      </c>
      <c r="AS62" s="118">
        <v>0.69712725065749548</v>
      </c>
    </row>
    <row r="63" spans="1:45" s="102" customFormat="1" x14ac:dyDescent="0.3">
      <c r="A63" s="101" t="str">
        <f t="shared" si="1"/>
        <v>DWDJ99056BGD</v>
      </c>
      <c r="B63" s="126" t="s">
        <v>550</v>
      </c>
      <c r="C63" s="98" t="str">
        <f t="shared" si="9"/>
        <v>DJ990</v>
      </c>
      <c r="D63" s="98" t="s">
        <v>55</v>
      </c>
      <c r="E63" s="98" t="str">
        <f t="shared" si="10"/>
        <v>W</v>
      </c>
      <c r="F63" s="98" t="str">
        <f t="shared" si="11"/>
        <v>DJ</v>
      </c>
      <c r="G63" s="98" t="s">
        <v>56</v>
      </c>
      <c r="H63" s="115" t="s">
        <v>211</v>
      </c>
      <c r="I63" s="98" t="s">
        <v>260</v>
      </c>
      <c r="J63" s="115" t="str">
        <f t="shared" si="8"/>
        <v/>
      </c>
      <c r="K63" s="115">
        <v>1</v>
      </c>
      <c r="L63" s="116">
        <v>399000</v>
      </c>
      <c r="M63" s="78" t="s">
        <v>202</v>
      </c>
      <c r="N63" s="98" t="s">
        <v>203</v>
      </c>
      <c r="O63" s="98" t="s">
        <v>485</v>
      </c>
      <c r="P63" s="98">
        <v>100</v>
      </c>
      <c r="Q63" s="32" t="s">
        <v>204</v>
      </c>
      <c r="R63" s="98" t="s">
        <v>205</v>
      </c>
      <c r="S63" s="32" t="s">
        <v>551</v>
      </c>
      <c r="T63" s="98" t="s">
        <v>122</v>
      </c>
      <c r="U63" s="98" t="s">
        <v>207</v>
      </c>
      <c r="V63" s="98" t="s">
        <v>66</v>
      </c>
      <c r="W63" s="98"/>
      <c r="X63" s="78" t="s">
        <v>67</v>
      </c>
      <c r="Y63" s="98" t="s">
        <v>68</v>
      </c>
      <c r="Z63" s="32" t="s">
        <v>125</v>
      </c>
      <c r="AA63" s="32" t="s">
        <v>90</v>
      </c>
      <c r="AB63" s="78" t="s">
        <v>71</v>
      </c>
      <c r="AC63" s="98" t="s">
        <v>85</v>
      </c>
      <c r="AD63" s="98" t="s">
        <v>208</v>
      </c>
      <c r="AE63" s="65" t="s">
        <v>73</v>
      </c>
      <c r="AF63" s="39" t="s">
        <v>549</v>
      </c>
      <c r="AG63" s="98" t="s">
        <v>127</v>
      </c>
      <c r="AH63" s="115">
        <v>650</v>
      </c>
      <c r="AI63" s="117" t="s">
        <v>128</v>
      </c>
      <c r="AJ63" s="115" t="s">
        <v>94</v>
      </c>
      <c r="AK63" s="73">
        <v>951</v>
      </c>
      <c r="AL63" s="116">
        <f t="shared" si="5"/>
        <v>379449000</v>
      </c>
      <c r="AM63" s="116">
        <v>135</v>
      </c>
      <c r="AN63" s="116">
        <v>52199498</v>
      </c>
      <c r="AO63" s="116">
        <v>655</v>
      </c>
      <c r="AP63" s="116">
        <v>255003042</v>
      </c>
      <c r="AQ63" s="116">
        <f t="shared" si="12"/>
        <v>940.3</v>
      </c>
      <c r="AR63" s="116">
        <f t="shared" si="13"/>
        <v>345165324</v>
      </c>
      <c r="AS63" s="118">
        <v>0.98874868559411144</v>
      </c>
    </row>
    <row r="64" spans="1:45" s="102" customFormat="1" x14ac:dyDescent="0.3">
      <c r="A64" s="101" t="str">
        <f t="shared" si="1"/>
        <v>DWDJ98056CRS</v>
      </c>
      <c r="B64" s="126" t="s">
        <v>552</v>
      </c>
      <c r="C64" s="98" t="str">
        <f t="shared" si="9"/>
        <v>DJ980</v>
      </c>
      <c r="D64" s="98" t="s">
        <v>55</v>
      </c>
      <c r="E64" s="98" t="str">
        <f t="shared" si="10"/>
        <v>W</v>
      </c>
      <c r="F64" s="98" t="str">
        <f t="shared" si="11"/>
        <v>DJ</v>
      </c>
      <c r="G64" s="98" t="s">
        <v>56</v>
      </c>
      <c r="H64" s="115" t="s">
        <v>201</v>
      </c>
      <c r="I64" s="98" t="s">
        <v>79</v>
      </c>
      <c r="J64" s="115">
        <f t="shared" si="8"/>
        <v>1</v>
      </c>
      <c r="K64" s="115">
        <v>1</v>
      </c>
      <c r="L64" s="116">
        <v>490000</v>
      </c>
      <c r="M64" s="78" t="s">
        <v>202</v>
      </c>
      <c r="N64" s="98" t="s">
        <v>203</v>
      </c>
      <c r="O64" s="98" t="s">
        <v>485</v>
      </c>
      <c r="P64" s="98">
        <v>100</v>
      </c>
      <c r="Q64" s="32" t="s">
        <v>204</v>
      </c>
      <c r="R64" s="98" t="s">
        <v>205</v>
      </c>
      <c r="S64" s="32" t="s">
        <v>551</v>
      </c>
      <c r="T64" s="98" t="s">
        <v>122</v>
      </c>
      <c r="U64" s="98" t="s">
        <v>207</v>
      </c>
      <c r="V64" s="98" t="s">
        <v>66</v>
      </c>
      <c r="W64" s="98"/>
      <c r="X64" s="78" t="s">
        <v>67</v>
      </c>
      <c r="Y64" s="98" t="s">
        <v>68</v>
      </c>
      <c r="Z64" s="32" t="s">
        <v>125</v>
      </c>
      <c r="AA64" s="32" t="s">
        <v>90</v>
      </c>
      <c r="AB64" s="78" t="s">
        <v>71</v>
      </c>
      <c r="AC64" s="98" t="s">
        <v>85</v>
      </c>
      <c r="AD64" s="98" t="s">
        <v>208</v>
      </c>
      <c r="AE64" s="65" t="s">
        <v>73</v>
      </c>
      <c r="AF64" s="39" t="s">
        <v>553</v>
      </c>
      <c r="AG64" s="98" t="s">
        <v>127</v>
      </c>
      <c r="AH64" s="115">
        <v>650</v>
      </c>
      <c r="AI64" s="117" t="s">
        <v>99</v>
      </c>
      <c r="AJ64" s="115" t="s">
        <v>100</v>
      </c>
      <c r="AK64" s="73">
        <v>1468</v>
      </c>
      <c r="AL64" s="116">
        <f t="shared" si="5"/>
        <v>719320000</v>
      </c>
      <c r="AM64" s="116">
        <v>191</v>
      </c>
      <c r="AN64" s="116">
        <v>87644245</v>
      </c>
      <c r="AO64" s="116">
        <v>653</v>
      </c>
      <c r="AP64" s="116">
        <v>306988411</v>
      </c>
      <c r="AQ64" s="116">
        <f t="shared" si="12"/>
        <v>1166.8</v>
      </c>
      <c r="AR64" s="116">
        <f t="shared" si="13"/>
        <v>525993440</v>
      </c>
      <c r="AS64" s="118">
        <v>0.79482288828337877</v>
      </c>
    </row>
    <row r="65" spans="1:45" s="102" customFormat="1" x14ac:dyDescent="0.3">
      <c r="A65" s="101" t="str">
        <f t="shared" si="1"/>
        <v>DWDJ98056WID</v>
      </c>
      <c r="B65" s="126" t="s">
        <v>552</v>
      </c>
      <c r="C65" s="98" t="str">
        <f t="shared" si="9"/>
        <v>DJ980</v>
      </c>
      <c r="D65" s="98" t="s">
        <v>55</v>
      </c>
      <c r="E65" s="98" t="str">
        <f t="shared" si="10"/>
        <v>W</v>
      </c>
      <c r="F65" s="98" t="str">
        <f t="shared" si="11"/>
        <v>DJ</v>
      </c>
      <c r="G65" s="98" t="s">
        <v>56</v>
      </c>
      <c r="H65" s="115" t="s">
        <v>201</v>
      </c>
      <c r="I65" s="98" t="s">
        <v>554</v>
      </c>
      <c r="J65" s="115" t="str">
        <f t="shared" si="8"/>
        <v/>
      </c>
      <c r="K65" s="115">
        <v>1</v>
      </c>
      <c r="L65" s="116">
        <v>490000</v>
      </c>
      <c r="M65" s="78" t="s">
        <v>202</v>
      </c>
      <c r="N65" s="98" t="s">
        <v>203</v>
      </c>
      <c r="O65" s="98" t="s">
        <v>485</v>
      </c>
      <c r="P65" s="98">
        <v>100</v>
      </c>
      <c r="Q65" s="32" t="s">
        <v>204</v>
      </c>
      <c r="R65" s="98" t="s">
        <v>205</v>
      </c>
      <c r="S65" s="32" t="s">
        <v>551</v>
      </c>
      <c r="T65" s="98" t="s">
        <v>122</v>
      </c>
      <c r="U65" s="98" t="s">
        <v>207</v>
      </c>
      <c r="V65" s="98" t="s">
        <v>66</v>
      </c>
      <c r="W65" s="98"/>
      <c r="X65" s="78" t="s">
        <v>67</v>
      </c>
      <c r="Y65" s="98" t="s">
        <v>68</v>
      </c>
      <c r="Z65" s="32" t="s">
        <v>125</v>
      </c>
      <c r="AA65" s="32" t="s">
        <v>90</v>
      </c>
      <c r="AB65" s="78" t="s">
        <v>71</v>
      </c>
      <c r="AC65" s="98" t="s">
        <v>85</v>
      </c>
      <c r="AD65" s="98" t="s">
        <v>208</v>
      </c>
      <c r="AE65" s="65" t="s">
        <v>73</v>
      </c>
      <c r="AF65" s="39" t="s">
        <v>553</v>
      </c>
      <c r="AG65" s="98" t="s">
        <v>127</v>
      </c>
      <c r="AH65" s="115">
        <v>650</v>
      </c>
      <c r="AI65" s="117" t="s">
        <v>99</v>
      </c>
      <c r="AJ65" s="115" t="s">
        <v>100</v>
      </c>
      <c r="AK65" s="73">
        <v>814</v>
      </c>
      <c r="AL65" s="116">
        <f t="shared" si="5"/>
        <v>398860000</v>
      </c>
      <c r="AM65" s="116">
        <v>35</v>
      </c>
      <c r="AN65" s="116">
        <v>15834380</v>
      </c>
      <c r="AO65" s="116">
        <v>124</v>
      </c>
      <c r="AP65" s="116">
        <v>57960819</v>
      </c>
      <c r="AQ65" s="116">
        <f t="shared" si="12"/>
        <v>408.90000000000003</v>
      </c>
      <c r="AR65" s="116">
        <f t="shared" si="13"/>
        <v>184332120</v>
      </c>
      <c r="AS65" s="118">
        <v>0.50233415233415235</v>
      </c>
    </row>
    <row r="66" spans="1:45" s="102" customFormat="1" x14ac:dyDescent="0.3">
      <c r="A66" s="101" t="str">
        <f t="shared" si="1"/>
        <v>DWDJ98056BKS</v>
      </c>
      <c r="B66" s="126" t="s">
        <v>552</v>
      </c>
      <c r="C66" s="98" t="str">
        <f t="shared" si="9"/>
        <v>DJ980</v>
      </c>
      <c r="D66" s="98" t="s">
        <v>55</v>
      </c>
      <c r="E66" s="98" t="str">
        <f t="shared" si="10"/>
        <v>W</v>
      </c>
      <c r="F66" s="98" t="str">
        <f t="shared" si="11"/>
        <v>DJ</v>
      </c>
      <c r="G66" s="98" t="s">
        <v>56</v>
      </c>
      <c r="H66" s="115" t="s">
        <v>201</v>
      </c>
      <c r="I66" s="98" t="s">
        <v>78</v>
      </c>
      <c r="J66" s="115" t="str">
        <f t="shared" si="8"/>
        <v/>
      </c>
      <c r="K66" s="115">
        <v>1</v>
      </c>
      <c r="L66" s="116">
        <v>490000</v>
      </c>
      <c r="M66" s="78" t="s">
        <v>202</v>
      </c>
      <c r="N66" s="98" t="s">
        <v>203</v>
      </c>
      <c r="O66" s="98" t="s">
        <v>485</v>
      </c>
      <c r="P66" s="98">
        <v>100</v>
      </c>
      <c r="Q66" s="32" t="s">
        <v>204</v>
      </c>
      <c r="R66" s="98" t="s">
        <v>205</v>
      </c>
      <c r="S66" s="32" t="s">
        <v>551</v>
      </c>
      <c r="T66" s="98" t="s">
        <v>122</v>
      </c>
      <c r="U66" s="98" t="s">
        <v>207</v>
      </c>
      <c r="V66" s="98" t="s">
        <v>66</v>
      </c>
      <c r="W66" s="98"/>
      <c r="X66" s="78" t="s">
        <v>67</v>
      </c>
      <c r="Y66" s="98" t="s">
        <v>68</v>
      </c>
      <c r="Z66" s="32" t="s">
        <v>125</v>
      </c>
      <c r="AA66" s="32" t="s">
        <v>90</v>
      </c>
      <c r="AB66" s="78" t="s">
        <v>71</v>
      </c>
      <c r="AC66" s="98" t="s">
        <v>85</v>
      </c>
      <c r="AD66" s="98" t="s">
        <v>208</v>
      </c>
      <c r="AE66" s="65" t="s">
        <v>73</v>
      </c>
      <c r="AF66" s="39" t="s">
        <v>553</v>
      </c>
      <c r="AG66" s="98" t="s">
        <v>127</v>
      </c>
      <c r="AH66" s="115">
        <v>650</v>
      </c>
      <c r="AI66" s="117" t="s">
        <v>99</v>
      </c>
      <c r="AJ66" s="115" t="s">
        <v>100</v>
      </c>
      <c r="AK66" s="73">
        <v>3982</v>
      </c>
      <c r="AL66" s="116">
        <f t="shared" si="5"/>
        <v>1951180000</v>
      </c>
      <c r="AM66" s="116">
        <v>596</v>
      </c>
      <c r="AN66" s="116">
        <v>272551311</v>
      </c>
      <c r="AO66" s="116">
        <v>1724</v>
      </c>
      <c r="AP66" s="116">
        <v>806449448</v>
      </c>
      <c r="AQ66" s="116">
        <f t="shared" si="12"/>
        <v>3117.7</v>
      </c>
      <c r="AR66" s="116">
        <f t="shared" si="13"/>
        <v>1405459160</v>
      </c>
      <c r="AS66" s="118">
        <v>0.78294826720241084</v>
      </c>
    </row>
    <row r="67" spans="1:45" s="102" customFormat="1" x14ac:dyDescent="0.3">
      <c r="A67" s="101" t="str">
        <f t="shared" si="1"/>
        <v>DWDJ98056BGL</v>
      </c>
      <c r="B67" s="126" t="s">
        <v>552</v>
      </c>
      <c r="C67" s="98" t="str">
        <f t="shared" si="9"/>
        <v>DJ980</v>
      </c>
      <c r="D67" s="98" t="s">
        <v>55</v>
      </c>
      <c r="E67" s="98" t="str">
        <f t="shared" si="10"/>
        <v>W</v>
      </c>
      <c r="F67" s="98" t="str">
        <f t="shared" si="11"/>
        <v>DJ</v>
      </c>
      <c r="G67" s="98" t="s">
        <v>56</v>
      </c>
      <c r="H67" s="115" t="s">
        <v>201</v>
      </c>
      <c r="I67" s="98" t="s">
        <v>163</v>
      </c>
      <c r="J67" s="115" t="str">
        <f t="shared" si="8"/>
        <v/>
      </c>
      <c r="K67" s="115">
        <v>1</v>
      </c>
      <c r="L67" s="116">
        <v>490000</v>
      </c>
      <c r="M67" s="78" t="s">
        <v>202</v>
      </c>
      <c r="N67" s="98" t="s">
        <v>203</v>
      </c>
      <c r="O67" s="98" t="s">
        <v>485</v>
      </c>
      <c r="P67" s="98">
        <v>100</v>
      </c>
      <c r="Q67" s="32" t="s">
        <v>204</v>
      </c>
      <c r="R67" s="98" t="s">
        <v>205</v>
      </c>
      <c r="S67" s="32" t="s">
        <v>551</v>
      </c>
      <c r="T67" s="98" t="s">
        <v>122</v>
      </c>
      <c r="U67" s="98" t="s">
        <v>207</v>
      </c>
      <c r="V67" s="98" t="s">
        <v>66</v>
      </c>
      <c r="W67" s="98"/>
      <c r="X67" s="78" t="s">
        <v>67</v>
      </c>
      <c r="Y67" s="98" t="s">
        <v>68</v>
      </c>
      <c r="Z67" s="32" t="s">
        <v>125</v>
      </c>
      <c r="AA67" s="32" t="s">
        <v>90</v>
      </c>
      <c r="AB67" s="78" t="s">
        <v>71</v>
      </c>
      <c r="AC67" s="98" t="s">
        <v>85</v>
      </c>
      <c r="AD67" s="98" t="s">
        <v>208</v>
      </c>
      <c r="AE67" s="65" t="s">
        <v>73</v>
      </c>
      <c r="AF67" s="39" t="s">
        <v>553</v>
      </c>
      <c r="AG67" s="98" t="s">
        <v>127</v>
      </c>
      <c r="AH67" s="115">
        <v>650</v>
      </c>
      <c r="AI67" s="117" t="s">
        <v>99</v>
      </c>
      <c r="AJ67" s="115" t="s">
        <v>100</v>
      </c>
      <c r="AK67" s="73">
        <v>983</v>
      </c>
      <c r="AL67" s="116">
        <f t="shared" si="5"/>
        <v>481670000</v>
      </c>
      <c r="AM67" s="116">
        <v>125</v>
      </c>
      <c r="AN67" s="116">
        <v>57413992</v>
      </c>
      <c r="AO67" s="116">
        <v>441</v>
      </c>
      <c r="AP67" s="116">
        <v>206329333</v>
      </c>
      <c r="AQ67" s="116">
        <f t="shared" si="12"/>
        <v>785.05</v>
      </c>
      <c r="AR67" s="116">
        <f t="shared" si="13"/>
        <v>353900539.99999994</v>
      </c>
      <c r="AS67" s="118">
        <v>0.79862665310274661</v>
      </c>
    </row>
    <row r="68" spans="1:45" s="102" customFormat="1" x14ac:dyDescent="0.3">
      <c r="A68" s="101" t="str">
        <f t="shared" si="1"/>
        <v>DWDJ9A056DGS</v>
      </c>
      <c r="B68" s="126" t="s">
        <v>555</v>
      </c>
      <c r="C68" s="98" t="str">
        <f t="shared" si="9"/>
        <v>DJ9A0</v>
      </c>
      <c r="D68" s="98" t="s">
        <v>55</v>
      </c>
      <c r="E68" s="98" t="str">
        <f t="shared" si="10"/>
        <v>W</v>
      </c>
      <c r="F68" s="98" t="str">
        <f t="shared" si="11"/>
        <v>DJ</v>
      </c>
      <c r="G68" s="98" t="s">
        <v>56</v>
      </c>
      <c r="H68" s="115" t="s">
        <v>213</v>
      </c>
      <c r="I68" s="98" t="s">
        <v>435</v>
      </c>
      <c r="J68" s="115">
        <f t="shared" si="8"/>
        <v>1</v>
      </c>
      <c r="K68" s="115">
        <v>1</v>
      </c>
      <c r="L68" s="116">
        <v>590000</v>
      </c>
      <c r="M68" s="78" t="s">
        <v>202</v>
      </c>
      <c r="N68" s="98" t="s">
        <v>556</v>
      </c>
      <c r="O68" s="98" t="s">
        <v>485</v>
      </c>
      <c r="P68" s="98">
        <v>100</v>
      </c>
      <c r="Q68" s="32" t="s">
        <v>204</v>
      </c>
      <c r="R68" s="98" t="s">
        <v>205</v>
      </c>
      <c r="S68" s="32" t="s">
        <v>551</v>
      </c>
      <c r="T68" s="98" t="s">
        <v>122</v>
      </c>
      <c r="U68" s="98" t="s">
        <v>207</v>
      </c>
      <c r="V68" s="98" t="s">
        <v>66</v>
      </c>
      <c r="W68" s="98"/>
      <c r="X68" s="78" t="s">
        <v>67</v>
      </c>
      <c r="Y68" s="98" t="s">
        <v>68</v>
      </c>
      <c r="Z68" s="32" t="s">
        <v>125</v>
      </c>
      <c r="AA68" s="32" t="s">
        <v>90</v>
      </c>
      <c r="AB68" s="78" t="s">
        <v>71</v>
      </c>
      <c r="AC68" s="98" t="s">
        <v>85</v>
      </c>
      <c r="AD68" s="98" t="s">
        <v>208</v>
      </c>
      <c r="AE68" s="65" t="s">
        <v>73</v>
      </c>
      <c r="AF68" s="39" t="s">
        <v>557</v>
      </c>
      <c r="AG68" s="98" t="s">
        <v>127</v>
      </c>
      <c r="AH68" s="115">
        <v>650</v>
      </c>
      <c r="AI68" s="117" t="s">
        <v>107</v>
      </c>
      <c r="AJ68" s="115" t="s">
        <v>108</v>
      </c>
      <c r="AK68" s="73">
        <v>1534</v>
      </c>
      <c r="AL68" s="116">
        <f t="shared" si="5"/>
        <v>905060000</v>
      </c>
      <c r="AM68" s="116">
        <v>184</v>
      </c>
      <c r="AN68" s="116">
        <v>101671233</v>
      </c>
      <c r="AO68" s="116">
        <v>478</v>
      </c>
      <c r="AP68" s="116">
        <v>269808861</v>
      </c>
      <c r="AQ68" s="116">
        <f t="shared" si="12"/>
        <v>938.19999999999993</v>
      </c>
      <c r="AR68" s="116">
        <f t="shared" si="13"/>
        <v>509254960</v>
      </c>
      <c r="AS68" s="118">
        <v>0.61160365058670141</v>
      </c>
    </row>
    <row r="69" spans="1:45" s="102" customFormat="1" x14ac:dyDescent="0.3">
      <c r="A69" s="101" t="str">
        <f t="shared" ref="A69:A132" si="14">B69&amp;I69</f>
        <v>DWDJ9A056BKS</v>
      </c>
      <c r="B69" s="126" t="s">
        <v>555</v>
      </c>
      <c r="C69" s="98" t="str">
        <f t="shared" si="9"/>
        <v>DJ9A0</v>
      </c>
      <c r="D69" s="98" t="s">
        <v>55</v>
      </c>
      <c r="E69" s="98" t="str">
        <f t="shared" si="10"/>
        <v>W</v>
      </c>
      <c r="F69" s="98" t="str">
        <f t="shared" si="11"/>
        <v>DJ</v>
      </c>
      <c r="G69" s="98" t="s">
        <v>56</v>
      </c>
      <c r="H69" s="115" t="s">
        <v>213</v>
      </c>
      <c r="I69" s="98" t="s">
        <v>78</v>
      </c>
      <c r="J69" s="115" t="str">
        <f t="shared" si="8"/>
        <v/>
      </c>
      <c r="K69" s="115">
        <v>1</v>
      </c>
      <c r="L69" s="116">
        <v>590000</v>
      </c>
      <c r="M69" s="78" t="s">
        <v>202</v>
      </c>
      <c r="N69" s="98" t="s">
        <v>203</v>
      </c>
      <c r="O69" s="98" t="s">
        <v>485</v>
      </c>
      <c r="P69" s="98">
        <v>100</v>
      </c>
      <c r="Q69" s="32" t="s">
        <v>204</v>
      </c>
      <c r="R69" s="98" t="s">
        <v>205</v>
      </c>
      <c r="S69" s="32" t="s">
        <v>551</v>
      </c>
      <c r="T69" s="98" t="s">
        <v>122</v>
      </c>
      <c r="U69" s="98" t="s">
        <v>207</v>
      </c>
      <c r="V69" s="98" t="s">
        <v>66</v>
      </c>
      <c r="W69" s="98"/>
      <c r="X69" s="78" t="s">
        <v>67</v>
      </c>
      <c r="Y69" s="98" t="s">
        <v>68</v>
      </c>
      <c r="Z69" s="32" t="s">
        <v>125</v>
      </c>
      <c r="AA69" s="32" t="s">
        <v>90</v>
      </c>
      <c r="AB69" s="78" t="s">
        <v>71</v>
      </c>
      <c r="AC69" s="98" t="s">
        <v>85</v>
      </c>
      <c r="AD69" s="98" t="s">
        <v>208</v>
      </c>
      <c r="AE69" s="65" t="s">
        <v>73</v>
      </c>
      <c r="AF69" s="39" t="s">
        <v>557</v>
      </c>
      <c r="AG69" s="98" t="s">
        <v>127</v>
      </c>
      <c r="AH69" s="115">
        <v>650</v>
      </c>
      <c r="AI69" s="117" t="s">
        <v>107</v>
      </c>
      <c r="AJ69" s="115" t="s">
        <v>108</v>
      </c>
      <c r="AK69" s="73">
        <v>8061</v>
      </c>
      <c r="AL69" s="116">
        <f t="shared" ref="AL69:AL132" si="15">AK69*L69</f>
        <v>4755990000</v>
      </c>
      <c r="AM69" s="116">
        <v>734</v>
      </c>
      <c r="AN69" s="116">
        <v>407368575</v>
      </c>
      <c r="AO69" s="116">
        <v>1934</v>
      </c>
      <c r="AP69" s="116">
        <v>1097569012</v>
      </c>
      <c r="AQ69" s="116">
        <f t="shared" si="12"/>
        <v>4352.3</v>
      </c>
      <c r="AR69" s="116">
        <f t="shared" si="13"/>
        <v>2362428440</v>
      </c>
      <c r="AS69" s="118">
        <v>0.53992060538394737</v>
      </c>
    </row>
    <row r="70" spans="1:45" s="102" customFormat="1" x14ac:dyDescent="0.3">
      <c r="A70" s="101" t="str">
        <f t="shared" si="14"/>
        <v>DWDJ9A056BES</v>
      </c>
      <c r="B70" s="126" t="s">
        <v>555</v>
      </c>
      <c r="C70" s="98" t="str">
        <f t="shared" si="9"/>
        <v>DJ9A0</v>
      </c>
      <c r="D70" s="98" t="s">
        <v>55</v>
      </c>
      <c r="E70" s="98" t="str">
        <f t="shared" si="10"/>
        <v>W</v>
      </c>
      <c r="F70" s="98" t="str">
        <f t="shared" si="11"/>
        <v>DJ</v>
      </c>
      <c r="G70" s="98" t="s">
        <v>56</v>
      </c>
      <c r="H70" s="115" t="s">
        <v>213</v>
      </c>
      <c r="I70" s="98" t="s">
        <v>385</v>
      </c>
      <c r="J70" s="115" t="str">
        <f t="shared" ref="J70:J133" si="16">IF(B70=B69,"",1)</f>
        <v/>
      </c>
      <c r="K70" s="115">
        <v>1</v>
      </c>
      <c r="L70" s="116">
        <v>590000</v>
      </c>
      <c r="M70" s="78" t="s">
        <v>202</v>
      </c>
      <c r="N70" s="98" t="s">
        <v>203</v>
      </c>
      <c r="O70" s="98" t="s">
        <v>485</v>
      </c>
      <c r="P70" s="98">
        <v>100</v>
      </c>
      <c r="Q70" s="32" t="s">
        <v>204</v>
      </c>
      <c r="R70" s="98" t="s">
        <v>205</v>
      </c>
      <c r="S70" s="32" t="s">
        <v>551</v>
      </c>
      <c r="T70" s="98" t="s">
        <v>122</v>
      </c>
      <c r="U70" s="98" t="s">
        <v>207</v>
      </c>
      <c r="V70" s="98" t="s">
        <v>66</v>
      </c>
      <c r="W70" s="98"/>
      <c r="X70" s="78" t="s">
        <v>67</v>
      </c>
      <c r="Y70" s="98" t="s">
        <v>68</v>
      </c>
      <c r="Z70" s="32" t="s">
        <v>125</v>
      </c>
      <c r="AA70" s="32" t="s">
        <v>90</v>
      </c>
      <c r="AB70" s="78" t="s">
        <v>71</v>
      </c>
      <c r="AC70" s="98" t="s">
        <v>85</v>
      </c>
      <c r="AD70" s="98" t="s">
        <v>208</v>
      </c>
      <c r="AE70" s="65" t="s">
        <v>73</v>
      </c>
      <c r="AF70" s="39" t="s">
        <v>557</v>
      </c>
      <c r="AG70" s="98" t="s">
        <v>127</v>
      </c>
      <c r="AH70" s="115">
        <v>650</v>
      </c>
      <c r="AI70" s="117" t="s">
        <v>107</v>
      </c>
      <c r="AJ70" s="115" t="s">
        <v>108</v>
      </c>
      <c r="AK70" s="73">
        <v>2997</v>
      </c>
      <c r="AL70" s="116">
        <f t="shared" si="15"/>
        <v>1768230000</v>
      </c>
      <c r="AM70" s="116">
        <v>327</v>
      </c>
      <c r="AN70" s="116">
        <v>182012751</v>
      </c>
      <c r="AO70" s="116">
        <v>887</v>
      </c>
      <c r="AP70" s="116">
        <v>501403248</v>
      </c>
      <c r="AQ70" s="116">
        <f t="shared" si="12"/>
        <v>1786.0999999999997</v>
      </c>
      <c r="AR70" s="116">
        <f t="shared" si="13"/>
        <v>969495079.99999988</v>
      </c>
      <c r="AS70" s="118">
        <v>0.59596262929596255</v>
      </c>
    </row>
    <row r="71" spans="1:45" s="102" customFormat="1" x14ac:dyDescent="0.3">
      <c r="A71" s="101" t="str">
        <f t="shared" si="14"/>
        <v>DWDJ9A056BGD</v>
      </c>
      <c r="B71" s="126" t="s">
        <v>555</v>
      </c>
      <c r="C71" s="98" t="str">
        <f t="shared" si="9"/>
        <v>DJ9A0</v>
      </c>
      <c r="D71" s="98" t="s">
        <v>55</v>
      </c>
      <c r="E71" s="98" t="str">
        <f t="shared" si="10"/>
        <v>W</v>
      </c>
      <c r="F71" s="98" t="str">
        <f t="shared" si="11"/>
        <v>DJ</v>
      </c>
      <c r="G71" s="98" t="s">
        <v>56</v>
      </c>
      <c r="H71" s="115" t="s">
        <v>213</v>
      </c>
      <c r="I71" s="98" t="s">
        <v>260</v>
      </c>
      <c r="J71" s="115" t="str">
        <f t="shared" si="16"/>
        <v/>
      </c>
      <c r="K71" s="115">
        <v>1</v>
      </c>
      <c r="L71" s="116">
        <v>590000</v>
      </c>
      <c r="M71" s="78" t="s">
        <v>202</v>
      </c>
      <c r="N71" s="98" t="s">
        <v>203</v>
      </c>
      <c r="O71" s="98" t="s">
        <v>485</v>
      </c>
      <c r="P71" s="98">
        <v>100</v>
      </c>
      <c r="Q71" s="32" t="s">
        <v>204</v>
      </c>
      <c r="R71" s="98" t="s">
        <v>205</v>
      </c>
      <c r="S71" s="32" t="s">
        <v>551</v>
      </c>
      <c r="T71" s="98" t="s">
        <v>122</v>
      </c>
      <c r="U71" s="98" t="s">
        <v>207</v>
      </c>
      <c r="V71" s="98" t="s">
        <v>66</v>
      </c>
      <c r="W71" s="98"/>
      <c r="X71" s="78" t="s">
        <v>67</v>
      </c>
      <c r="Y71" s="98" t="s">
        <v>68</v>
      </c>
      <c r="Z71" s="32" t="s">
        <v>125</v>
      </c>
      <c r="AA71" s="32" t="s">
        <v>90</v>
      </c>
      <c r="AB71" s="78" t="s">
        <v>71</v>
      </c>
      <c r="AC71" s="98" t="s">
        <v>85</v>
      </c>
      <c r="AD71" s="98" t="s">
        <v>208</v>
      </c>
      <c r="AE71" s="65" t="s">
        <v>73</v>
      </c>
      <c r="AF71" s="39" t="s">
        <v>557</v>
      </c>
      <c r="AG71" s="98" t="s">
        <v>127</v>
      </c>
      <c r="AH71" s="115">
        <v>650</v>
      </c>
      <c r="AI71" s="117" t="s">
        <v>107</v>
      </c>
      <c r="AJ71" s="115" t="s">
        <v>108</v>
      </c>
      <c r="AK71" s="73">
        <v>2045</v>
      </c>
      <c r="AL71" s="116">
        <f t="shared" si="15"/>
        <v>1206550000</v>
      </c>
      <c r="AM71" s="116">
        <v>95</v>
      </c>
      <c r="AN71" s="116">
        <v>52524844</v>
      </c>
      <c r="AO71" s="116">
        <v>237</v>
      </c>
      <c r="AP71" s="116">
        <v>133422082</v>
      </c>
      <c r="AQ71" s="116">
        <f t="shared" si="12"/>
        <v>850.5</v>
      </c>
      <c r="AR71" s="116">
        <f t="shared" si="13"/>
        <v>461651400</v>
      </c>
      <c r="AS71" s="118">
        <v>0.41589242053789732</v>
      </c>
    </row>
    <row r="72" spans="1:45" s="102" customFormat="1" x14ac:dyDescent="0.3">
      <c r="A72" s="101" t="str">
        <f t="shared" si="14"/>
        <v>DWDJ9A056DWS</v>
      </c>
      <c r="B72" s="126" t="s">
        <v>555</v>
      </c>
      <c r="C72" s="98" t="str">
        <f t="shared" si="9"/>
        <v>DJ9A0</v>
      </c>
      <c r="D72" s="98" t="s">
        <v>55</v>
      </c>
      <c r="E72" s="98" t="str">
        <f t="shared" si="10"/>
        <v>W</v>
      </c>
      <c r="F72" s="98" t="str">
        <f t="shared" si="11"/>
        <v>DJ</v>
      </c>
      <c r="G72" s="98" t="s">
        <v>56</v>
      </c>
      <c r="H72" s="115" t="s">
        <v>213</v>
      </c>
      <c r="I72" s="98" t="s">
        <v>318</v>
      </c>
      <c r="J72" s="115" t="str">
        <f t="shared" si="16"/>
        <v/>
      </c>
      <c r="K72" s="115">
        <v>1</v>
      </c>
      <c r="L72" s="116">
        <v>590000</v>
      </c>
      <c r="M72" s="78" t="s">
        <v>202</v>
      </c>
      <c r="N72" s="98" t="s">
        <v>203</v>
      </c>
      <c r="O72" s="98" t="s">
        <v>485</v>
      </c>
      <c r="P72" s="98">
        <v>100</v>
      </c>
      <c r="Q72" s="32" t="s">
        <v>204</v>
      </c>
      <c r="R72" s="98" t="s">
        <v>205</v>
      </c>
      <c r="S72" s="32" t="s">
        <v>551</v>
      </c>
      <c r="T72" s="98" t="s">
        <v>122</v>
      </c>
      <c r="U72" s="98" t="s">
        <v>207</v>
      </c>
      <c r="V72" s="98" t="s">
        <v>66</v>
      </c>
      <c r="W72" s="98"/>
      <c r="X72" s="78" t="s">
        <v>67</v>
      </c>
      <c r="Y72" s="98" t="s">
        <v>68</v>
      </c>
      <c r="Z72" s="32" t="s">
        <v>125</v>
      </c>
      <c r="AA72" s="32" t="s">
        <v>90</v>
      </c>
      <c r="AB72" s="78" t="s">
        <v>71</v>
      </c>
      <c r="AC72" s="98" t="s">
        <v>85</v>
      </c>
      <c r="AD72" s="98" t="s">
        <v>208</v>
      </c>
      <c r="AE72" s="65" t="s">
        <v>73</v>
      </c>
      <c r="AF72" s="39" t="s">
        <v>557</v>
      </c>
      <c r="AG72" s="98" t="s">
        <v>127</v>
      </c>
      <c r="AH72" s="115">
        <v>650</v>
      </c>
      <c r="AI72" s="117" t="s">
        <v>107</v>
      </c>
      <c r="AJ72" s="115" t="s">
        <v>108</v>
      </c>
      <c r="AK72" s="73">
        <v>1033</v>
      </c>
      <c r="AL72" s="116">
        <f t="shared" si="15"/>
        <v>609470000</v>
      </c>
      <c r="AM72" s="116">
        <v>105</v>
      </c>
      <c r="AN72" s="116">
        <v>58060781</v>
      </c>
      <c r="AO72" s="116">
        <v>284</v>
      </c>
      <c r="AP72" s="116">
        <v>161014817</v>
      </c>
      <c r="AQ72" s="116">
        <f t="shared" si="12"/>
        <v>593.9</v>
      </c>
      <c r="AR72" s="116">
        <f t="shared" si="13"/>
        <v>322368920</v>
      </c>
      <c r="AS72" s="118">
        <v>0.5749273959341723</v>
      </c>
    </row>
    <row r="73" spans="1:45" s="102" customFormat="1" x14ac:dyDescent="0.3">
      <c r="A73" s="101" t="str">
        <f t="shared" si="14"/>
        <v>DWDJ9A056CRS</v>
      </c>
      <c r="B73" s="126" t="s">
        <v>555</v>
      </c>
      <c r="C73" s="98" t="str">
        <f t="shared" si="9"/>
        <v>DJ9A0</v>
      </c>
      <c r="D73" s="98" t="s">
        <v>148</v>
      </c>
      <c r="E73" s="98" t="str">
        <f t="shared" si="10"/>
        <v>W</v>
      </c>
      <c r="F73" s="98" t="str">
        <f t="shared" si="11"/>
        <v>DJ</v>
      </c>
      <c r="G73" s="98" t="s">
        <v>56</v>
      </c>
      <c r="H73" s="115" t="s">
        <v>213</v>
      </c>
      <c r="I73" s="98" t="s">
        <v>79</v>
      </c>
      <c r="J73" s="115" t="str">
        <f t="shared" si="16"/>
        <v/>
      </c>
      <c r="K73" s="115">
        <v>1</v>
      </c>
      <c r="L73" s="116">
        <v>590000</v>
      </c>
      <c r="M73" s="78" t="s">
        <v>202</v>
      </c>
      <c r="N73" s="98" t="s">
        <v>203</v>
      </c>
      <c r="O73" s="98" t="s">
        <v>485</v>
      </c>
      <c r="P73" s="98">
        <v>100</v>
      </c>
      <c r="Q73" s="32" t="s">
        <v>204</v>
      </c>
      <c r="R73" s="98" t="s">
        <v>205</v>
      </c>
      <c r="S73" s="32" t="s">
        <v>551</v>
      </c>
      <c r="T73" s="98" t="s">
        <v>122</v>
      </c>
      <c r="U73" s="98" t="s">
        <v>207</v>
      </c>
      <c r="V73" s="98" t="s">
        <v>66</v>
      </c>
      <c r="W73" s="98"/>
      <c r="X73" s="78" t="s">
        <v>67</v>
      </c>
      <c r="Y73" s="98" t="s">
        <v>68</v>
      </c>
      <c r="Z73" s="32" t="s">
        <v>125</v>
      </c>
      <c r="AA73" s="32" t="s">
        <v>90</v>
      </c>
      <c r="AB73" s="78" t="s">
        <v>71</v>
      </c>
      <c r="AC73" s="98" t="s">
        <v>85</v>
      </c>
      <c r="AD73" s="98" t="s">
        <v>208</v>
      </c>
      <c r="AE73" s="65" t="s">
        <v>73</v>
      </c>
      <c r="AF73" s="39" t="s">
        <v>557</v>
      </c>
      <c r="AG73" s="98" t="s">
        <v>127</v>
      </c>
      <c r="AH73" s="115">
        <v>650</v>
      </c>
      <c r="AI73" s="117" t="s">
        <v>107</v>
      </c>
      <c r="AJ73" s="115" t="s">
        <v>108</v>
      </c>
      <c r="AK73" s="73">
        <v>503</v>
      </c>
      <c r="AL73" s="116">
        <f t="shared" si="15"/>
        <v>296770000</v>
      </c>
      <c r="AM73" s="116">
        <v>38</v>
      </c>
      <c r="AN73" s="116">
        <v>21774870</v>
      </c>
      <c r="AO73" s="116">
        <v>128</v>
      </c>
      <c r="AP73" s="116">
        <v>74073300</v>
      </c>
      <c r="AQ73" s="116">
        <f t="shared" si="12"/>
        <v>278.89999999999998</v>
      </c>
      <c r="AR73" s="116">
        <f t="shared" si="13"/>
        <v>151386920</v>
      </c>
      <c r="AS73" s="118">
        <v>0.55447316103379718</v>
      </c>
    </row>
    <row r="74" spans="1:45" x14ac:dyDescent="0.3">
      <c r="A74" s="1" t="str">
        <f t="shared" si="14"/>
        <v>DWDJ9P056BKS</v>
      </c>
      <c r="B74" s="126" t="s">
        <v>558</v>
      </c>
      <c r="C74" s="98" t="str">
        <f t="shared" si="9"/>
        <v>DJ9P0</v>
      </c>
      <c r="D74" s="98" t="s">
        <v>55</v>
      </c>
      <c r="E74" s="98" t="str">
        <f t="shared" si="10"/>
        <v>W</v>
      </c>
      <c r="F74" s="98" t="str">
        <f t="shared" si="11"/>
        <v>DJ</v>
      </c>
      <c r="G74" s="98" t="s">
        <v>56</v>
      </c>
      <c r="H74" s="115" t="s">
        <v>559</v>
      </c>
      <c r="I74" s="98" t="s">
        <v>78</v>
      </c>
      <c r="J74" s="115">
        <f t="shared" si="16"/>
        <v>1</v>
      </c>
      <c r="K74" s="115">
        <v>1</v>
      </c>
      <c r="L74" s="116">
        <v>299000</v>
      </c>
      <c r="M74" s="78" t="s">
        <v>560</v>
      </c>
      <c r="N74" s="98" t="s">
        <v>561</v>
      </c>
      <c r="O74" s="98" t="s">
        <v>143</v>
      </c>
      <c r="P74" s="98">
        <v>100</v>
      </c>
      <c r="Q74" s="32" t="s">
        <v>62</v>
      </c>
      <c r="R74" s="98" t="s">
        <v>461</v>
      </c>
      <c r="S74" s="32" t="s">
        <v>562</v>
      </c>
      <c r="T74" s="98" t="s">
        <v>65</v>
      </c>
      <c r="U74" s="98"/>
      <c r="V74" s="98" t="s">
        <v>66</v>
      </c>
      <c r="W74" s="98"/>
      <c r="X74" s="78" t="s">
        <v>67</v>
      </c>
      <c r="Y74" s="98" t="s">
        <v>68</v>
      </c>
      <c r="Z74" s="32" t="s">
        <v>238</v>
      </c>
      <c r="AA74" s="32" t="s">
        <v>90</v>
      </c>
      <c r="AB74" s="78" t="s">
        <v>71</v>
      </c>
      <c r="AC74" s="98" t="s">
        <v>62</v>
      </c>
      <c r="AD74" s="98" t="s">
        <v>72</v>
      </c>
      <c r="AE74" s="65" t="s">
        <v>137</v>
      </c>
      <c r="AF74" s="39" t="s">
        <v>370</v>
      </c>
      <c r="AG74" s="98" t="s">
        <v>127</v>
      </c>
      <c r="AH74" s="115">
        <v>650</v>
      </c>
      <c r="AI74" s="117" t="s">
        <v>128</v>
      </c>
      <c r="AJ74" s="115" t="s">
        <v>129</v>
      </c>
      <c r="AK74" s="73">
        <v>1002</v>
      </c>
      <c r="AL74" s="116">
        <f t="shared" si="15"/>
        <v>299598000</v>
      </c>
      <c r="AM74" s="116">
        <v>30</v>
      </c>
      <c r="AN74" s="116">
        <v>8297385</v>
      </c>
      <c r="AO74" s="116">
        <v>173</v>
      </c>
      <c r="AP74" s="116">
        <v>49566354</v>
      </c>
      <c r="AQ74" s="116">
        <f t="shared" si="12"/>
        <v>473.6</v>
      </c>
      <c r="AR74" s="116">
        <f t="shared" si="13"/>
        <v>130277888</v>
      </c>
      <c r="AS74" s="118">
        <v>0.47265469061876247</v>
      </c>
    </row>
    <row r="75" spans="1:45" x14ac:dyDescent="0.3">
      <c r="A75" s="1" t="str">
        <f t="shared" si="14"/>
        <v>DWDJ9P056BRD</v>
      </c>
      <c r="B75" s="126" t="s">
        <v>558</v>
      </c>
      <c r="C75" s="98" t="str">
        <f t="shared" ref="C75:C138" si="17">MID(B75,3,5)</f>
        <v>DJ9P0</v>
      </c>
      <c r="D75" s="98" t="s">
        <v>55</v>
      </c>
      <c r="E75" s="98" t="str">
        <f t="shared" ref="E75:E138" si="18">MID($B75,2,1)</f>
        <v>W</v>
      </c>
      <c r="F75" s="98" t="str">
        <f t="shared" ref="F75:F138" si="19">MID($B75,3,2)</f>
        <v>DJ</v>
      </c>
      <c r="G75" s="98" t="s">
        <v>56</v>
      </c>
      <c r="H75" s="115" t="s">
        <v>559</v>
      </c>
      <c r="I75" s="98" t="s">
        <v>159</v>
      </c>
      <c r="J75" s="115" t="str">
        <f t="shared" si="16"/>
        <v/>
      </c>
      <c r="K75" s="115">
        <v>1</v>
      </c>
      <c r="L75" s="116">
        <v>299000</v>
      </c>
      <c r="M75" s="78" t="s">
        <v>560</v>
      </c>
      <c r="N75" s="98" t="s">
        <v>561</v>
      </c>
      <c r="O75" s="98" t="s">
        <v>143</v>
      </c>
      <c r="P75" s="98">
        <v>100</v>
      </c>
      <c r="Q75" s="32" t="s">
        <v>62</v>
      </c>
      <c r="R75" s="98" t="s">
        <v>461</v>
      </c>
      <c r="S75" s="32" t="s">
        <v>562</v>
      </c>
      <c r="T75" s="98" t="s">
        <v>65</v>
      </c>
      <c r="U75" s="98"/>
      <c r="V75" s="98" t="s">
        <v>66</v>
      </c>
      <c r="W75" s="98"/>
      <c r="X75" s="78" t="s">
        <v>67</v>
      </c>
      <c r="Y75" s="98" t="s">
        <v>68</v>
      </c>
      <c r="Z75" s="32" t="s">
        <v>238</v>
      </c>
      <c r="AA75" s="32" t="s">
        <v>90</v>
      </c>
      <c r="AB75" s="78" t="s">
        <v>71</v>
      </c>
      <c r="AC75" s="98" t="s">
        <v>62</v>
      </c>
      <c r="AD75" s="98" t="s">
        <v>72</v>
      </c>
      <c r="AE75" s="65" t="s">
        <v>137</v>
      </c>
      <c r="AF75" s="39" t="s">
        <v>370</v>
      </c>
      <c r="AG75" s="98" t="s">
        <v>127</v>
      </c>
      <c r="AH75" s="115">
        <v>650</v>
      </c>
      <c r="AI75" s="117" t="s">
        <v>128</v>
      </c>
      <c r="AJ75" s="115" t="s">
        <v>129</v>
      </c>
      <c r="AK75" s="73">
        <v>798</v>
      </c>
      <c r="AL75" s="116">
        <f t="shared" si="15"/>
        <v>238602000</v>
      </c>
      <c r="AM75" s="116">
        <v>28</v>
      </c>
      <c r="AN75" s="116">
        <v>7776678</v>
      </c>
      <c r="AO75" s="116">
        <v>214</v>
      </c>
      <c r="AP75" s="116">
        <v>60993917</v>
      </c>
      <c r="AQ75" s="116">
        <f t="shared" ref="AQ75:AQ138" si="20">AK75*AS75</f>
        <v>453.4</v>
      </c>
      <c r="AR75" s="116">
        <f t="shared" ref="AR75:AR138" si="21">(AL75*AS75)*0.92</f>
        <v>124721272</v>
      </c>
      <c r="AS75" s="118">
        <v>0.56817042606516288</v>
      </c>
    </row>
    <row r="76" spans="1:45" x14ac:dyDescent="0.3">
      <c r="A76" s="1" t="str">
        <f t="shared" si="14"/>
        <v>DWDJ9P056BES</v>
      </c>
      <c r="B76" s="126" t="s">
        <v>558</v>
      </c>
      <c r="C76" s="98" t="str">
        <f t="shared" si="17"/>
        <v>DJ9P0</v>
      </c>
      <c r="D76" s="98" t="s">
        <v>55</v>
      </c>
      <c r="E76" s="98" t="str">
        <f t="shared" si="18"/>
        <v>W</v>
      </c>
      <c r="F76" s="98" t="str">
        <f t="shared" si="19"/>
        <v>DJ</v>
      </c>
      <c r="G76" s="98" t="s">
        <v>56</v>
      </c>
      <c r="H76" s="115" t="s">
        <v>559</v>
      </c>
      <c r="I76" s="98" t="s">
        <v>385</v>
      </c>
      <c r="J76" s="115" t="str">
        <f t="shared" si="16"/>
        <v/>
      </c>
      <c r="K76" s="115">
        <v>1</v>
      </c>
      <c r="L76" s="116">
        <v>299000</v>
      </c>
      <c r="M76" s="78" t="s">
        <v>560</v>
      </c>
      <c r="N76" s="98" t="s">
        <v>561</v>
      </c>
      <c r="O76" s="98" t="s">
        <v>143</v>
      </c>
      <c r="P76" s="98">
        <v>100</v>
      </c>
      <c r="Q76" s="32" t="s">
        <v>62</v>
      </c>
      <c r="R76" s="98" t="s">
        <v>461</v>
      </c>
      <c r="S76" s="32" t="s">
        <v>562</v>
      </c>
      <c r="T76" s="98" t="s">
        <v>65</v>
      </c>
      <c r="U76" s="98"/>
      <c r="V76" s="98" t="s">
        <v>66</v>
      </c>
      <c r="W76" s="98"/>
      <c r="X76" s="78" t="s">
        <v>67</v>
      </c>
      <c r="Y76" s="98" t="s">
        <v>68</v>
      </c>
      <c r="Z76" s="32" t="s">
        <v>238</v>
      </c>
      <c r="AA76" s="32" t="s">
        <v>90</v>
      </c>
      <c r="AB76" s="78" t="s">
        <v>71</v>
      </c>
      <c r="AC76" s="98" t="s">
        <v>62</v>
      </c>
      <c r="AD76" s="98" t="s">
        <v>72</v>
      </c>
      <c r="AE76" s="65" t="s">
        <v>137</v>
      </c>
      <c r="AF76" s="39" t="s">
        <v>370</v>
      </c>
      <c r="AG76" s="98" t="s">
        <v>127</v>
      </c>
      <c r="AH76" s="115">
        <v>650</v>
      </c>
      <c r="AI76" s="117" t="s">
        <v>128</v>
      </c>
      <c r="AJ76" s="115" t="s">
        <v>129</v>
      </c>
      <c r="AK76" s="73">
        <v>800</v>
      </c>
      <c r="AL76" s="116">
        <f t="shared" si="15"/>
        <v>239200000</v>
      </c>
      <c r="AM76" s="116">
        <v>25</v>
      </c>
      <c r="AN76" s="116">
        <v>6953388</v>
      </c>
      <c r="AO76" s="116">
        <v>160</v>
      </c>
      <c r="AP76" s="116">
        <v>45742147</v>
      </c>
      <c r="AQ76" s="116">
        <f t="shared" si="20"/>
        <v>400</v>
      </c>
      <c r="AR76" s="116">
        <f t="shared" si="21"/>
        <v>110032000</v>
      </c>
      <c r="AS76" s="118">
        <v>0.5</v>
      </c>
    </row>
    <row r="77" spans="1:45" x14ac:dyDescent="0.3">
      <c r="A77" s="1" t="str">
        <f t="shared" si="14"/>
        <v>DMDJ75056BGS</v>
      </c>
      <c r="B77" s="126" t="s">
        <v>563</v>
      </c>
      <c r="C77" s="98" t="str">
        <f t="shared" si="17"/>
        <v>DJ750</v>
      </c>
      <c r="D77" s="98" t="s">
        <v>55</v>
      </c>
      <c r="E77" s="98" t="str">
        <f t="shared" si="18"/>
        <v>M</v>
      </c>
      <c r="F77" s="98" t="str">
        <f t="shared" si="19"/>
        <v>DJ</v>
      </c>
      <c r="G77" s="98" t="s">
        <v>56</v>
      </c>
      <c r="H77" s="115" t="s">
        <v>335</v>
      </c>
      <c r="I77" s="98" t="s">
        <v>82</v>
      </c>
      <c r="J77" s="115">
        <f t="shared" si="16"/>
        <v>1</v>
      </c>
      <c r="K77" s="115">
        <v>1</v>
      </c>
      <c r="L77" s="116">
        <v>249000</v>
      </c>
      <c r="M77" s="78" t="s">
        <v>477</v>
      </c>
      <c r="N77" s="98" t="s">
        <v>478</v>
      </c>
      <c r="O77" s="98" t="s">
        <v>143</v>
      </c>
      <c r="P77" s="98">
        <v>100</v>
      </c>
      <c r="Q77" s="32" t="s">
        <v>479</v>
      </c>
      <c r="R77" s="98" t="s">
        <v>480</v>
      </c>
      <c r="S77" s="32" t="s">
        <v>481</v>
      </c>
      <c r="T77" s="98" t="s">
        <v>65</v>
      </c>
      <c r="U77" s="98"/>
      <c r="V77" s="98" t="s">
        <v>66</v>
      </c>
      <c r="W77" s="98"/>
      <c r="X77" s="78" t="s">
        <v>67</v>
      </c>
      <c r="Y77" s="98" t="s">
        <v>340</v>
      </c>
      <c r="Z77" s="32" t="s">
        <v>125</v>
      </c>
      <c r="AA77" s="32" t="s">
        <v>70</v>
      </c>
      <c r="AB77" s="78" t="s">
        <v>342</v>
      </c>
      <c r="AC77" s="119" t="s">
        <v>92</v>
      </c>
      <c r="AD77" s="119" t="s">
        <v>92</v>
      </c>
      <c r="AE77" s="65" t="s">
        <v>73</v>
      </c>
      <c r="AF77" s="39" t="s">
        <v>343</v>
      </c>
      <c r="AG77" s="98" t="s">
        <v>240</v>
      </c>
      <c r="AH77" s="115">
        <v>650</v>
      </c>
      <c r="AI77" s="117" t="s">
        <v>289</v>
      </c>
      <c r="AJ77" s="115" t="s">
        <v>241</v>
      </c>
      <c r="AK77" s="73">
        <v>1000</v>
      </c>
      <c r="AL77" s="116">
        <f t="shared" si="15"/>
        <v>249000000</v>
      </c>
      <c r="AM77" s="116">
        <v>19</v>
      </c>
      <c r="AN77" s="116">
        <v>3311700</v>
      </c>
      <c r="AO77" s="116">
        <v>162</v>
      </c>
      <c r="AP77" s="116">
        <v>30508157</v>
      </c>
      <c r="AQ77" s="116">
        <f t="shared" si="20"/>
        <v>412.00000000000006</v>
      </c>
      <c r="AR77" s="116">
        <f t="shared" si="21"/>
        <v>94380960.000000015</v>
      </c>
      <c r="AS77" s="118">
        <v>0.41200000000000003</v>
      </c>
    </row>
    <row r="78" spans="1:45" x14ac:dyDescent="0.3">
      <c r="A78" s="1" t="str">
        <f t="shared" si="14"/>
        <v>DMDJ75056ORL</v>
      </c>
      <c r="B78" s="126" t="s">
        <v>563</v>
      </c>
      <c r="C78" s="98" t="str">
        <f t="shared" si="17"/>
        <v>DJ750</v>
      </c>
      <c r="D78" s="98" t="s">
        <v>55</v>
      </c>
      <c r="E78" s="98" t="str">
        <f t="shared" si="18"/>
        <v>M</v>
      </c>
      <c r="F78" s="98" t="str">
        <f t="shared" si="19"/>
        <v>DJ</v>
      </c>
      <c r="G78" s="98" t="s">
        <v>56</v>
      </c>
      <c r="H78" s="115" t="s">
        <v>335</v>
      </c>
      <c r="I78" s="98" t="s">
        <v>564</v>
      </c>
      <c r="J78" s="115" t="str">
        <f t="shared" si="16"/>
        <v/>
      </c>
      <c r="K78" s="115">
        <v>1</v>
      </c>
      <c r="L78" s="116">
        <v>249000</v>
      </c>
      <c r="M78" s="78" t="s">
        <v>477</v>
      </c>
      <c r="N78" s="98" t="s">
        <v>478</v>
      </c>
      <c r="O78" s="98" t="s">
        <v>143</v>
      </c>
      <c r="P78" s="98">
        <v>100</v>
      </c>
      <c r="Q78" s="32" t="s">
        <v>479</v>
      </c>
      <c r="R78" s="98" t="s">
        <v>480</v>
      </c>
      <c r="S78" s="32" t="s">
        <v>481</v>
      </c>
      <c r="T78" s="98" t="s">
        <v>65</v>
      </c>
      <c r="U78" s="98"/>
      <c r="V78" s="98" t="s">
        <v>66</v>
      </c>
      <c r="W78" s="98"/>
      <c r="X78" s="78" t="s">
        <v>67</v>
      </c>
      <c r="Y78" s="98" t="s">
        <v>340</v>
      </c>
      <c r="Z78" s="32" t="s">
        <v>125</v>
      </c>
      <c r="AA78" s="32" t="s">
        <v>70</v>
      </c>
      <c r="AB78" s="78" t="s">
        <v>342</v>
      </c>
      <c r="AC78" s="119" t="s">
        <v>92</v>
      </c>
      <c r="AD78" s="119" t="s">
        <v>92</v>
      </c>
      <c r="AE78" s="65" t="s">
        <v>73</v>
      </c>
      <c r="AF78" s="39" t="s">
        <v>343</v>
      </c>
      <c r="AG78" s="98" t="s">
        <v>240</v>
      </c>
      <c r="AH78" s="115">
        <v>650</v>
      </c>
      <c r="AI78" s="117" t="s">
        <v>289</v>
      </c>
      <c r="AJ78" s="115" t="s">
        <v>241</v>
      </c>
      <c r="AK78" s="73">
        <v>798</v>
      </c>
      <c r="AL78" s="116">
        <f t="shared" si="15"/>
        <v>198702000</v>
      </c>
      <c r="AM78" s="116">
        <v>4</v>
      </c>
      <c r="AN78" s="116">
        <v>721200</v>
      </c>
      <c r="AO78" s="116">
        <v>89</v>
      </c>
      <c r="AP78" s="116">
        <v>17591714</v>
      </c>
      <c r="AQ78" s="116">
        <f t="shared" si="20"/>
        <v>288.5</v>
      </c>
      <c r="AR78" s="116">
        <f t="shared" si="21"/>
        <v>66089580</v>
      </c>
      <c r="AS78" s="118">
        <v>0.36152882205513781</v>
      </c>
    </row>
    <row r="79" spans="1:45" x14ac:dyDescent="0.3">
      <c r="A79" s="1" t="str">
        <f t="shared" si="14"/>
        <v>DMDJ75056DGS</v>
      </c>
      <c r="B79" s="126" t="s">
        <v>563</v>
      </c>
      <c r="C79" s="98" t="str">
        <f t="shared" si="17"/>
        <v>DJ750</v>
      </c>
      <c r="D79" s="98" t="s">
        <v>55</v>
      </c>
      <c r="E79" s="98" t="str">
        <f t="shared" si="18"/>
        <v>M</v>
      </c>
      <c r="F79" s="98" t="str">
        <f t="shared" si="19"/>
        <v>DJ</v>
      </c>
      <c r="G79" s="98" t="s">
        <v>56</v>
      </c>
      <c r="H79" s="115" t="s">
        <v>335</v>
      </c>
      <c r="I79" s="98" t="s">
        <v>435</v>
      </c>
      <c r="J79" s="115" t="str">
        <f t="shared" si="16"/>
        <v/>
      </c>
      <c r="K79" s="115">
        <v>1</v>
      </c>
      <c r="L79" s="116">
        <v>249000</v>
      </c>
      <c r="M79" s="78" t="s">
        <v>477</v>
      </c>
      <c r="N79" s="98" t="s">
        <v>478</v>
      </c>
      <c r="O79" s="98" t="s">
        <v>143</v>
      </c>
      <c r="P79" s="98">
        <v>100</v>
      </c>
      <c r="Q79" s="32" t="s">
        <v>479</v>
      </c>
      <c r="R79" s="98" t="s">
        <v>480</v>
      </c>
      <c r="S79" s="32" t="s">
        <v>481</v>
      </c>
      <c r="T79" s="98" t="s">
        <v>65</v>
      </c>
      <c r="U79" s="98"/>
      <c r="V79" s="98" t="s">
        <v>66</v>
      </c>
      <c r="W79" s="98"/>
      <c r="X79" s="78" t="s">
        <v>67</v>
      </c>
      <c r="Y79" s="98" t="s">
        <v>340</v>
      </c>
      <c r="Z79" s="32" t="s">
        <v>125</v>
      </c>
      <c r="AA79" s="32" t="s">
        <v>70</v>
      </c>
      <c r="AB79" s="78" t="s">
        <v>342</v>
      </c>
      <c r="AC79" s="119" t="s">
        <v>92</v>
      </c>
      <c r="AD79" s="119" t="s">
        <v>92</v>
      </c>
      <c r="AE79" s="65" t="s">
        <v>73</v>
      </c>
      <c r="AF79" s="39" t="s">
        <v>343</v>
      </c>
      <c r="AG79" s="98" t="s">
        <v>240</v>
      </c>
      <c r="AH79" s="115">
        <v>650</v>
      </c>
      <c r="AI79" s="117" t="s">
        <v>289</v>
      </c>
      <c r="AJ79" s="115" t="s">
        <v>241</v>
      </c>
      <c r="AK79" s="73">
        <v>996</v>
      </c>
      <c r="AL79" s="116">
        <f t="shared" si="15"/>
        <v>248004000</v>
      </c>
      <c r="AM79" s="116">
        <v>28</v>
      </c>
      <c r="AN79" s="116">
        <v>4805700</v>
      </c>
      <c r="AO79" s="116">
        <v>339</v>
      </c>
      <c r="AP79" s="116">
        <v>67625846</v>
      </c>
      <c r="AQ79" s="116">
        <f t="shared" si="20"/>
        <v>588</v>
      </c>
      <c r="AR79" s="116">
        <f t="shared" si="21"/>
        <v>134699040</v>
      </c>
      <c r="AS79" s="118">
        <v>0.59036144578313254</v>
      </c>
    </row>
    <row r="80" spans="1:45" x14ac:dyDescent="0.3">
      <c r="A80" s="1" t="str">
        <f t="shared" si="14"/>
        <v>DMDJ75056BKS</v>
      </c>
      <c r="B80" s="126" t="s">
        <v>563</v>
      </c>
      <c r="C80" s="98" t="str">
        <f t="shared" si="17"/>
        <v>DJ750</v>
      </c>
      <c r="D80" s="98" t="s">
        <v>55</v>
      </c>
      <c r="E80" s="98" t="str">
        <f t="shared" si="18"/>
        <v>M</v>
      </c>
      <c r="F80" s="98" t="str">
        <f t="shared" si="19"/>
        <v>DJ</v>
      </c>
      <c r="G80" s="98" t="s">
        <v>56</v>
      </c>
      <c r="H80" s="115" t="s">
        <v>335</v>
      </c>
      <c r="I80" s="98" t="s">
        <v>78</v>
      </c>
      <c r="J80" s="115" t="str">
        <f t="shared" si="16"/>
        <v/>
      </c>
      <c r="K80" s="115">
        <v>1</v>
      </c>
      <c r="L80" s="116">
        <v>249000</v>
      </c>
      <c r="M80" s="78" t="s">
        <v>477</v>
      </c>
      <c r="N80" s="98" t="s">
        <v>478</v>
      </c>
      <c r="O80" s="98" t="s">
        <v>143</v>
      </c>
      <c r="P80" s="98">
        <v>100</v>
      </c>
      <c r="Q80" s="32" t="s">
        <v>479</v>
      </c>
      <c r="R80" s="98" t="s">
        <v>480</v>
      </c>
      <c r="S80" s="32" t="s">
        <v>481</v>
      </c>
      <c r="T80" s="98" t="s">
        <v>65</v>
      </c>
      <c r="U80" s="98"/>
      <c r="V80" s="98" t="s">
        <v>66</v>
      </c>
      <c r="W80" s="98"/>
      <c r="X80" s="78" t="s">
        <v>67</v>
      </c>
      <c r="Y80" s="98" t="s">
        <v>340</v>
      </c>
      <c r="Z80" s="32" t="s">
        <v>125</v>
      </c>
      <c r="AA80" s="32" t="s">
        <v>70</v>
      </c>
      <c r="AB80" s="78" t="s">
        <v>342</v>
      </c>
      <c r="AC80" s="119" t="s">
        <v>92</v>
      </c>
      <c r="AD80" s="119" t="s">
        <v>92</v>
      </c>
      <c r="AE80" s="65" t="s">
        <v>73</v>
      </c>
      <c r="AF80" s="39" t="s">
        <v>343</v>
      </c>
      <c r="AG80" s="98" t="s">
        <v>240</v>
      </c>
      <c r="AH80" s="115">
        <v>650</v>
      </c>
      <c r="AI80" s="117" t="s">
        <v>289</v>
      </c>
      <c r="AJ80" s="115" t="s">
        <v>241</v>
      </c>
      <c r="AK80" s="73">
        <v>3479</v>
      </c>
      <c r="AL80" s="116">
        <f t="shared" si="15"/>
        <v>866271000</v>
      </c>
      <c r="AM80" s="116">
        <v>108</v>
      </c>
      <c r="AN80" s="116">
        <v>18781400</v>
      </c>
      <c r="AO80" s="116">
        <v>962</v>
      </c>
      <c r="AP80" s="116">
        <v>181952052</v>
      </c>
      <c r="AQ80" s="116">
        <f t="shared" si="20"/>
        <v>1831.7500000000002</v>
      </c>
      <c r="AR80" s="116">
        <f t="shared" si="21"/>
        <v>419617290.00000006</v>
      </c>
      <c r="AS80" s="118">
        <v>0.52651624029893651</v>
      </c>
    </row>
    <row r="81" spans="1:45" x14ac:dyDescent="0.3">
      <c r="A81" s="1" t="str">
        <f t="shared" si="14"/>
        <v>DMDJ75056DTS</v>
      </c>
      <c r="B81" s="126" t="s">
        <v>563</v>
      </c>
      <c r="C81" s="98" t="str">
        <f t="shared" si="17"/>
        <v>DJ750</v>
      </c>
      <c r="D81" s="98" t="s">
        <v>148</v>
      </c>
      <c r="E81" s="98" t="str">
        <f t="shared" si="18"/>
        <v>M</v>
      </c>
      <c r="F81" s="98" t="str">
        <f t="shared" si="19"/>
        <v>DJ</v>
      </c>
      <c r="G81" s="98" t="s">
        <v>56</v>
      </c>
      <c r="H81" s="115" t="s">
        <v>335</v>
      </c>
      <c r="I81" s="98" t="s">
        <v>414</v>
      </c>
      <c r="J81" s="115" t="str">
        <f t="shared" si="16"/>
        <v/>
      </c>
      <c r="K81" s="115">
        <v>1</v>
      </c>
      <c r="L81" s="116">
        <v>249000</v>
      </c>
      <c r="M81" s="78" t="s">
        <v>477</v>
      </c>
      <c r="N81" s="98" t="s">
        <v>478</v>
      </c>
      <c r="O81" s="98" t="s">
        <v>143</v>
      </c>
      <c r="P81" s="98">
        <v>100</v>
      </c>
      <c r="Q81" s="32" t="s">
        <v>479</v>
      </c>
      <c r="R81" s="98" t="s">
        <v>480</v>
      </c>
      <c r="S81" s="32" t="s">
        <v>481</v>
      </c>
      <c r="T81" s="98" t="s">
        <v>65</v>
      </c>
      <c r="U81" s="98"/>
      <c r="V81" s="98" t="s">
        <v>66</v>
      </c>
      <c r="W81" s="98"/>
      <c r="X81" s="78" t="s">
        <v>67</v>
      </c>
      <c r="Y81" s="98" t="s">
        <v>340</v>
      </c>
      <c r="Z81" s="32" t="s">
        <v>125</v>
      </c>
      <c r="AA81" s="32" t="s">
        <v>70</v>
      </c>
      <c r="AB81" s="78" t="s">
        <v>342</v>
      </c>
      <c r="AC81" s="119" t="s">
        <v>92</v>
      </c>
      <c r="AD81" s="119" t="s">
        <v>92</v>
      </c>
      <c r="AE81" s="65" t="s">
        <v>73</v>
      </c>
      <c r="AF81" s="39" t="s">
        <v>343</v>
      </c>
      <c r="AG81" s="98" t="s">
        <v>240</v>
      </c>
      <c r="AH81" s="115">
        <v>650</v>
      </c>
      <c r="AI81" s="117" t="s">
        <v>289</v>
      </c>
      <c r="AJ81" s="115" t="s">
        <v>241</v>
      </c>
      <c r="AK81" s="73">
        <v>489</v>
      </c>
      <c r="AL81" s="116">
        <f t="shared" si="15"/>
        <v>121761000</v>
      </c>
      <c r="AM81" s="116">
        <v>7</v>
      </c>
      <c r="AN81" s="116">
        <v>1198100</v>
      </c>
      <c r="AO81" s="116">
        <v>169</v>
      </c>
      <c r="AP81" s="116">
        <v>32649249</v>
      </c>
      <c r="AQ81" s="116">
        <f t="shared" si="20"/>
        <v>291.25000000000006</v>
      </c>
      <c r="AR81" s="116">
        <f t="shared" si="21"/>
        <v>66719550.000000015</v>
      </c>
      <c r="AS81" s="118">
        <v>0.59560327198364016</v>
      </c>
    </row>
    <row r="82" spans="1:45" x14ac:dyDescent="0.3">
      <c r="A82" s="1" t="str">
        <f t="shared" si="14"/>
        <v>DWDJ76056BGS</v>
      </c>
      <c r="B82" s="126" t="s">
        <v>565</v>
      </c>
      <c r="C82" s="98" t="str">
        <f t="shared" si="17"/>
        <v>DJ760</v>
      </c>
      <c r="D82" s="98" t="s">
        <v>55</v>
      </c>
      <c r="E82" s="98" t="str">
        <f t="shared" si="18"/>
        <v>W</v>
      </c>
      <c r="F82" s="98" t="str">
        <f t="shared" si="19"/>
        <v>DJ</v>
      </c>
      <c r="G82" s="98" t="s">
        <v>56</v>
      </c>
      <c r="H82" s="115" t="s">
        <v>347</v>
      </c>
      <c r="I82" s="98" t="s">
        <v>82</v>
      </c>
      <c r="J82" s="115">
        <f t="shared" si="16"/>
        <v>1</v>
      </c>
      <c r="K82" s="115">
        <v>1</v>
      </c>
      <c r="L82" s="116">
        <v>249000</v>
      </c>
      <c r="M82" s="78" t="s">
        <v>477</v>
      </c>
      <c r="N82" s="98" t="s">
        <v>478</v>
      </c>
      <c r="O82" s="98" t="s">
        <v>143</v>
      </c>
      <c r="P82" s="98">
        <v>100</v>
      </c>
      <c r="Q82" s="32" t="s">
        <v>479</v>
      </c>
      <c r="R82" s="98" t="s">
        <v>480</v>
      </c>
      <c r="S82" s="32" t="s">
        <v>481</v>
      </c>
      <c r="T82" s="98" t="s">
        <v>65</v>
      </c>
      <c r="U82" s="98"/>
      <c r="V82" s="98" t="s">
        <v>66</v>
      </c>
      <c r="W82" s="98"/>
      <c r="X82" s="78" t="s">
        <v>67</v>
      </c>
      <c r="Y82" s="98" t="s">
        <v>340</v>
      </c>
      <c r="Z82" s="32" t="s">
        <v>125</v>
      </c>
      <c r="AA82" s="32" t="s">
        <v>70</v>
      </c>
      <c r="AB82" s="78" t="s">
        <v>342</v>
      </c>
      <c r="AC82" s="119" t="s">
        <v>92</v>
      </c>
      <c r="AD82" s="119" t="s">
        <v>92</v>
      </c>
      <c r="AE82" s="65" t="s">
        <v>73</v>
      </c>
      <c r="AF82" s="39" t="s">
        <v>566</v>
      </c>
      <c r="AG82" s="98" t="s">
        <v>240</v>
      </c>
      <c r="AH82" s="115">
        <v>650</v>
      </c>
      <c r="AI82" s="117" t="s">
        <v>289</v>
      </c>
      <c r="AJ82" s="115" t="s">
        <v>241</v>
      </c>
      <c r="AK82" s="73">
        <v>2408</v>
      </c>
      <c r="AL82" s="116">
        <f t="shared" si="15"/>
        <v>599592000</v>
      </c>
      <c r="AM82" s="116">
        <v>13</v>
      </c>
      <c r="AN82" s="116">
        <v>2191200</v>
      </c>
      <c r="AO82" s="116">
        <v>199</v>
      </c>
      <c r="AP82" s="116">
        <v>38493036</v>
      </c>
      <c r="AQ82" s="116">
        <f t="shared" si="20"/>
        <v>800.99999999999989</v>
      </c>
      <c r="AR82" s="116">
        <f t="shared" si="21"/>
        <v>183493079.99999997</v>
      </c>
      <c r="AS82" s="118">
        <v>0.33264119601328901</v>
      </c>
    </row>
    <row r="83" spans="1:45" x14ac:dyDescent="0.3">
      <c r="A83" s="1" t="str">
        <f t="shared" si="14"/>
        <v>DWDJ76056BKS</v>
      </c>
      <c r="B83" s="126" t="s">
        <v>565</v>
      </c>
      <c r="C83" s="98" t="str">
        <f t="shared" si="17"/>
        <v>DJ760</v>
      </c>
      <c r="D83" s="98" t="s">
        <v>55</v>
      </c>
      <c r="E83" s="98" t="str">
        <f t="shared" si="18"/>
        <v>W</v>
      </c>
      <c r="F83" s="98" t="str">
        <f t="shared" si="19"/>
        <v>DJ</v>
      </c>
      <c r="G83" s="98" t="s">
        <v>56</v>
      </c>
      <c r="H83" s="115" t="s">
        <v>347</v>
      </c>
      <c r="I83" s="98" t="s">
        <v>78</v>
      </c>
      <c r="J83" s="115" t="str">
        <f t="shared" si="16"/>
        <v/>
      </c>
      <c r="K83" s="115">
        <v>1</v>
      </c>
      <c r="L83" s="116">
        <v>249000</v>
      </c>
      <c r="M83" s="78" t="s">
        <v>477</v>
      </c>
      <c r="N83" s="98" t="s">
        <v>478</v>
      </c>
      <c r="O83" s="98" t="s">
        <v>143</v>
      </c>
      <c r="P83" s="98">
        <v>100</v>
      </c>
      <c r="Q83" s="32" t="s">
        <v>479</v>
      </c>
      <c r="R83" s="98" t="s">
        <v>480</v>
      </c>
      <c r="S83" s="32" t="s">
        <v>481</v>
      </c>
      <c r="T83" s="98" t="s">
        <v>65</v>
      </c>
      <c r="U83" s="98"/>
      <c r="V83" s="98" t="s">
        <v>66</v>
      </c>
      <c r="W83" s="98"/>
      <c r="X83" s="78" t="s">
        <v>67</v>
      </c>
      <c r="Y83" s="98" t="s">
        <v>340</v>
      </c>
      <c r="Z83" s="32" t="s">
        <v>125</v>
      </c>
      <c r="AA83" s="32" t="s">
        <v>70</v>
      </c>
      <c r="AB83" s="78" t="s">
        <v>342</v>
      </c>
      <c r="AC83" s="119" t="s">
        <v>92</v>
      </c>
      <c r="AD83" s="119" t="s">
        <v>92</v>
      </c>
      <c r="AE83" s="65" t="s">
        <v>73</v>
      </c>
      <c r="AF83" s="39" t="s">
        <v>566</v>
      </c>
      <c r="AG83" s="98" t="s">
        <v>240</v>
      </c>
      <c r="AH83" s="115">
        <v>650</v>
      </c>
      <c r="AI83" s="117" t="s">
        <v>289</v>
      </c>
      <c r="AJ83" s="115" t="s">
        <v>241</v>
      </c>
      <c r="AK83" s="73">
        <v>1696</v>
      </c>
      <c r="AL83" s="116">
        <f t="shared" si="15"/>
        <v>422304000</v>
      </c>
      <c r="AM83" s="116">
        <v>25</v>
      </c>
      <c r="AN83" s="116">
        <v>4346500</v>
      </c>
      <c r="AO83" s="116">
        <v>392</v>
      </c>
      <c r="AP83" s="116">
        <v>73111442</v>
      </c>
      <c r="AQ83" s="116">
        <f t="shared" si="20"/>
        <v>816</v>
      </c>
      <c r="AR83" s="116">
        <f t="shared" si="21"/>
        <v>186929280</v>
      </c>
      <c r="AS83" s="118">
        <v>0.48113207547169812</v>
      </c>
    </row>
    <row r="84" spans="1:45" x14ac:dyDescent="0.3">
      <c r="A84" s="1" t="str">
        <f t="shared" si="14"/>
        <v>DMDJ7I056BKS</v>
      </c>
      <c r="B84" s="126" t="s">
        <v>567</v>
      </c>
      <c r="C84" s="98" t="str">
        <f t="shared" si="17"/>
        <v>DJ7I0</v>
      </c>
      <c r="D84" s="98" t="s">
        <v>55</v>
      </c>
      <c r="E84" s="98" t="str">
        <f t="shared" si="18"/>
        <v>M</v>
      </c>
      <c r="F84" s="98" t="str">
        <f t="shared" si="19"/>
        <v>DJ</v>
      </c>
      <c r="G84" s="98" t="s">
        <v>56</v>
      </c>
      <c r="H84" s="115" t="s">
        <v>568</v>
      </c>
      <c r="I84" s="98" t="s">
        <v>78</v>
      </c>
      <c r="J84" s="115">
        <f t="shared" si="16"/>
        <v>1</v>
      </c>
      <c r="K84" s="115">
        <v>1</v>
      </c>
      <c r="L84" s="116">
        <v>259000</v>
      </c>
      <c r="M84" s="78" t="s">
        <v>477</v>
      </c>
      <c r="N84" s="98" t="s">
        <v>478</v>
      </c>
      <c r="O84" s="98" t="s">
        <v>143</v>
      </c>
      <c r="P84" s="98">
        <v>100</v>
      </c>
      <c r="Q84" s="32" t="s">
        <v>479</v>
      </c>
      <c r="R84" s="98" t="s">
        <v>480</v>
      </c>
      <c r="S84" s="32" t="s">
        <v>481</v>
      </c>
      <c r="T84" s="98" t="s">
        <v>65</v>
      </c>
      <c r="U84" s="98"/>
      <c r="V84" s="98" t="s">
        <v>66</v>
      </c>
      <c r="W84" s="98"/>
      <c r="X84" s="78" t="s">
        <v>67</v>
      </c>
      <c r="Y84" s="98" t="s">
        <v>340</v>
      </c>
      <c r="Z84" s="32" t="s">
        <v>125</v>
      </c>
      <c r="AA84" s="32" t="s">
        <v>70</v>
      </c>
      <c r="AB84" s="78" t="s">
        <v>342</v>
      </c>
      <c r="AC84" s="119" t="s">
        <v>92</v>
      </c>
      <c r="AD84" s="119" t="s">
        <v>92</v>
      </c>
      <c r="AE84" s="65" t="s">
        <v>73</v>
      </c>
      <c r="AF84" s="39" t="s">
        <v>569</v>
      </c>
      <c r="AG84" s="98" t="s">
        <v>240</v>
      </c>
      <c r="AH84" s="115">
        <v>650</v>
      </c>
      <c r="AI84" s="117" t="s">
        <v>289</v>
      </c>
      <c r="AJ84" s="115" t="s">
        <v>241</v>
      </c>
      <c r="AK84" s="73">
        <v>3289</v>
      </c>
      <c r="AL84" s="116">
        <f t="shared" si="15"/>
        <v>851851000</v>
      </c>
      <c r="AM84" s="116">
        <v>146</v>
      </c>
      <c r="AN84" s="116">
        <v>26456270</v>
      </c>
      <c r="AO84" s="116">
        <v>1694</v>
      </c>
      <c r="AP84" s="116">
        <v>331637806</v>
      </c>
      <c r="AQ84" s="116">
        <f t="shared" si="20"/>
        <v>2516.25</v>
      </c>
      <c r="AR84" s="116">
        <f t="shared" si="21"/>
        <v>599572050</v>
      </c>
      <c r="AS84" s="118">
        <v>0.76505016722408026</v>
      </c>
    </row>
    <row r="85" spans="1:45" x14ac:dyDescent="0.3">
      <c r="A85" s="1" t="str">
        <f t="shared" si="14"/>
        <v>DMDJ7I056TQD</v>
      </c>
      <c r="B85" s="126" t="s">
        <v>567</v>
      </c>
      <c r="C85" s="98" t="str">
        <f t="shared" si="17"/>
        <v>DJ7I0</v>
      </c>
      <c r="D85" s="98" t="s">
        <v>55</v>
      </c>
      <c r="E85" s="98" t="str">
        <f t="shared" si="18"/>
        <v>M</v>
      </c>
      <c r="F85" s="98" t="str">
        <f t="shared" si="19"/>
        <v>DJ</v>
      </c>
      <c r="G85" s="98" t="s">
        <v>56</v>
      </c>
      <c r="H85" s="115" t="s">
        <v>568</v>
      </c>
      <c r="I85" s="98" t="s">
        <v>242</v>
      </c>
      <c r="J85" s="115" t="str">
        <f t="shared" si="16"/>
        <v/>
      </c>
      <c r="K85" s="115">
        <v>1</v>
      </c>
      <c r="L85" s="116">
        <v>259000</v>
      </c>
      <c r="M85" s="78" t="s">
        <v>477</v>
      </c>
      <c r="N85" s="98" t="s">
        <v>478</v>
      </c>
      <c r="O85" s="98" t="s">
        <v>143</v>
      </c>
      <c r="P85" s="98">
        <v>100</v>
      </c>
      <c r="Q85" s="32" t="s">
        <v>479</v>
      </c>
      <c r="R85" s="98" t="s">
        <v>480</v>
      </c>
      <c r="S85" s="32" t="s">
        <v>481</v>
      </c>
      <c r="T85" s="98" t="s">
        <v>65</v>
      </c>
      <c r="U85" s="98"/>
      <c r="V85" s="98" t="s">
        <v>66</v>
      </c>
      <c r="W85" s="98"/>
      <c r="X85" s="78" t="s">
        <v>67</v>
      </c>
      <c r="Y85" s="98" t="s">
        <v>340</v>
      </c>
      <c r="Z85" s="32" t="s">
        <v>125</v>
      </c>
      <c r="AA85" s="32" t="s">
        <v>70</v>
      </c>
      <c r="AB85" s="78" t="s">
        <v>342</v>
      </c>
      <c r="AC85" s="119" t="s">
        <v>92</v>
      </c>
      <c r="AD85" s="119" t="s">
        <v>92</v>
      </c>
      <c r="AE85" s="65" t="s">
        <v>73</v>
      </c>
      <c r="AF85" s="39" t="s">
        <v>569</v>
      </c>
      <c r="AG85" s="98" t="s">
        <v>240</v>
      </c>
      <c r="AH85" s="115">
        <v>650</v>
      </c>
      <c r="AI85" s="117" t="s">
        <v>289</v>
      </c>
      <c r="AJ85" s="115" t="s">
        <v>241</v>
      </c>
      <c r="AK85" s="73">
        <v>1193</v>
      </c>
      <c r="AL85" s="116">
        <f t="shared" si="15"/>
        <v>308987000</v>
      </c>
      <c r="AM85" s="116">
        <v>29</v>
      </c>
      <c r="AN85" s="116">
        <v>5260210</v>
      </c>
      <c r="AO85" s="116">
        <v>415</v>
      </c>
      <c r="AP85" s="116">
        <v>84831482</v>
      </c>
      <c r="AQ85" s="116">
        <f t="shared" si="20"/>
        <v>713.24999999999989</v>
      </c>
      <c r="AR85" s="116">
        <f t="shared" si="21"/>
        <v>169953209.99999997</v>
      </c>
      <c r="AS85" s="118">
        <v>0.59786253143336121</v>
      </c>
    </row>
    <row r="86" spans="1:45" x14ac:dyDescent="0.3">
      <c r="A86" s="1" t="str">
        <f t="shared" si="14"/>
        <v>DMDJ7I056DKS</v>
      </c>
      <c r="B86" s="126" t="s">
        <v>567</v>
      </c>
      <c r="C86" s="98" t="str">
        <f t="shared" si="17"/>
        <v>DJ7I0</v>
      </c>
      <c r="D86" s="98" t="s">
        <v>55</v>
      </c>
      <c r="E86" s="98" t="str">
        <f t="shared" si="18"/>
        <v>M</v>
      </c>
      <c r="F86" s="98" t="str">
        <f t="shared" si="19"/>
        <v>DJ</v>
      </c>
      <c r="G86" s="98" t="s">
        <v>56</v>
      </c>
      <c r="H86" s="115" t="s">
        <v>568</v>
      </c>
      <c r="I86" s="98" t="s">
        <v>570</v>
      </c>
      <c r="J86" s="115" t="str">
        <f t="shared" si="16"/>
        <v/>
      </c>
      <c r="K86" s="115">
        <v>1</v>
      </c>
      <c r="L86" s="116">
        <v>259000</v>
      </c>
      <c r="M86" s="78" t="s">
        <v>477</v>
      </c>
      <c r="N86" s="98" t="s">
        <v>478</v>
      </c>
      <c r="O86" s="98" t="s">
        <v>143</v>
      </c>
      <c r="P86" s="98">
        <v>100</v>
      </c>
      <c r="Q86" s="32" t="s">
        <v>479</v>
      </c>
      <c r="R86" s="98" t="s">
        <v>480</v>
      </c>
      <c r="S86" s="32" t="s">
        <v>481</v>
      </c>
      <c r="T86" s="98" t="s">
        <v>65</v>
      </c>
      <c r="U86" s="98"/>
      <c r="V86" s="98" t="s">
        <v>66</v>
      </c>
      <c r="W86" s="98"/>
      <c r="X86" s="78" t="s">
        <v>67</v>
      </c>
      <c r="Y86" s="98" t="s">
        <v>340</v>
      </c>
      <c r="Z86" s="32" t="s">
        <v>125</v>
      </c>
      <c r="AA86" s="32" t="s">
        <v>70</v>
      </c>
      <c r="AB86" s="78" t="s">
        <v>342</v>
      </c>
      <c r="AC86" s="119" t="s">
        <v>92</v>
      </c>
      <c r="AD86" s="119" t="s">
        <v>92</v>
      </c>
      <c r="AE86" s="65" t="s">
        <v>73</v>
      </c>
      <c r="AF86" s="39" t="s">
        <v>569</v>
      </c>
      <c r="AG86" s="98" t="s">
        <v>240</v>
      </c>
      <c r="AH86" s="115">
        <v>650</v>
      </c>
      <c r="AI86" s="117" t="s">
        <v>289</v>
      </c>
      <c r="AJ86" s="115" t="s">
        <v>241</v>
      </c>
      <c r="AK86" s="73">
        <v>1193</v>
      </c>
      <c r="AL86" s="116">
        <f t="shared" si="15"/>
        <v>308987000</v>
      </c>
      <c r="AM86" s="116">
        <v>36</v>
      </c>
      <c r="AN86" s="116">
        <v>6448100</v>
      </c>
      <c r="AO86" s="116">
        <v>591</v>
      </c>
      <c r="AP86" s="116">
        <v>115633997</v>
      </c>
      <c r="AQ86" s="116">
        <f t="shared" si="20"/>
        <v>889.24999999999989</v>
      </c>
      <c r="AR86" s="116">
        <f t="shared" si="21"/>
        <v>211890489.99999997</v>
      </c>
      <c r="AS86" s="118">
        <v>0.74538977367979875</v>
      </c>
    </row>
    <row r="87" spans="1:45" x14ac:dyDescent="0.3">
      <c r="A87" s="1" t="str">
        <f t="shared" si="14"/>
        <v>DWDJ7J056LKS</v>
      </c>
      <c r="B87" s="126" t="s">
        <v>571</v>
      </c>
      <c r="C87" s="98" t="str">
        <f t="shared" si="17"/>
        <v>DJ7J0</v>
      </c>
      <c r="D87" s="98" t="s">
        <v>55</v>
      </c>
      <c r="E87" s="98" t="str">
        <f t="shared" si="18"/>
        <v>W</v>
      </c>
      <c r="F87" s="98" t="str">
        <f t="shared" si="19"/>
        <v>DJ</v>
      </c>
      <c r="G87" s="98" t="s">
        <v>56</v>
      </c>
      <c r="H87" s="115" t="s">
        <v>572</v>
      </c>
      <c r="I87" s="98" t="s">
        <v>179</v>
      </c>
      <c r="J87" s="115">
        <f t="shared" si="16"/>
        <v>1</v>
      </c>
      <c r="K87" s="115">
        <v>1</v>
      </c>
      <c r="L87" s="116">
        <v>259000</v>
      </c>
      <c r="M87" s="78" t="s">
        <v>477</v>
      </c>
      <c r="N87" s="98" t="s">
        <v>478</v>
      </c>
      <c r="O87" s="98" t="s">
        <v>143</v>
      </c>
      <c r="P87" s="98">
        <v>100</v>
      </c>
      <c r="Q87" s="32" t="s">
        <v>479</v>
      </c>
      <c r="R87" s="98" t="s">
        <v>480</v>
      </c>
      <c r="S87" s="32" t="s">
        <v>481</v>
      </c>
      <c r="T87" s="98" t="s">
        <v>65</v>
      </c>
      <c r="U87" s="98"/>
      <c r="V87" s="98" t="s">
        <v>66</v>
      </c>
      <c r="W87" s="98"/>
      <c r="X87" s="78" t="s">
        <v>67</v>
      </c>
      <c r="Y87" s="98" t="s">
        <v>340</v>
      </c>
      <c r="Z87" s="32" t="s">
        <v>125</v>
      </c>
      <c r="AA87" s="32" t="s">
        <v>70</v>
      </c>
      <c r="AB87" s="78" t="s">
        <v>342</v>
      </c>
      <c r="AC87" s="119" t="s">
        <v>92</v>
      </c>
      <c r="AD87" s="119" t="s">
        <v>92</v>
      </c>
      <c r="AE87" s="65" t="s">
        <v>73</v>
      </c>
      <c r="AF87" s="39" t="s">
        <v>566</v>
      </c>
      <c r="AG87" s="98" t="s">
        <v>240</v>
      </c>
      <c r="AH87" s="115">
        <v>650</v>
      </c>
      <c r="AI87" s="117" t="s">
        <v>289</v>
      </c>
      <c r="AJ87" s="115" t="s">
        <v>241</v>
      </c>
      <c r="AK87" s="73">
        <v>796</v>
      </c>
      <c r="AL87" s="116">
        <f t="shared" si="15"/>
        <v>206164000</v>
      </c>
      <c r="AM87" s="116">
        <v>37</v>
      </c>
      <c r="AN87" s="116">
        <v>6704100</v>
      </c>
      <c r="AO87" s="116">
        <v>477</v>
      </c>
      <c r="AP87" s="116">
        <v>91470944</v>
      </c>
      <c r="AQ87" s="116">
        <f t="shared" si="20"/>
        <v>676</v>
      </c>
      <c r="AR87" s="116">
        <f t="shared" si="21"/>
        <v>161077280</v>
      </c>
      <c r="AS87" s="118">
        <v>0.84924623115577891</v>
      </c>
    </row>
    <row r="88" spans="1:45" x14ac:dyDescent="0.3">
      <c r="A88" s="1" t="str">
        <f t="shared" si="14"/>
        <v>DWDJ7J056LOS</v>
      </c>
      <c r="B88" s="126" t="s">
        <v>571</v>
      </c>
      <c r="C88" s="98" t="str">
        <f t="shared" si="17"/>
        <v>DJ7J0</v>
      </c>
      <c r="D88" s="98" t="s">
        <v>55</v>
      </c>
      <c r="E88" s="98" t="str">
        <f t="shared" si="18"/>
        <v>W</v>
      </c>
      <c r="F88" s="98" t="str">
        <f t="shared" si="19"/>
        <v>DJ</v>
      </c>
      <c r="G88" s="98" t="s">
        <v>56</v>
      </c>
      <c r="H88" s="115" t="s">
        <v>572</v>
      </c>
      <c r="I88" s="98" t="s">
        <v>573</v>
      </c>
      <c r="J88" s="115" t="str">
        <f t="shared" si="16"/>
        <v/>
      </c>
      <c r="K88" s="115">
        <v>1</v>
      </c>
      <c r="L88" s="116">
        <v>259000</v>
      </c>
      <c r="M88" s="78" t="s">
        <v>477</v>
      </c>
      <c r="N88" s="98" t="s">
        <v>478</v>
      </c>
      <c r="O88" s="98" t="s">
        <v>143</v>
      </c>
      <c r="P88" s="98">
        <v>100</v>
      </c>
      <c r="Q88" s="32" t="s">
        <v>479</v>
      </c>
      <c r="R88" s="98" t="s">
        <v>480</v>
      </c>
      <c r="S88" s="32" t="s">
        <v>481</v>
      </c>
      <c r="T88" s="98" t="s">
        <v>65</v>
      </c>
      <c r="U88" s="98"/>
      <c r="V88" s="98" t="s">
        <v>66</v>
      </c>
      <c r="W88" s="98"/>
      <c r="X88" s="78" t="s">
        <v>67</v>
      </c>
      <c r="Y88" s="98" t="s">
        <v>340</v>
      </c>
      <c r="Z88" s="32" t="s">
        <v>125</v>
      </c>
      <c r="AA88" s="32" t="s">
        <v>70</v>
      </c>
      <c r="AB88" s="78" t="s">
        <v>342</v>
      </c>
      <c r="AC88" s="119" t="s">
        <v>92</v>
      </c>
      <c r="AD88" s="119" t="s">
        <v>92</v>
      </c>
      <c r="AE88" s="65" t="s">
        <v>73</v>
      </c>
      <c r="AF88" s="39" t="s">
        <v>566</v>
      </c>
      <c r="AG88" s="98" t="s">
        <v>240</v>
      </c>
      <c r="AH88" s="115">
        <v>650</v>
      </c>
      <c r="AI88" s="117" t="s">
        <v>289</v>
      </c>
      <c r="AJ88" s="115" t="s">
        <v>241</v>
      </c>
      <c r="AK88" s="73">
        <v>800</v>
      </c>
      <c r="AL88" s="116">
        <f t="shared" si="15"/>
        <v>207200000</v>
      </c>
      <c r="AM88" s="116">
        <v>11</v>
      </c>
      <c r="AN88" s="116">
        <v>2006300</v>
      </c>
      <c r="AO88" s="116">
        <v>169</v>
      </c>
      <c r="AP88" s="116">
        <v>35025749</v>
      </c>
      <c r="AQ88" s="116">
        <f t="shared" si="20"/>
        <v>369</v>
      </c>
      <c r="AR88" s="116">
        <f t="shared" si="21"/>
        <v>87925320</v>
      </c>
      <c r="AS88" s="118">
        <v>0.46124999999999999</v>
      </c>
    </row>
    <row r="89" spans="1:45" x14ac:dyDescent="0.3">
      <c r="A89" s="1" t="str">
        <f t="shared" si="14"/>
        <v>DWDJ7J056BKS</v>
      </c>
      <c r="B89" s="126" t="s">
        <v>571</v>
      </c>
      <c r="C89" s="98" t="str">
        <f t="shared" si="17"/>
        <v>DJ7J0</v>
      </c>
      <c r="D89" s="98" t="s">
        <v>55</v>
      </c>
      <c r="E89" s="98" t="str">
        <f t="shared" si="18"/>
        <v>W</v>
      </c>
      <c r="F89" s="98" t="str">
        <f t="shared" si="19"/>
        <v>DJ</v>
      </c>
      <c r="G89" s="98" t="s">
        <v>56</v>
      </c>
      <c r="H89" s="115" t="s">
        <v>572</v>
      </c>
      <c r="I89" s="98" t="s">
        <v>78</v>
      </c>
      <c r="J89" s="115" t="str">
        <f t="shared" si="16"/>
        <v/>
      </c>
      <c r="K89" s="115">
        <v>1</v>
      </c>
      <c r="L89" s="116">
        <v>259000</v>
      </c>
      <c r="M89" s="78" t="s">
        <v>477</v>
      </c>
      <c r="N89" s="98" t="s">
        <v>478</v>
      </c>
      <c r="O89" s="98" t="s">
        <v>143</v>
      </c>
      <c r="P89" s="98">
        <v>100</v>
      </c>
      <c r="Q89" s="32" t="s">
        <v>479</v>
      </c>
      <c r="R89" s="98" t="s">
        <v>480</v>
      </c>
      <c r="S89" s="32" t="s">
        <v>481</v>
      </c>
      <c r="T89" s="98" t="s">
        <v>65</v>
      </c>
      <c r="U89" s="98"/>
      <c r="V89" s="98" t="s">
        <v>66</v>
      </c>
      <c r="W89" s="98"/>
      <c r="X89" s="78" t="s">
        <v>67</v>
      </c>
      <c r="Y89" s="98" t="s">
        <v>340</v>
      </c>
      <c r="Z89" s="32" t="s">
        <v>125</v>
      </c>
      <c r="AA89" s="32" t="s">
        <v>70</v>
      </c>
      <c r="AB89" s="78" t="s">
        <v>342</v>
      </c>
      <c r="AC89" s="119" t="s">
        <v>92</v>
      </c>
      <c r="AD89" s="119" t="s">
        <v>92</v>
      </c>
      <c r="AE89" s="65" t="s">
        <v>73</v>
      </c>
      <c r="AF89" s="39" t="s">
        <v>566</v>
      </c>
      <c r="AG89" s="98" t="s">
        <v>240</v>
      </c>
      <c r="AH89" s="115">
        <v>650</v>
      </c>
      <c r="AI89" s="117" t="s">
        <v>289</v>
      </c>
      <c r="AJ89" s="115" t="s">
        <v>241</v>
      </c>
      <c r="AK89" s="73">
        <v>1399</v>
      </c>
      <c r="AL89" s="116">
        <f t="shared" si="15"/>
        <v>362341000</v>
      </c>
      <c r="AM89" s="116">
        <v>49</v>
      </c>
      <c r="AN89" s="116">
        <v>8796320</v>
      </c>
      <c r="AO89" s="116">
        <v>820</v>
      </c>
      <c r="AP89" s="116">
        <v>160786905</v>
      </c>
      <c r="AQ89" s="116">
        <f t="shared" si="20"/>
        <v>1169.75</v>
      </c>
      <c r="AR89" s="116">
        <f t="shared" si="21"/>
        <v>278728030</v>
      </c>
      <c r="AS89" s="118">
        <v>0.83613295210864902</v>
      </c>
    </row>
    <row r="90" spans="1:45" x14ac:dyDescent="0.3">
      <c r="A90" s="1" t="str">
        <f t="shared" si="14"/>
        <v>DMDJ7M056KAD</v>
      </c>
      <c r="B90" s="126" t="s">
        <v>574</v>
      </c>
      <c r="C90" s="98" t="str">
        <f t="shared" si="17"/>
        <v>DJ7M0</v>
      </c>
      <c r="D90" s="98" t="s">
        <v>55</v>
      </c>
      <c r="E90" s="98" t="str">
        <f t="shared" si="18"/>
        <v>M</v>
      </c>
      <c r="F90" s="98" t="str">
        <f t="shared" si="19"/>
        <v>DJ</v>
      </c>
      <c r="G90" s="98" t="s">
        <v>56</v>
      </c>
      <c r="H90" s="115" t="s">
        <v>575</v>
      </c>
      <c r="I90" s="98" t="s">
        <v>576</v>
      </c>
      <c r="J90" s="115">
        <f t="shared" si="16"/>
        <v>1</v>
      </c>
      <c r="K90" s="115">
        <v>1</v>
      </c>
      <c r="L90" s="116">
        <v>279000</v>
      </c>
      <c r="M90" s="78" t="s">
        <v>477</v>
      </c>
      <c r="N90" s="98" t="s">
        <v>478</v>
      </c>
      <c r="O90" s="98" t="s">
        <v>143</v>
      </c>
      <c r="P90" s="98">
        <v>100</v>
      </c>
      <c r="Q90" s="32" t="s">
        <v>479</v>
      </c>
      <c r="R90" s="98" t="s">
        <v>480</v>
      </c>
      <c r="S90" s="32" t="s">
        <v>481</v>
      </c>
      <c r="T90" s="98" t="s">
        <v>65</v>
      </c>
      <c r="U90" s="98"/>
      <c r="V90" s="98" t="s">
        <v>66</v>
      </c>
      <c r="W90" s="98"/>
      <c r="X90" s="78" t="s">
        <v>67</v>
      </c>
      <c r="Y90" s="98" t="s">
        <v>340</v>
      </c>
      <c r="Z90" s="32" t="s">
        <v>125</v>
      </c>
      <c r="AA90" s="32" t="s">
        <v>70</v>
      </c>
      <c r="AB90" s="78" t="s">
        <v>71</v>
      </c>
      <c r="AC90" s="98" t="s">
        <v>62</v>
      </c>
      <c r="AD90" s="98" t="s">
        <v>72</v>
      </c>
      <c r="AE90" s="65" t="s">
        <v>73</v>
      </c>
      <c r="AF90" s="39" t="s">
        <v>170</v>
      </c>
      <c r="AG90" s="98" t="s">
        <v>240</v>
      </c>
      <c r="AH90" s="115">
        <v>650</v>
      </c>
      <c r="AI90" s="117" t="s">
        <v>289</v>
      </c>
      <c r="AJ90" s="115" t="s">
        <v>241</v>
      </c>
      <c r="AK90" s="73">
        <v>1248</v>
      </c>
      <c r="AL90" s="116">
        <f t="shared" si="15"/>
        <v>348192000</v>
      </c>
      <c r="AM90" s="116">
        <v>43</v>
      </c>
      <c r="AN90" s="116">
        <v>11113535</v>
      </c>
      <c r="AO90" s="116">
        <v>291</v>
      </c>
      <c r="AP90" s="116">
        <v>76213824</v>
      </c>
      <c r="AQ90" s="116">
        <f t="shared" si="20"/>
        <v>603</v>
      </c>
      <c r="AR90" s="116">
        <f t="shared" si="21"/>
        <v>154778040</v>
      </c>
      <c r="AS90" s="118">
        <v>0.48317307692307693</v>
      </c>
    </row>
    <row r="91" spans="1:45" x14ac:dyDescent="0.3">
      <c r="A91" s="1" t="str">
        <f t="shared" si="14"/>
        <v>DMDJ7M056BKS</v>
      </c>
      <c r="B91" s="126" t="s">
        <v>574</v>
      </c>
      <c r="C91" s="98" t="str">
        <f t="shared" si="17"/>
        <v>DJ7M0</v>
      </c>
      <c r="D91" s="98" t="s">
        <v>55</v>
      </c>
      <c r="E91" s="98" t="str">
        <f t="shared" si="18"/>
        <v>M</v>
      </c>
      <c r="F91" s="98" t="str">
        <f t="shared" si="19"/>
        <v>DJ</v>
      </c>
      <c r="G91" s="98" t="s">
        <v>56</v>
      </c>
      <c r="H91" s="115" t="s">
        <v>575</v>
      </c>
      <c r="I91" s="98" t="s">
        <v>78</v>
      </c>
      <c r="J91" s="115" t="str">
        <f t="shared" si="16"/>
        <v/>
      </c>
      <c r="K91" s="115">
        <v>1</v>
      </c>
      <c r="L91" s="116">
        <v>279000</v>
      </c>
      <c r="M91" s="78" t="s">
        <v>477</v>
      </c>
      <c r="N91" s="98" t="s">
        <v>478</v>
      </c>
      <c r="O91" s="98" t="s">
        <v>143</v>
      </c>
      <c r="P91" s="98">
        <v>100</v>
      </c>
      <c r="Q91" s="32" t="s">
        <v>479</v>
      </c>
      <c r="R91" s="98" t="s">
        <v>480</v>
      </c>
      <c r="S91" s="32" t="s">
        <v>481</v>
      </c>
      <c r="T91" s="98" t="s">
        <v>65</v>
      </c>
      <c r="U91" s="98"/>
      <c r="V91" s="98" t="s">
        <v>66</v>
      </c>
      <c r="W91" s="98"/>
      <c r="X91" s="78" t="s">
        <v>67</v>
      </c>
      <c r="Y91" s="98" t="s">
        <v>340</v>
      </c>
      <c r="Z91" s="32" t="s">
        <v>125</v>
      </c>
      <c r="AA91" s="32" t="s">
        <v>70</v>
      </c>
      <c r="AB91" s="78" t="s">
        <v>71</v>
      </c>
      <c r="AC91" s="98" t="s">
        <v>62</v>
      </c>
      <c r="AD91" s="98" t="s">
        <v>72</v>
      </c>
      <c r="AE91" s="65" t="s">
        <v>73</v>
      </c>
      <c r="AF91" s="39" t="s">
        <v>170</v>
      </c>
      <c r="AG91" s="98" t="s">
        <v>240</v>
      </c>
      <c r="AH91" s="115">
        <v>650</v>
      </c>
      <c r="AI91" s="117" t="s">
        <v>289</v>
      </c>
      <c r="AJ91" s="115" t="s">
        <v>241</v>
      </c>
      <c r="AK91" s="73">
        <v>2594</v>
      </c>
      <c r="AL91" s="116">
        <f t="shared" si="15"/>
        <v>723726000</v>
      </c>
      <c r="AM91" s="116">
        <v>56</v>
      </c>
      <c r="AN91" s="116">
        <v>13524990</v>
      </c>
      <c r="AO91" s="116">
        <v>543</v>
      </c>
      <c r="AP91" s="116">
        <v>141591017</v>
      </c>
      <c r="AQ91" s="116">
        <f t="shared" si="20"/>
        <v>1191.5</v>
      </c>
      <c r="AR91" s="116">
        <f t="shared" si="21"/>
        <v>305834220</v>
      </c>
      <c r="AS91" s="118">
        <v>0.45932922127987663</v>
      </c>
    </row>
    <row r="92" spans="1:45" x14ac:dyDescent="0.3">
      <c r="A92" s="1" t="str">
        <f t="shared" si="14"/>
        <v>DMDJ7G056BKS</v>
      </c>
      <c r="B92" s="126" t="s">
        <v>577</v>
      </c>
      <c r="C92" s="98" t="str">
        <f t="shared" si="17"/>
        <v>DJ7G0</v>
      </c>
      <c r="D92" s="98" t="s">
        <v>55</v>
      </c>
      <c r="E92" s="98" t="str">
        <f t="shared" si="18"/>
        <v>M</v>
      </c>
      <c r="F92" s="98" t="str">
        <f t="shared" si="19"/>
        <v>DJ</v>
      </c>
      <c r="G92" s="98" t="s">
        <v>56</v>
      </c>
      <c r="H92" s="115" t="s">
        <v>578</v>
      </c>
      <c r="I92" s="98" t="s">
        <v>78</v>
      </c>
      <c r="J92" s="115">
        <f t="shared" si="16"/>
        <v>1</v>
      </c>
      <c r="K92" s="115">
        <v>1</v>
      </c>
      <c r="L92" s="116">
        <v>379000</v>
      </c>
      <c r="M92" s="78" t="s">
        <v>477</v>
      </c>
      <c r="N92" s="98" t="s">
        <v>478</v>
      </c>
      <c r="O92" s="98" t="s">
        <v>143</v>
      </c>
      <c r="P92" s="98">
        <v>100</v>
      </c>
      <c r="Q92" s="32" t="s">
        <v>479</v>
      </c>
      <c r="R92" s="98" t="s">
        <v>480</v>
      </c>
      <c r="S92" s="32" t="s">
        <v>481</v>
      </c>
      <c r="T92" s="98" t="s">
        <v>65</v>
      </c>
      <c r="U92" s="98"/>
      <c r="V92" s="98" t="s">
        <v>66</v>
      </c>
      <c r="W92" s="98"/>
      <c r="X92" s="78" t="s">
        <v>67</v>
      </c>
      <c r="Y92" s="98" t="s">
        <v>340</v>
      </c>
      <c r="Z92" s="32" t="s">
        <v>125</v>
      </c>
      <c r="AA92" s="32" t="s">
        <v>70</v>
      </c>
      <c r="AB92" s="78" t="s">
        <v>71</v>
      </c>
      <c r="AC92" s="98" t="s">
        <v>337</v>
      </c>
      <c r="AD92" s="98" t="s">
        <v>72</v>
      </c>
      <c r="AE92" s="65" t="s">
        <v>73</v>
      </c>
      <c r="AF92" s="39" t="s">
        <v>442</v>
      </c>
      <c r="AG92" s="98" t="s">
        <v>127</v>
      </c>
      <c r="AH92" s="115">
        <v>650</v>
      </c>
      <c r="AI92" s="117" t="s">
        <v>264</v>
      </c>
      <c r="AJ92" s="115" t="s">
        <v>241</v>
      </c>
      <c r="AK92" s="73">
        <v>3179</v>
      </c>
      <c r="AL92" s="116">
        <f t="shared" si="15"/>
        <v>1204841000</v>
      </c>
      <c r="AM92" s="116">
        <v>169</v>
      </c>
      <c r="AN92" s="116">
        <v>60006475</v>
      </c>
      <c r="AO92" s="116">
        <v>484</v>
      </c>
      <c r="AP92" s="116">
        <v>175152548</v>
      </c>
      <c r="AQ92" s="116">
        <f t="shared" si="20"/>
        <v>1596.6499999999999</v>
      </c>
      <c r="AR92" s="116">
        <f t="shared" si="21"/>
        <v>556719922</v>
      </c>
      <c r="AS92" s="118">
        <v>0.50224913494809686</v>
      </c>
    </row>
    <row r="93" spans="1:45" x14ac:dyDescent="0.3">
      <c r="A93" s="1" t="str">
        <f t="shared" si="14"/>
        <v>DMDJ7G056TQD</v>
      </c>
      <c r="B93" s="126" t="s">
        <v>577</v>
      </c>
      <c r="C93" s="98" t="str">
        <f t="shared" si="17"/>
        <v>DJ7G0</v>
      </c>
      <c r="D93" s="98" t="s">
        <v>55</v>
      </c>
      <c r="E93" s="98" t="str">
        <f t="shared" si="18"/>
        <v>M</v>
      </c>
      <c r="F93" s="98" t="str">
        <f t="shared" si="19"/>
        <v>DJ</v>
      </c>
      <c r="G93" s="98" t="s">
        <v>56</v>
      </c>
      <c r="H93" s="115" t="s">
        <v>578</v>
      </c>
      <c r="I93" s="98" t="s">
        <v>242</v>
      </c>
      <c r="J93" s="115" t="str">
        <f t="shared" si="16"/>
        <v/>
      </c>
      <c r="K93" s="115">
        <v>1</v>
      </c>
      <c r="L93" s="116">
        <v>379000</v>
      </c>
      <c r="M93" s="78" t="s">
        <v>477</v>
      </c>
      <c r="N93" s="98" t="s">
        <v>478</v>
      </c>
      <c r="O93" s="98" t="s">
        <v>143</v>
      </c>
      <c r="P93" s="98">
        <v>100</v>
      </c>
      <c r="Q93" s="32" t="s">
        <v>479</v>
      </c>
      <c r="R93" s="98" t="s">
        <v>480</v>
      </c>
      <c r="S93" s="32" t="s">
        <v>481</v>
      </c>
      <c r="T93" s="98" t="s">
        <v>65</v>
      </c>
      <c r="U93" s="98"/>
      <c r="V93" s="98" t="s">
        <v>66</v>
      </c>
      <c r="W93" s="98"/>
      <c r="X93" s="78" t="s">
        <v>67</v>
      </c>
      <c r="Y93" s="98" t="s">
        <v>340</v>
      </c>
      <c r="Z93" s="32" t="s">
        <v>125</v>
      </c>
      <c r="AA93" s="32" t="s">
        <v>70</v>
      </c>
      <c r="AB93" s="78" t="s">
        <v>71</v>
      </c>
      <c r="AC93" s="98" t="s">
        <v>337</v>
      </c>
      <c r="AD93" s="98" t="s">
        <v>72</v>
      </c>
      <c r="AE93" s="65" t="s">
        <v>73</v>
      </c>
      <c r="AF93" s="39" t="s">
        <v>442</v>
      </c>
      <c r="AG93" s="98" t="s">
        <v>127</v>
      </c>
      <c r="AH93" s="115">
        <v>650</v>
      </c>
      <c r="AI93" s="117" t="s">
        <v>264</v>
      </c>
      <c r="AJ93" s="115" t="s">
        <v>241</v>
      </c>
      <c r="AK93" s="73">
        <v>1189</v>
      </c>
      <c r="AL93" s="116">
        <f t="shared" si="15"/>
        <v>450631000</v>
      </c>
      <c r="AM93" s="116">
        <v>40</v>
      </c>
      <c r="AN93" s="116">
        <v>13957466</v>
      </c>
      <c r="AO93" s="116">
        <v>106</v>
      </c>
      <c r="AP93" s="116">
        <v>37886270</v>
      </c>
      <c r="AQ93" s="116">
        <f t="shared" si="20"/>
        <v>522.15</v>
      </c>
      <c r="AR93" s="116">
        <f t="shared" si="21"/>
        <v>182063262</v>
      </c>
      <c r="AS93" s="118">
        <v>0.43915054667788056</v>
      </c>
    </row>
    <row r="94" spans="1:45" x14ac:dyDescent="0.3">
      <c r="A94" s="1" t="str">
        <f t="shared" si="14"/>
        <v>DMDJ7G056BGS</v>
      </c>
      <c r="B94" s="126" t="s">
        <v>577</v>
      </c>
      <c r="C94" s="98" t="str">
        <f t="shared" si="17"/>
        <v>DJ7G0</v>
      </c>
      <c r="D94" s="98" t="s">
        <v>55</v>
      </c>
      <c r="E94" s="98" t="str">
        <f t="shared" si="18"/>
        <v>M</v>
      </c>
      <c r="F94" s="98" t="str">
        <f t="shared" si="19"/>
        <v>DJ</v>
      </c>
      <c r="G94" s="98" t="s">
        <v>56</v>
      </c>
      <c r="H94" s="115" t="s">
        <v>578</v>
      </c>
      <c r="I94" s="98" t="s">
        <v>82</v>
      </c>
      <c r="J94" s="115" t="str">
        <f t="shared" si="16"/>
        <v/>
      </c>
      <c r="K94" s="115">
        <v>1</v>
      </c>
      <c r="L94" s="116">
        <v>379000</v>
      </c>
      <c r="M94" s="78" t="s">
        <v>477</v>
      </c>
      <c r="N94" s="98" t="s">
        <v>478</v>
      </c>
      <c r="O94" s="98" t="s">
        <v>143</v>
      </c>
      <c r="P94" s="98">
        <v>100</v>
      </c>
      <c r="Q94" s="32" t="s">
        <v>479</v>
      </c>
      <c r="R94" s="98" t="s">
        <v>480</v>
      </c>
      <c r="S94" s="32" t="s">
        <v>481</v>
      </c>
      <c r="T94" s="98" t="s">
        <v>65</v>
      </c>
      <c r="U94" s="98"/>
      <c r="V94" s="98" t="s">
        <v>66</v>
      </c>
      <c r="W94" s="98"/>
      <c r="X94" s="78" t="s">
        <v>67</v>
      </c>
      <c r="Y94" s="98" t="s">
        <v>340</v>
      </c>
      <c r="Z94" s="32" t="s">
        <v>125</v>
      </c>
      <c r="AA94" s="32" t="s">
        <v>70</v>
      </c>
      <c r="AB94" s="78" t="s">
        <v>71</v>
      </c>
      <c r="AC94" s="98" t="s">
        <v>337</v>
      </c>
      <c r="AD94" s="98" t="s">
        <v>72</v>
      </c>
      <c r="AE94" s="65" t="s">
        <v>73</v>
      </c>
      <c r="AF94" s="39" t="s">
        <v>442</v>
      </c>
      <c r="AG94" s="98" t="s">
        <v>127</v>
      </c>
      <c r="AH94" s="115">
        <v>650</v>
      </c>
      <c r="AI94" s="117" t="s">
        <v>264</v>
      </c>
      <c r="AJ94" s="115" t="s">
        <v>241</v>
      </c>
      <c r="AK94" s="73">
        <v>1663</v>
      </c>
      <c r="AL94" s="116">
        <f t="shared" si="15"/>
        <v>630277000</v>
      </c>
      <c r="AM94" s="116">
        <v>22</v>
      </c>
      <c r="AN94" s="116">
        <v>7591100</v>
      </c>
      <c r="AO94" s="116">
        <v>97</v>
      </c>
      <c r="AP94" s="116">
        <v>34725358</v>
      </c>
      <c r="AQ94" s="116">
        <f t="shared" si="20"/>
        <v>679.05</v>
      </c>
      <c r="AR94" s="116">
        <f t="shared" si="21"/>
        <v>236771153.99999997</v>
      </c>
      <c r="AS94" s="118">
        <v>0.40832832230907995</v>
      </c>
    </row>
    <row r="95" spans="1:45" x14ac:dyDescent="0.3">
      <c r="A95" s="1" t="str">
        <f t="shared" si="14"/>
        <v>DWDJ7H056BKS</v>
      </c>
      <c r="B95" s="126" t="s">
        <v>579</v>
      </c>
      <c r="C95" s="98" t="str">
        <f t="shared" si="17"/>
        <v>DJ7H0</v>
      </c>
      <c r="D95" s="98" t="s">
        <v>55</v>
      </c>
      <c r="E95" s="98" t="str">
        <f t="shared" si="18"/>
        <v>W</v>
      </c>
      <c r="F95" s="98" t="str">
        <f t="shared" si="19"/>
        <v>DJ</v>
      </c>
      <c r="G95" s="98" t="s">
        <v>56</v>
      </c>
      <c r="H95" s="115" t="s">
        <v>580</v>
      </c>
      <c r="I95" s="98" t="s">
        <v>78</v>
      </c>
      <c r="J95" s="115">
        <f t="shared" si="16"/>
        <v>1</v>
      </c>
      <c r="K95" s="115">
        <v>1</v>
      </c>
      <c r="L95" s="116">
        <v>379000</v>
      </c>
      <c r="M95" s="78" t="s">
        <v>477</v>
      </c>
      <c r="N95" s="98" t="s">
        <v>478</v>
      </c>
      <c r="O95" s="98" t="s">
        <v>143</v>
      </c>
      <c r="P95" s="98">
        <v>100</v>
      </c>
      <c r="Q95" s="32" t="s">
        <v>479</v>
      </c>
      <c r="R95" s="98" t="s">
        <v>480</v>
      </c>
      <c r="S95" s="32" t="s">
        <v>481</v>
      </c>
      <c r="T95" s="98" t="s">
        <v>65</v>
      </c>
      <c r="U95" s="98"/>
      <c r="V95" s="98" t="s">
        <v>66</v>
      </c>
      <c r="W95" s="98"/>
      <c r="X95" s="78" t="s">
        <v>67</v>
      </c>
      <c r="Y95" s="98" t="s">
        <v>340</v>
      </c>
      <c r="Z95" s="32" t="s">
        <v>125</v>
      </c>
      <c r="AA95" s="32" t="s">
        <v>70</v>
      </c>
      <c r="AB95" s="78" t="s">
        <v>71</v>
      </c>
      <c r="AC95" s="98" t="s">
        <v>337</v>
      </c>
      <c r="AD95" s="98" t="s">
        <v>72</v>
      </c>
      <c r="AE95" s="65" t="s">
        <v>73</v>
      </c>
      <c r="AF95" s="39" t="s">
        <v>581</v>
      </c>
      <c r="AG95" s="98" t="s">
        <v>127</v>
      </c>
      <c r="AH95" s="115">
        <v>650</v>
      </c>
      <c r="AI95" s="117" t="s">
        <v>264</v>
      </c>
      <c r="AJ95" s="115" t="s">
        <v>241</v>
      </c>
      <c r="AK95" s="73">
        <v>1199</v>
      </c>
      <c r="AL95" s="116">
        <f t="shared" si="15"/>
        <v>454421000</v>
      </c>
      <c r="AM95" s="116">
        <v>77</v>
      </c>
      <c r="AN95" s="116">
        <v>27394930</v>
      </c>
      <c r="AO95" s="116">
        <v>295</v>
      </c>
      <c r="AP95" s="116">
        <v>107128040</v>
      </c>
      <c r="AQ95" s="116">
        <f t="shared" si="20"/>
        <v>714.65</v>
      </c>
      <c r="AR95" s="116">
        <f t="shared" si="21"/>
        <v>249184162</v>
      </c>
      <c r="AS95" s="118">
        <v>0.59603836530442034</v>
      </c>
    </row>
    <row r="96" spans="1:45" x14ac:dyDescent="0.3">
      <c r="A96" s="1" t="str">
        <f t="shared" si="14"/>
        <v>DWDJ7H056BGS</v>
      </c>
      <c r="B96" s="126" t="s">
        <v>579</v>
      </c>
      <c r="C96" s="98" t="str">
        <f t="shared" si="17"/>
        <v>DJ7H0</v>
      </c>
      <c r="D96" s="98" t="s">
        <v>55</v>
      </c>
      <c r="E96" s="98" t="str">
        <f t="shared" si="18"/>
        <v>W</v>
      </c>
      <c r="F96" s="98" t="str">
        <f t="shared" si="19"/>
        <v>DJ</v>
      </c>
      <c r="G96" s="98" t="s">
        <v>56</v>
      </c>
      <c r="H96" s="115" t="s">
        <v>580</v>
      </c>
      <c r="I96" s="98" t="s">
        <v>82</v>
      </c>
      <c r="J96" s="115" t="str">
        <f t="shared" si="16"/>
        <v/>
      </c>
      <c r="K96" s="115">
        <v>1</v>
      </c>
      <c r="L96" s="116">
        <v>379000</v>
      </c>
      <c r="M96" s="78" t="s">
        <v>477</v>
      </c>
      <c r="N96" s="98" t="s">
        <v>478</v>
      </c>
      <c r="O96" s="98" t="s">
        <v>143</v>
      </c>
      <c r="P96" s="98">
        <v>100</v>
      </c>
      <c r="Q96" s="32" t="s">
        <v>479</v>
      </c>
      <c r="R96" s="98" t="s">
        <v>480</v>
      </c>
      <c r="S96" s="32" t="s">
        <v>481</v>
      </c>
      <c r="T96" s="98" t="s">
        <v>65</v>
      </c>
      <c r="U96" s="98"/>
      <c r="V96" s="98" t="s">
        <v>66</v>
      </c>
      <c r="W96" s="98"/>
      <c r="X96" s="78" t="s">
        <v>67</v>
      </c>
      <c r="Y96" s="98" t="s">
        <v>340</v>
      </c>
      <c r="Z96" s="32" t="s">
        <v>125</v>
      </c>
      <c r="AA96" s="32" t="s">
        <v>70</v>
      </c>
      <c r="AB96" s="78" t="s">
        <v>71</v>
      </c>
      <c r="AC96" s="98" t="s">
        <v>337</v>
      </c>
      <c r="AD96" s="98" t="s">
        <v>72</v>
      </c>
      <c r="AE96" s="65" t="s">
        <v>73</v>
      </c>
      <c r="AF96" s="39" t="s">
        <v>581</v>
      </c>
      <c r="AG96" s="98" t="s">
        <v>127</v>
      </c>
      <c r="AH96" s="115">
        <v>650</v>
      </c>
      <c r="AI96" s="117" t="s">
        <v>264</v>
      </c>
      <c r="AJ96" s="115" t="s">
        <v>241</v>
      </c>
      <c r="AK96" s="73">
        <v>800</v>
      </c>
      <c r="AL96" s="116">
        <f t="shared" si="15"/>
        <v>303200000</v>
      </c>
      <c r="AM96" s="116">
        <v>16</v>
      </c>
      <c r="AN96" s="116">
        <v>5388504</v>
      </c>
      <c r="AO96" s="116">
        <v>63</v>
      </c>
      <c r="AP96" s="116">
        <v>22575098</v>
      </c>
      <c r="AQ96" s="116">
        <f t="shared" si="20"/>
        <v>343</v>
      </c>
      <c r="AR96" s="116">
        <f t="shared" si="21"/>
        <v>119597239.99999999</v>
      </c>
      <c r="AS96" s="118">
        <v>0.42874999999999996</v>
      </c>
    </row>
    <row r="97" spans="1:45" x14ac:dyDescent="0.3">
      <c r="A97" s="1" t="str">
        <f t="shared" si="14"/>
        <v>DMDJ7S056BKS</v>
      </c>
      <c r="B97" s="126" t="s">
        <v>582</v>
      </c>
      <c r="C97" s="98" t="str">
        <f t="shared" si="17"/>
        <v>DJ7S0</v>
      </c>
      <c r="D97" s="98" t="s">
        <v>55</v>
      </c>
      <c r="E97" s="98" t="str">
        <f t="shared" si="18"/>
        <v>M</v>
      </c>
      <c r="F97" s="98" t="str">
        <f t="shared" si="19"/>
        <v>DJ</v>
      </c>
      <c r="G97" s="98" t="s">
        <v>56</v>
      </c>
      <c r="H97" s="115" t="s">
        <v>583</v>
      </c>
      <c r="I97" s="98" t="s">
        <v>78</v>
      </c>
      <c r="J97" s="115">
        <f t="shared" si="16"/>
        <v>1</v>
      </c>
      <c r="K97" s="115">
        <v>1</v>
      </c>
      <c r="L97" s="116">
        <v>529000</v>
      </c>
      <c r="M97" s="78" t="s">
        <v>408</v>
      </c>
      <c r="N97" s="98" t="s">
        <v>584</v>
      </c>
      <c r="O97" s="98" t="s">
        <v>143</v>
      </c>
      <c r="P97" s="98">
        <v>100</v>
      </c>
      <c r="Q97" s="32" t="s">
        <v>62</v>
      </c>
      <c r="R97" s="98" t="s">
        <v>585</v>
      </c>
      <c r="S97" s="32" t="s">
        <v>586</v>
      </c>
      <c r="T97" s="98" t="s">
        <v>65</v>
      </c>
      <c r="U97" s="98"/>
      <c r="V97" s="98" t="s">
        <v>520</v>
      </c>
      <c r="W97" s="98" t="s">
        <v>408</v>
      </c>
      <c r="X97" s="78" t="s">
        <v>67</v>
      </c>
      <c r="Y97" s="98" t="s">
        <v>340</v>
      </c>
      <c r="Z97" s="32" t="s">
        <v>125</v>
      </c>
      <c r="AA97" s="32" t="s">
        <v>426</v>
      </c>
      <c r="AB97" s="78" t="s">
        <v>71</v>
      </c>
      <c r="AC97" s="98" t="s">
        <v>62</v>
      </c>
      <c r="AD97" s="98" t="s">
        <v>72</v>
      </c>
      <c r="AE97" s="65" t="s">
        <v>73</v>
      </c>
      <c r="AF97" s="39" t="s">
        <v>587</v>
      </c>
      <c r="AG97" s="98" t="s">
        <v>127</v>
      </c>
      <c r="AH97" s="115">
        <v>650</v>
      </c>
      <c r="AI97" s="117" t="s">
        <v>99</v>
      </c>
      <c r="AJ97" s="115" t="s">
        <v>100</v>
      </c>
      <c r="AK97" s="73">
        <v>2513</v>
      </c>
      <c r="AL97" s="116">
        <f t="shared" si="15"/>
        <v>1329377000</v>
      </c>
      <c r="AM97" s="116">
        <v>8</v>
      </c>
      <c r="AN97" s="116">
        <v>3720000</v>
      </c>
      <c r="AO97" s="116">
        <v>34</v>
      </c>
      <c r="AP97" s="116">
        <v>16988639</v>
      </c>
      <c r="AQ97" s="116">
        <f t="shared" si="20"/>
        <v>913.55</v>
      </c>
      <c r="AR97" s="116">
        <f t="shared" si="21"/>
        <v>444606514</v>
      </c>
      <c r="AS97" s="118">
        <v>0.36352964584162356</v>
      </c>
    </row>
    <row r="98" spans="1:45" x14ac:dyDescent="0.3">
      <c r="A98" s="1" t="str">
        <f t="shared" si="14"/>
        <v>DMDJ7S056NYD</v>
      </c>
      <c r="B98" s="126" t="s">
        <v>588</v>
      </c>
      <c r="C98" s="98" t="str">
        <f t="shared" si="17"/>
        <v>DJ7S0</v>
      </c>
      <c r="D98" s="98" t="s">
        <v>55</v>
      </c>
      <c r="E98" s="98" t="str">
        <f t="shared" si="18"/>
        <v>M</v>
      </c>
      <c r="F98" s="98" t="str">
        <f t="shared" si="19"/>
        <v>DJ</v>
      </c>
      <c r="G98" s="98" t="s">
        <v>56</v>
      </c>
      <c r="H98" s="115" t="s">
        <v>583</v>
      </c>
      <c r="I98" s="98" t="s">
        <v>281</v>
      </c>
      <c r="J98" s="115" t="str">
        <f t="shared" si="16"/>
        <v/>
      </c>
      <c r="K98" s="115">
        <v>1</v>
      </c>
      <c r="L98" s="116">
        <v>529000</v>
      </c>
      <c r="M98" s="78" t="s">
        <v>408</v>
      </c>
      <c r="N98" s="98" t="s">
        <v>584</v>
      </c>
      <c r="O98" s="98" t="s">
        <v>143</v>
      </c>
      <c r="P98" s="98">
        <v>100</v>
      </c>
      <c r="Q98" s="32" t="s">
        <v>62</v>
      </c>
      <c r="R98" s="98" t="s">
        <v>585</v>
      </c>
      <c r="S98" s="32" t="s">
        <v>586</v>
      </c>
      <c r="T98" s="98" t="s">
        <v>65</v>
      </c>
      <c r="U98" s="98"/>
      <c r="V98" s="98" t="s">
        <v>520</v>
      </c>
      <c r="W98" s="98" t="s">
        <v>408</v>
      </c>
      <c r="X98" s="78" t="s">
        <v>67</v>
      </c>
      <c r="Y98" s="98" t="s">
        <v>340</v>
      </c>
      <c r="Z98" s="32" t="s">
        <v>125</v>
      </c>
      <c r="AA98" s="32" t="s">
        <v>426</v>
      </c>
      <c r="AB98" s="78" t="s">
        <v>71</v>
      </c>
      <c r="AC98" s="98" t="s">
        <v>62</v>
      </c>
      <c r="AD98" s="98" t="s">
        <v>72</v>
      </c>
      <c r="AE98" s="65" t="s">
        <v>73</v>
      </c>
      <c r="AF98" s="39" t="s">
        <v>587</v>
      </c>
      <c r="AG98" s="98" t="s">
        <v>127</v>
      </c>
      <c r="AH98" s="115">
        <v>650</v>
      </c>
      <c r="AI98" s="117" t="s">
        <v>99</v>
      </c>
      <c r="AJ98" s="115" t="s">
        <v>100</v>
      </c>
      <c r="AK98" s="73">
        <v>961</v>
      </c>
      <c r="AL98" s="116">
        <f t="shared" si="15"/>
        <v>508369000</v>
      </c>
      <c r="AM98" s="116">
        <v>6</v>
      </c>
      <c r="AN98" s="116">
        <v>2823380</v>
      </c>
      <c r="AO98" s="116">
        <v>16</v>
      </c>
      <c r="AP98" s="116">
        <v>8008380</v>
      </c>
      <c r="AQ98" s="116">
        <f t="shared" si="20"/>
        <v>352.34999999999997</v>
      </c>
      <c r="AR98" s="116">
        <f t="shared" si="21"/>
        <v>171481698</v>
      </c>
      <c r="AS98" s="118">
        <v>0.36664932362122787</v>
      </c>
    </row>
    <row r="99" spans="1:45" x14ac:dyDescent="0.3">
      <c r="A99" s="1" t="str">
        <f t="shared" si="14"/>
        <v>DMDJ7A056CBD</v>
      </c>
      <c r="B99" s="126" t="s">
        <v>589</v>
      </c>
      <c r="C99" s="98" t="str">
        <f t="shared" si="17"/>
        <v>DJ7A0</v>
      </c>
      <c r="D99" s="98" t="s">
        <v>55</v>
      </c>
      <c r="E99" s="98" t="str">
        <f t="shared" si="18"/>
        <v>M</v>
      </c>
      <c r="F99" s="98" t="str">
        <f t="shared" si="19"/>
        <v>DJ</v>
      </c>
      <c r="G99" s="98" t="s">
        <v>56</v>
      </c>
      <c r="H99" s="115" t="s">
        <v>590</v>
      </c>
      <c r="I99" s="98" t="s">
        <v>591</v>
      </c>
      <c r="J99" s="115">
        <f t="shared" si="16"/>
        <v>1</v>
      </c>
      <c r="K99" s="115">
        <v>1</v>
      </c>
      <c r="L99" s="116">
        <v>399000</v>
      </c>
      <c r="M99" s="78" t="s">
        <v>117</v>
      </c>
      <c r="N99" s="98" t="s">
        <v>592</v>
      </c>
      <c r="O99" s="98" t="s">
        <v>485</v>
      </c>
      <c r="P99" s="98">
        <v>100</v>
      </c>
      <c r="Q99" s="32" t="s">
        <v>204</v>
      </c>
      <c r="R99" s="98" t="s">
        <v>566</v>
      </c>
      <c r="S99" s="32" t="s">
        <v>121</v>
      </c>
      <c r="T99" s="98" t="s">
        <v>122</v>
      </c>
      <c r="U99" s="98" t="s">
        <v>123</v>
      </c>
      <c r="V99" s="98"/>
      <c r="W99" s="98" t="s">
        <v>124</v>
      </c>
      <c r="X99" s="78" t="s">
        <v>67</v>
      </c>
      <c r="Y99" s="98" t="s">
        <v>68</v>
      </c>
      <c r="Z99" s="32" t="s">
        <v>125</v>
      </c>
      <c r="AA99" s="32" t="s">
        <v>90</v>
      </c>
      <c r="AB99" s="78" t="s">
        <v>71</v>
      </c>
      <c r="AC99" s="98" t="s">
        <v>62</v>
      </c>
      <c r="AD99" s="98" t="s">
        <v>72</v>
      </c>
      <c r="AE99" s="65" t="s">
        <v>73</v>
      </c>
      <c r="AF99" s="39" t="s">
        <v>343</v>
      </c>
      <c r="AG99" s="98" t="s">
        <v>240</v>
      </c>
      <c r="AH99" s="115">
        <v>650</v>
      </c>
      <c r="AI99" s="117" t="s">
        <v>76</v>
      </c>
      <c r="AJ99" s="115" t="s">
        <v>241</v>
      </c>
      <c r="AK99" s="73">
        <v>802</v>
      </c>
      <c r="AL99" s="116">
        <f t="shared" si="15"/>
        <v>319998000</v>
      </c>
      <c r="AM99" s="116">
        <v>9</v>
      </c>
      <c r="AN99" s="116">
        <v>2866137</v>
      </c>
      <c r="AO99" s="116">
        <v>91</v>
      </c>
      <c r="AP99" s="116">
        <v>33191669</v>
      </c>
      <c r="AQ99" s="116">
        <f t="shared" si="20"/>
        <v>275.46000000000004</v>
      </c>
      <c r="AR99" s="116">
        <f t="shared" si="21"/>
        <v>101115856.8</v>
      </c>
      <c r="AS99" s="118">
        <v>0.34346633416458855</v>
      </c>
    </row>
    <row r="100" spans="1:45" x14ac:dyDescent="0.3">
      <c r="A100" s="1" t="str">
        <f t="shared" si="14"/>
        <v>DMDJ7A056BKS</v>
      </c>
      <c r="B100" s="126" t="s">
        <v>589</v>
      </c>
      <c r="C100" s="98" t="str">
        <f t="shared" si="17"/>
        <v>DJ7A0</v>
      </c>
      <c r="D100" s="98" t="s">
        <v>55</v>
      </c>
      <c r="E100" s="98" t="str">
        <f t="shared" si="18"/>
        <v>M</v>
      </c>
      <c r="F100" s="98" t="str">
        <f t="shared" si="19"/>
        <v>DJ</v>
      </c>
      <c r="G100" s="98" t="s">
        <v>56</v>
      </c>
      <c r="H100" s="115" t="s">
        <v>590</v>
      </c>
      <c r="I100" s="98" t="s">
        <v>78</v>
      </c>
      <c r="J100" s="115" t="str">
        <f t="shared" si="16"/>
        <v/>
      </c>
      <c r="K100" s="115">
        <v>1</v>
      </c>
      <c r="L100" s="116">
        <v>399000</v>
      </c>
      <c r="M100" s="78" t="s">
        <v>117</v>
      </c>
      <c r="N100" s="98" t="s">
        <v>592</v>
      </c>
      <c r="O100" s="98" t="s">
        <v>485</v>
      </c>
      <c r="P100" s="98">
        <v>100</v>
      </c>
      <c r="Q100" s="32" t="s">
        <v>204</v>
      </c>
      <c r="R100" s="98" t="s">
        <v>566</v>
      </c>
      <c r="S100" s="32" t="s">
        <v>121</v>
      </c>
      <c r="T100" s="98" t="s">
        <v>122</v>
      </c>
      <c r="U100" s="98" t="s">
        <v>123</v>
      </c>
      <c r="V100" s="98"/>
      <c r="W100" s="98" t="s">
        <v>124</v>
      </c>
      <c r="X100" s="78" t="s">
        <v>67</v>
      </c>
      <c r="Y100" s="98" t="s">
        <v>68</v>
      </c>
      <c r="Z100" s="32" t="s">
        <v>125</v>
      </c>
      <c r="AA100" s="32" t="s">
        <v>90</v>
      </c>
      <c r="AB100" s="78" t="s">
        <v>71</v>
      </c>
      <c r="AC100" s="98" t="s">
        <v>62</v>
      </c>
      <c r="AD100" s="98" t="s">
        <v>72</v>
      </c>
      <c r="AE100" s="65" t="s">
        <v>73</v>
      </c>
      <c r="AF100" s="39" t="s">
        <v>343</v>
      </c>
      <c r="AG100" s="98" t="s">
        <v>240</v>
      </c>
      <c r="AH100" s="115">
        <v>650</v>
      </c>
      <c r="AI100" s="117" t="s">
        <v>76</v>
      </c>
      <c r="AJ100" s="115" t="s">
        <v>241</v>
      </c>
      <c r="AK100" s="73">
        <v>1500</v>
      </c>
      <c r="AL100" s="116">
        <f t="shared" si="15"/>
        <v>598500000</v>
      </c>
      <c r="AM100" s="116">
        <v>134</v>
      </c>
      <c r="AN100" s="116">
        <v>40774499</v>
      </c>
      <c r="AO100" s="116">
        <v>692</v>
      </c>
      <c r="AP100" s="116">
        <v>251802910</v>
      </c>
      <c r="AQ100" s="116">
        <f t="shared" si="20"/>
        <v>1037</v>
      </c>
      <c r="AR100" s="116">
        <f t="shared" si="21"/>
        <v>380661960</v>
      </c>
      <c r="AS100" s="118">
        <v>0.69133333333333336</v>
      </c>
    </row>
    <row r="101" spans="1:45" x14ac:dyDescent="0.3">
      <c r="A101" s="1" t="str">
        <f t="shared" si="14"/>
        <v>DWDJ7B056ORS</v>
      </c>
      <c r="B101" s="126" t="s">
        <v>593</v>
      </c>
      <c r="C101" s="98" t="str">
        <f t="shared" si="17"/>
        <v>DJ7B0</v>
      </c>
      <c r="D101" s="98" t="s">
        <v>55</v>
      </c>
      <c r="E101" s="98" t="str">
        <f t="shared" si="18"/>
        <v>W</v>
      </c>
      <c r="F101" s="98" t="str">
        <f t="shared" si="19"/>
        <v>DJ</v>
      </c>
      <c r="G101" s="98" t="s">
        <v>56</v>
      </c>
      <c r="H101" s="115" t="s">
        <v>594</v>
      </c>
      <c r="I101" s="98" t="s">
        <v>595</v>
      </c>
      <c r="J101" s="115">
        <f t="shared" si="16"/>
        <v>1</v>
      </c>
      <c r="K101" s="115">
        <v>1</v>
      </c>
      <c r="L101" s="116">
        <v>399000</v>
      </c>
      <c r="M101" s="78" t="s">
        <v>117</v>
      </c>
      <c r="N101" s="98" t="s">
        <v>592</v>
      </c>
      <c r="O101" s="98" t="s">
        <v>485</v>
      </c>
      <c r="P101" s="98">
        <v>100</v>
      </c>
      <c r="Q101" s="32" t="s">
        <v>204</v>
      </c>
      <c r="R101" s="98" t="s">
        <v>566</v>
      </c>
      <c r="S101" s="32" t="s">
        <v>121</v>
      </c>
      <c r="T101" s="98" t="s">
        <v>122</v>
      </c>
      <c r="U101" s="98" t="s">
        <v>123</v>
      </c>
      <c r="V101" s="98"/>
      <c r="W101" s="98" t="s">
        <v>124</v>
      </c>
      <c r="X101" s="78" t="s">
        <v>67</v>
      </c>
      <c r="Y101" s="98" t="s">
        <v>68</v>
      </c>
      <c r="Z101" s="32" t="s">
        <v>125</v>
      </c>
      <c r="AA101" s="32" t="s">
        <v>90</v>
      </c>
      <c r="AB101" s="78" t="s">
        <v>71</v>
      </c>
      <c r="AC101" s="98" t="s">
        <v>62</v>
      </c>
      <c r="AD101" s="98" t="s">
        <v>72</v>
      </c>
      <c r="AE101" s="65" t="s">
        <v>73</v>
      </c>
      <c r="AF101" s="39" t="s">
        <v>311</v>
      </c>
      <c r="AG101" s="98" t="s">
        <v>240</v>
      </c>
      <c r="AH101" s="115">
        <v>650</v>
      </c>
      <c r="AI101" s="117" t="s">
        <v>76</v>
      </c>
      <c r="AJ101" s="115" t="s">
        <v>241</v>
      </c>
      <c r="AK101" s="73">
        <v>590</v>
      </c>
      <c r="AL101" s="116">
        <f t="shared" si="15"/>
        <v>235410000</v>
      </c>
      <c r="AM101" s="116">
        <v>6</v>
      </c>
      <c r="AN101" s="116">
        <v>1922950</v>
      </c>
      <c r="AO101" s="116">
        <v>53</v>
      </c>
      <c r="AP101" s="116">
        <v>19579024</v>
      </c>
      <c r="AQ101" s="116">
        <f t="shared" si="20"/>
        <v>188.70000000000002</v>
      </c>
      <c r="AR101" s="116">
        <f t="shared" si="21"/>
        <v>69267996</v>
      </c>
      <c r="AS101" s="118">
        <v>0.31983050847457628</v>
      </c>
    </row>
    <row r="102" spans="1:45" x14ac:dyDescent="0.3">
      <c r="A102" s="1" t="str">
        <f t="shared" si="14"/>
        <v>DWDJ7B056BKS</v>
      </c>
      <c r="B102" s="126" t="s">
        <v>593</v>
      </c>
      <c r="C102" s="98" t="str">
        <f t="shared" si="17"/>
        <v>DJ7B0</v>
      </c>
      <c r="D102" s="98" t="s">
        <v>55</v>
      </c>
      <c r="E102" s="98" t="str">
        <f t="shared" si="18"/>
        <v>W</v>
      </c>
      <c r="F102" s="98" t="str">
        <f t="shared" si="19"/>
        <v>DJ</v>
      </c>
      <c r="G102" s="98" t="s">
        <v>56</v>
      </c>
      <c r="H102" s="115" t="s">
        <v>594</v>
      </c>
      <c r="I102" s="98" t="s">
        <v>78</v>
      </c>
      <c r="J102" s="115" t="str">
        <f t="shared" si="16"/>
        <v/>
      </c>
      <c r="K102" s="115">
        <v>1</v>
      </c>
      <c r="L102" s="116">
        <v>399000</v>
      </c>
      <c r="M102" s="78" t="s">
        <v>117</v>
      </c>
      <c r="N102" s="98" t="s">
        <v>592</v>
      </c>
      <c r="O102" s="98" t="s">
        <v>485</v>
      </c>
      <c r="P102" s="98">
        <v>100</v>
      </c>
      <c r="Q102" s="32" t="s">
        <v>204</v>
      </c>
      <c r="R102" s="98" t="s">
        <v>566</v>
      </c>
      <c r="S102" s="32" t="s">
        <v>121</v>
      </c>
      <c r="T102" s="98" t="s">
        <v>122</v>
      </c>
      <c r="U102" s="98" t="s">
        <v>123</v>
      </c>
      <c r="V102" s="98"/>
      <c r="W102" s="98" t="s">
        <v>124</v>
      </c>
      <c r="X102" s="78" t="s">
        <v>67</v>
      </c>
      <c r="Y102" s="98" t="s">
        <v>68</v>
      </c>
      <c r="Z102" s="32" t="s">
        <v>125</v>
      </c>
      <c r="AA102" s="32" t="s">
        <v>90</v>
      </c>
      <c r="AB102" s="78" t="s">
        <v>71</v>
      </c>
      <c r="AC102" s="98" t="s">
        <v>62</v>
      </c>
      <c r="AD102" s="98" t="s">
        <v>72</v>
      </c>
      <c r="AE102" s="65" t="s">
        <v>73</v>
      </c>
      <c r="AF102" s="39" t="s">
        <v>311</v>
      </c>
      <c r="AG102" s="98" t="s">
        <v>240</v>
      </c>
      <c r="AH102" s="115">
        <v>650</v>
      </c>
      <c r="AI102" s="117" t="s">
        <v>76</v>
      </c>
      <c r="AJ102" s="115" t="s">
        <v>241</v>
      </c>
      <c r="AK102" s="73">
        <v>1767</v>
      </c>
      <c r="AL102" s="116">
        <f t="shared" si="15"/>
        <v>705033000</v>
      </c>
      <c r="AM102" s="116">
        <v>17</v>
      </c>
      <c r="AN102" s="116">
        <v>5354872</v>
      </c>
      <c r="AO102" s="116">
        <v>135</v>
      </c>
      <c r="AP102" s="116">
        <v>49920063</v>
      </c>
      <c r="AQ102" s="116">
        <f t="shared" si="20"/>
        <v>541.41000000000008</v>
      </c>
      <c r="AR102" s="116">
        <f t="shared" si="21"/>
        <v>198740782.80000004</v>
      </c>
      <c r="AS102" s="118">
        <v>0.30640067911714775</v>
      </c>
    </row>
    <row r="103" spans="1:45" x14ac:dyDescent="0.3">
      <c r="A103" s="1" t="str">
        <f t="shared" si="14"/>
        <v>DWDJ7B056OLL</v>
      </c>
      <c r="B103" s="126" t="s">
        <v>593</v>
      </c>
      <c r="C103" s="98" t="str">
        <f t="shared" si="17"/>
        <v>DJ7B0</v>
      </c>
      <c r="D103" s="98" t="s">
        <v>148</v>
      </c>
      <c r="E103" s="98" t="str">
        <f t="shared" si="18"/>
        <v>W</v>
      </c>
      <c r="F103" s="98" t="str">
        <f t="shared" si="19"/>
        <v>DJ</v>
      </c>
      <c r="G103" s="98" t="s">
        <v>56</v>
      </c>
      <c r="H103" s="115" t="s">
        <v>594</v>
      </c>
      <c r="I103" s="98" t="s">
        <v>596</v>
      </c>
      <c r="J103" s="115" t="str">
        <f t="shared" si="16"/>
        <v/>
      </c>
      <c r="K103" s="115">
        <v>1</v>
      </c>
      <c r="L103" s="116">
        <v>399000</v>
      </c>
      <c r="M103" s="78" t="s">
        <v>117</v>
      </c>
      <c r="N103" s="98" t="s">
        <v>592</v>
      </c>
      <c r="O103" s="98" t="s">
        <v>485</v>
      </c>
      <c r="P103" s="98">
        <v>100</v>
      </c>
      <c r="Q103" s="32" t="s">
        <v>204</v>
      </c>
      <c r="R103" s="98" t="s">
        <v>566</v>
      </c>
      <c r="S103" s="32" t="s">
        <v>121</v>
      </c>
      <c r="T103" s="98" t="s">
        <v>122</v>
      </c>
      <c r="U103" s="98" t="s">
        <v>123</v>
      </c>
      <c r="V103" s="98"/>
      <c r="W103" s="98" t="s">
        <v>124</v>
      </c>
      <c r="X103" s="78" t="s">
        <v>67</v>
      </c>
      <c r="Y103" s="98" t="s">
        <v>68</v>
      </c>
      <c r="Z103" s="32" t="s">
        <v>125</v>
      </c>
      <c r="AA103" s="32" t="s">
        <v>90</v>
      </c>
      <c r="AB103" s="78" t="s">
        <v>71</v>
      </c>
      <c r="AC103" s="98" t="s">
        <v>62</v>
      </c>
      <c r="AD103" s="98" t="s">
        <v>72</v>
      </c>
      <c r="AE103" s="65" t="s">
        <v>73</v>
      </c>
      <c r="AF103" s="39" t="s">
        <v>311</v>
      </c>
      <c r="AG103" s="98" t="s">
        <v>240</v>
      </c>
      <c r="AH103" s="115">
        <v>650</v>
      </c>
      <c r="AI103" s="117" t="s">
        <v>76</v>
      </c>
      <c r="AJ103" s="115" t="s">
        <v>241</v>
      </c>
      <c r="AK103" s="73">
        <v>963</v>
      </c>
      <c r="AL103" s="116">
        <f t="shared" si="15"/>
        <v>384237000</v>
      </c>
      <c r="AM103" s="116">
        <v>6</v>
      </c>
      <c r="AN103" s="116">
        <v>1901846</v>
      </c>
      <c r="AO103" s="116">
        <v>41</v>
      </c>
      <c r="AP103" s="116">
        <v>14290574</v>
      </c>
      <c r="AQ103" s="116">
        <f t="shared" si="20"/>
        <v>262.49</v>
      </c>
      <c r="AR103" s="116">
        <f t="shared" si="21"/>
        <v>96354829.200000018</v>
      </c>
      <c r="AS103" s="118">
        <v>0.2725752855659398</v>
      </c>
    </row>
    <row r="104" spans="1:45" x14ac:dyDescent="0.3">
      <c r="A104" s="1" t="str">
        <f t="shared" si="14"/>
        <v>DMDJ7K056DGS</v>
      </c>
      <c r="B104" s="126" t="s">
        <v>597</v>
      </c>
      <c r="C104" s="98" t="str">
        <f t="shared" si="17"/>
        <v>DJ7K0</v>
      </c>
      <c r="D104" s="98" t="s">
        <v>55</v>
      </c>
      <c r="E104" s="98" t="str">
        <f t="shared" si="18"/>
        <v>M</v>
      </c>
      <c r="F104" s="98" t="str">
        <f t="shared" si="19"/>
        <v>DJ</v>
      </c>
      <c r="G104" s="98" t="s">
        <v>56</v>
      </c>
      <c r="H104" s="115" t="s">
        <v>364</v>
      </c>
      <c r="I104" s="98" t="s">
        <v>435</v>
      </c>
      <c r="J104" s="115">
        <f t="shared" si="16"/>
        <v>1</v>
      </c>
      <c r="K104" s="115">
        <v>1</v>
      </c>
      <c r="L104" s="116">
        <v>529000</v>
      </c>
      <c r="M104" s="78" t="s">
        <v>117</v>
      </c>
      <c r="N104" s="98" t="s">
        <v>592</v>
      </c>
      <c r="O104" s="98" t="s">
        <v>485</v>
      </c>
      <c r="P104" s="98">
        <v>100</v>
      </c>
      <c r="Q104" s="32" t="s">
        <v>204</v>
      </c>
      <c r="R104" s="98" t="s">
        <v>566</v>
      </c>
      <c r="S104" s="32" t="s">
        <v>121</v>
      </c>
      <c r="T104" s="98" t="s">
        <v>122</v>
      </c>
      <c r="U104" s="98" t="s">
        <v>123</v>
      </c>
      <c r="V104" s="98"/>
      <c r="W104" s="98" t="s">
        <v>124</v>
      </c>
      <c r="X104" s="78" t="s">
        <v>67</v>
      </c>
      <c r="Y104" s="98" t="s">
        <v>68</v>
      </c>
      <c r="Z104" s="32" t="s">
        <v>125</v>
      </c>
      <c r="AA104" s="32" t="s">
        <v>90</v>
      </c>
      <c r="AB104" s="78" t="s">
        <v>71</v>
      </c>
      <c r="AC104" s="98" t="s">
        <v>62</v>
      </c>
      <c r="AD104" s="98" t="s">
        <v>72</v>
      </c>
      <c r="AE104" s="65" t="s">
        <v>73</v>
      </c>
      <c r="AF104" s="39" t="s">
        <v>367</v>
      </c>
      <c r="AG104" s="98" t="s">
        <v>127</v>
      </c>
      <c r="AH104" s="115">
        <v>650</v>
      </c>
      <c r="AI104" s="117" t="s">
        <v>264</v>
      </c>
      <c r="AJ104" s="115" t="s">
        <v>241</v>
      </c>
      <c r="AK104" s="73">
        <v>1753</v>
      </c>
      <c r="AL104" s="116">
        <f t="shared" si="15"/>
        <v>927337000</v>
      </c>
      <c r="AM104" s="116">
        <v>63</v>
      </c>
      <c r="AN104" s="116">
        <v>30422103</v>
      </c>
      <c r="AO104" s="116">
        <v>215</v>
      </c>
      <c r="AP104" s="116">
        <v>108324586</v>
      </c>
      <c r="AQ104" s="116">
        <f t="shared" si="20"/>
        <v>828.55</v>
      </c>
      <c r="AR104" s="116">
        <f t="shared" si="21"/>
        <v>403238713.99999994</v>
      </c>
      <c r="AS104" s="118">
        <v>0.47264689104392466</v>
      </c>
    </row>
    <row r="105" spans="1:45" x14ac:dyDescent="0.3">
      <c r="A105" s="1" t="str">
        <f t="shared" si="14"/>
        <v>DMDJ7K056BKS</v>
      </c>
      <c r="B105" s="126" t="s">
        <v>597</v>
      </c>
      <c r="C105" s="98" t="str">
        <f t="shared" si="17"/>
        <v>DJ7K0</v>
      </c>
      <c r="D105" s="98" t="s">
        <v>55</v>
      </c>
      <c r="E105" s="98" t="str">
        <f t="shared" si="18"/>
        <v>M</v>
      </c>
      <c r="F105" s="98" t="str">
        <f t="shared" si="19"/>
        <v>DJ</v>
      </c>
      <c r="G105" s="98" t="s">
        <v>56</v>
      </c>
      <c r="H105" s="115" t="s">
        <v>364</v>
      </c>
      <c r="I105" s="98" t="s">
        <v>78</v>
      </c>
      <c r="J105" s="115" t="str">
        <f t="shared" si="16"/>
        <v/>
      </c>
      <c r="K105" s="115">
        <v>1</v>
      </c>
      <c r="L105" s="116">
        <v>529000</v>
      </c>
      <c r="M105" s="78" t="s">
        <v>117</v>
      </c>
      <c r="N105" s="98" t="s">
        <v>592</v>
      </c>
      <c r="O105" s="98" t="s">
        <v>485</v>
      </c>
      <c r="P105" s="98">
        <v>100</v>
      </c>
      <c r="Q105" s="32" t="s">
        <v>204</v>
      </c>
      <c r="R105" s="98" t="s">
        <v>566</v>
      </c>
      <c r="S105" s="32" t="s">
        <v>121</v>
      </c>
      <c r="T105" s="98" t="s">
        <v>122</v>
      </c>
      <c r="U105" s="98" t="s">
        <v>123</v>
      </c>
      <c r="V105" s="98"/>
      <c r="W105" s="98" t="s">
        <v>124</v>
      </c>
      <c r="X105" s="78" t="s">
        <v>67</v>
      </c>
      <c r="Y105" s="98" t="s">
        <v>68</v>
      </c>
      <c r="Z105" s="32" t="s">
        <v>125</v>
      </c>
      <c r="AA105" s="32" t="s">
        <v>90</v>
      </c>
      <c r="AB105" s="78" t="s">
        <v>71</v>
      </c>
      <c r="AC105" s="98" t="s">
        <v>62</v>
      </c>
      <c r="AD105" s="98" t="s">
        <v>72</v>
      </c>
      <c r="AE105" s="65" t="s">
        <v>73</v>
      </c>
      <c r="AF105" s="39" t="s">
        <v>367</v>
      </c>
      <c r="AG105" s="98" t="s">
        <v>127</v>
      </c>
      <c r="AH105" s="115">
        <v>650</v>
      </c>
      <c r="AI105" s="117" t="s">
        <v>264</v>
      </c>
      <c r="AJ105" s="115" t="s">
        <v>241</v>
      </c>
      <c r="AK105" s="73">
        <v>4422</v>
      </c>
      <c r="AL105" s="116">
        <f t="shared" si="15"/>
        <v>2339238000</v>
      </c>
      <c r="AM105" s="116">
        <v>140</v>
      </c>
      <c r="AN105" s="116">
        <v>67594943</v>
      </c>
      <c r="AO105" s="116">
        <v>508</v>
      </c>
      <c r="AP105" s="116">
        <v>252750445</v>
      </c>
      <c r="AQ105" s="116">
        <f t="shared" si="20"/>
        <v>2055.6999999999998</v>
      </c>
      <c r="AR105" s="116">
        <f t="shared" si="21"/>
        <v>1000468076</v>
      </c>
      <c r="AS105" s="118">
        <v>0.46488014473089101</v>
      </c>
    </row>
    <row r="106" spans="1:45" x14ac:dyDescent="0.3">
      <c r="A106" s="1" t="str">
        <f t="shared" si="14"/>
        <v>DMDJ7K056CBD</v>
      </c>
      <c r="B106" s="126" t="s">
        <v>597</v>
      </c>
      <c r="C106" s="98" t="str">
        <f t="shared" si="17"/>
        <v>DJ7K0</v>
      </c>
      <c r="D106" s="98" t="s">
        <v>55</v>
      </c>
      <c r="E106" s="98" t="str">
        <f t="shared" si="18"/>
        <v>M</v>
      </c>
      <c r="F106" s="98" t="str">
        <f t="shared" si="19"/>
        <v>DJ</v>
      </c>
      <c r="G106" s="98" t="s">
        <v>56</v>
      </c>
      <c r="H106" s="115" t="s">
        <v>364</v>
      </c>
      <c r="I106" s="98" t="s">
        <v>591</v>
      </c>
      <c r="J106" s="115" t="str">
        <f t="shared" si="16"/>
        <v/>
      </c>
      <c r="K106" s="115">
        <v>1</v>
      </c>
      <c r="L106" s="116">
        <v>529000</v>
      </c>
      <c r="M106" s="78" t="s">
        <v>117</v>
      </c>
      <c r="N106" s="98" t="s">
        <v>592</v>
      </c>
      <c r="O106" s="98" t="s">
        <v>485</v>
      </c>
      <c r="P106" s="98">
        <v>100</v>
      </c>
      <c r="Q106" s="32" t="s">
        <v>204</v>
      </c>
      <c r="R106" s="98" t="s">
        <v>566</v>
      </c>
      <c r="S106" s="32" t="s">
        <v>121</v>
      </c>
      <c r="T106" s="98" t="s">
        <v>122</v>
      </c>
      <c r="U106" s="98" t="s">
        <v>123</v>
      </c>
      <c r="V106" s="98"/>
      <c r="W106" s="98" t="s">
        <v>124</v>
      </c>
      <c r="X106" s="78" t="s">
        <v>67</v>
      </c>
      <c r="Y106" s="98" t="s">
        <v>68</v>
      </c>
      <c r="Z106" s="32" t="s">
        <v>125</v>
      </c>
      <c r="AA106" s="32" t="s">
        <v>90</v>
      </c>
      <c r="AB106" s="78" t="s">
        <v>71</v>
      </c>
      <c r="AC106" s="98" t="s">
        <v>62</v>
      </c>
      <c r="AD106" s="98" t="s">
        <v>72</v>
      </c>
      <c r="AE106" s="65" t="s">
        <v>73</v>
      </c>
      <c r="AF106" s="39" t="s">
        <v>367</v>
      </c>
      <c r="AG106" s="98" t="s">
        <v>127</v>
      </c>
      <c r="AH106" s="115">
        <v>650</v>
      </c>
      <c r="AI106" s="117" t="s">
        <v>264</v>
      </c>
      <c r="AJ106" s="115" t="s">
        <v>241</v>
      </c>
      <c r="AK106" s="73">
        <v>589</v>
      </c>
      <c r="AL106" s="116">
        <f t="shared" si="15"/>
        <v>311581000</v>
      </c>
      <c r="AM106" s="116">
        <v>2</v>
      </c>
      <c r="AN106" s="116">
        <v>923847</v>
      </c>
      <c r="AO106" s="116">
        <v>5</v>
      </c>
      <c r="AP106" s="116">
        <v>2440847</v>
      </c>
      <c r="AQ106" s="116">
        <f t="shared" si="20"/>
        <v>211.15</v>
      </c>
      <c r="AR106" s="116">
        <f t="shared" si="21"/>
        <v>102762482</v>
      </c>
      <c r="AS106" s="118">
        <v>0.35848896434634975</v>
      </c>
    </row>
    <row r="107" spans="1:45" x14ac:dyDescent="0.3">
      <c r="A107" s="1" t="str">
        <f t="shared" si="14"/>
        <v>DMDJ7U056BKS</v>
      </c>
      <c r="B107" s="126" t="s">
        <v>598</v>
      </c>
      <c r="C107" s="98" t="str">
        <f t="shared" si="17"/>
        <v>DJ7U0</v>
      </c>
      <c r="D107" s="98" t="s">
        <v>55</v>
      </c>
      <c r="E107" s="98" t="str">
        <f t="shared" si="18"/>
        <v>M</v>
      </c>
      <c r="F107" s="98" t="str">
        <f t="shared" si="19"/>
        <v>DJ</v>
      </c>
      <c r="G107" s="98" t="s">
        <v>56</v>
      </c>
      <c r="H107" s="115" t="s">
        <v>599</v>
      </c>
      <c r="I107" s="98" t="s">
        <v>78</v>
      </c>
      <c r="J107" s="115">
        <f t="shared" si="16"/>
        <v>1</v>
      </c>
      <c r="K107" s="115">
        <v>1</v>
      </c>
      <c r="L107" s="116">
        <v>590000</v>
      </c>
      <c r="M107" s="78" t="s">
        <v>225</v>
      </c>
      <c r="N107" s="98" t="s">
        <v>494</v>
      </c>
      <c r="O107" s="98" t="s">
        <v>485</v>
      </c>
      <c r="P107" s="98">
        <v>100</v>
      </c>
      <c r="Q107" s="32" t="s">
        <v>204</v>
      </c>
      <c r="R107" s="98" t="s">
        <v>495</v>
      </c>
      <c r="S107" s="32" t="s">
        <v>496</v>
      </c>
      <c r="T107" s="98" t="s">
        <v>228</v>
      </c>
      <c r="U107" s="98" t="s">
        <v>198</v>
      </c>
      <c r="V107" s="98" t="s">
        <v>66</v>
      </c>
      <c r="W107" s="98" t="s">
        <v>229</v>
      </c>
      <c r="X107" s="78" t="s">
        <v>67</v>
      </c>
      <c r="Y107" s="98" t="s">
        <v>68</v>
      </c>
      <c r="Z107" s="32" t="s">
        <v>125</v>
      </c>
      <c r="AA107" s="32" t="s">
        <v>90</v>
      </c>
      <c r="AB107" s="78" t="s">
        <v>71</v>
      </c>
      <c r="AC107" s="98" t="s">
        <v>62</v>
      </c>
      <c r="AD107" s="98" t="s">
        <v>72</v>
      </c>
      <c r="AE107" s="65" t="s">
        <v>73</v>
      </c>
      <c r="AF107" s="39" t="s">
        <v>362</v>
      </c>
      <c r="AG107" s="98" t="s">
        <v>127</v>
      </c>
      <c r="AH107" s="115">
        <v>650</v>
      </c>
      <c r="AI107" s="117" t="s">
        <v>107</v>
      </c>
      <c r="AJ107" s="115" t="s">
        <v>108</v>
      </c>
      <c r="AK107" s="73">
        <v>1467</v>
      </c>
      <c r="AL107" s="116">
        <f t="shared" si="15"/>
        <v>865530000</v>
      </c>
      <c r="AM107" s="116">
        <v>61</v>
      </c>
      <c r="AN107" s="116">
        <v>33181424</v>
      </c>
      <c r="AO107" s="116">
        <v>143</v>
      </c>
      <c r="AP107" s="116">
        <v>79956960</v>
      </c>
      <c r="AQ107" s="116">
        <f t="shared" si="20"/>
        <v>583.1</v>
      </c>
      <c r="AR107" s="116">
        <f t="shared" si="21"/>
        <v>316506680</v>
      </c>
      <c r="AS107" s="118">
        <v>0.39747784594410362</v>
      </c>
    </row>
    <row r="108" spans="1:45" x14ac:dyDescent="0.3">
      <c r="A108" s="1" t="str">
        <f t="shared" si="14"/>
        <v>DMDJ7U056DGS</v>
      </c>
      <c r="B108" s="126" t="s">
        <v>598</v>
      </c>
      <c r="C108" s="98" t="str">
        <f t="shared" si="17"/>
        <v>DJ7U0</v>
      </c>
      <c r="D108" s="98" t="s">
        <v>55</v>
      </c>
      <c r="E108" s="98" t="str">
        <f t="shared" si="18"/>
        <v>M</v>
      </c>
      <c r="F108" s="98" t="str">
        <f t="shared" si="19"/>
        <v>DJ</v>
      </c>
      <c r="G108" s="98" t="s">
        <v>56</v>
      </c>
      <c r="H108" s="115" t="s">
        <v>599</v>
      </c>
      <c r="I108" s="98" t="s">
        <v>435</v>
      </c>
      <c r="J108" s="115" t="str">
        <f t="shared" si="16"/>
        <v/>
      </c>
      <c r="K108" s="115">
        <v>1</v>
      </c>
      <c r="L108" s="116">
        <v>590000</v>
      </c>
      <c r="M108" s="78" t="s">
        <v>225</v>
      </c>
      <c r="N108" s="98" t="s">
        <v>494</v>
      </c>
      <c r="O108" s="98" t="s">
        <v>485</v>
      </c>
      <c r="P108" s="98">
        <v>100</v>
      </c>
      <c r="Q108" s="32" t="s">
        <v>204</v>
      </c>
      <c r="R108" s="98" t="s">
        <v>495</v>
      </c>
      <c r="S108" s="32" t="s">
        <v>496</v>
      </c>
      <c r="T108" s="98" t="s">
        <v>228</v>
      </c>
      <c r="U108" s="98" t="s">
        <v>198</v>
      </c>
      <c r="V108" s="98" t="s">
        <v>66</v>
      </c>
      <c r="W108" s="98" t="s">
        <v>229</v>
      </c>
      <c r="X108" s="78" t="s">
        <v>67</v>
      </c>
      <c r="Y108" s="98" t="s">
        <v>68</v>
      </c>
      <c r="Z108" s="32" t="s">
        <v>125</v>
      </c>
      <c r="AA108" s="32" t="s">
        <v>90</v>
      </c>
      <c r="AB108" s="78" t="s">
        <v>71</v>
      </c>
      <c r="AC108" s="98" t="s">
        <v>62</v>
      </c>
      <c r="AD108" s="98" t="s">
        <v>72</v>
      </c>
      <c r="AE108" s="65" t="s">
        <v>73</v>
      </c>
      <c r="AF108" s="39" t="s">
        <v>362</v>
      </c>
      <c r="AG108" s="98" t="s">
        <v>127</v>
      </c>
      <c r="AH108" s="115">
        <v>650</v>
      </c>
      <c r="AI108" s="117" t="s">
        <v>107</v>
      </c>
      <c r="AJ108" s="115" t="s">
        <v>108</v>
      </c>
      <c r="AK108" s="73">
        <v>676</v>
      </c>
      <c r="AL108" s="116">
        <f t="shared" si="15"/>
        <v>398840000</v>
      </c>
      <c r="AM108" s="116">
        <v>22</v>
      </c>
      <c r="AN108" s="116">
        <v>11960078</v>
      </c>
      <c r="AO108" s="116">
        <v>47</v>
      </c>
      <c r="AP108" s="116">
        <v>26027102</v>
      </c>
      <c r="AQ108" s="116">
        <f t="shared" si="20"/>
        <v>249.8</v>
      </c>
      <c r="AR108" s="116">
        <f t="shared" si="21"/>
        <v>135591440</v>
      </c>
      <c r="AS108" s="118">
        <v>0.36952662721893492</v>
      </c>
    </row>
    <row r="109" spans="1:45" x14ac:dyDescent="0.3">
      <c r="A109" s="1" t="str">
        <f t="shared" si="14"/>
        <v>DWDJ7V056BKS</v>
      </c>
      <c r="B109" s="126" t="s">
        <v>600</v>
      </c>
      <c r="C109" s="98" t="str">
        <f t="shared" si="17"/>
        <v>DJ7V0</v>
      </c>
      <c r="D109" s="98" t="s">
        <v>55</v>
      </c>
      <c r="E109" s="98" t="str">
        <f t="shared" si="18"/>
        <v>W</v>
      </c>
      <c r="F109" s="98" t="str">
        <f t="shared" si="19"/>
        <v>DJ</v>
      </c>
      <c r="G109" s="98" t="s">
        <v>56</v>
      </c>
      <c r="H109" s="115" t="s">
        <v>601</v>
      </c>
      <c r="I109" s="98" t="s">
        <v>78</v>
      </c>
      <c r="J109" s="115">
        <f t="shared" si="16"/>
        <v>1</v>
      </c>
      <c r="K109" s="115">
        <v>1</v>
      </c>
      <c r="L109" s="116">
        <v>590000</v>
      </c>
      <c r="M109" s="78" t="s">
        <v>225</v>
      </c>
      <c r="N109" s="98" t="s">
        <v>494</v>
      </c>
      <c r="O109" s="98" t="s">
        <v>485</v>
      </c>
      <c r="P109" s="98">
        <v>100</v>
      </c>
      <c r="Q109" s="32" t="s">
        <v>204</v>
      </c>
      <c r="R109" s="98" t="s">
        <v>495</v>
      </c>
      <c r="S109" s="32" t="s">
        <v>496</v>
      </c>
      <c r="T109" s="98" t="s">
        <v>228</v>
      </c>
      <c r="U109" s="98" t="s">
        <v>198</v>
      </c>
      <c r="V109" s="98" t="s">
        <v>66</v>
      </c>
      <c r="W109" s="98" t="s">
        <v>229</v>
      </c>
      <c r="X109" s="78" t="s">
        <v>67</v>
      </c>
      <c r="Y109" s="98" t="s">
        <v>68</v>
      </c>
      <c r="Z109" s="32" t="s">
        <v>125</v>
      </c>
      <c r="AA109" s="32" t="s">
        <v>90</v>
      </c>
      <c r="AB109" s="78" t="s">
        <v>71</v>
      </c>
      <c r="AC109" s="98" t="s">
        <v>62</v>
      </c>
      <c r="AD109" s="98" t="s">
        <v>72</v>
      </c>
      <c r="AE109" s="65" t="s">
        <v>73</v>
      </c>
      <c r="AF109" s="39" t="s">
        <v>602</v>
      </c>
      <c r="AG109" s="98" t="s">
        <v>127</v>
      </c>
      <c r="AH109" s="115">
        <v>650</v>
      </c>
      <c r="AI109" s="117" t="s">
        <v>107</v>
      </c>
      <c r="AJ109" s="115" t="s">
        <v>108</v>
      </c>
      <c r="AK109" s="73">
        <v>1005</v>
      </c>
      <c r="AL109" s="116">
        <f t="shared" si="15"/>
        <v>592950000</v>
      </c>
      <c r="AM109" s="116">
        <v>30</v>
      </c>
      <c r="AN109" s="116">
        <v>16282933</v>
      </c>
      <c r="AO109" s="116">
        <v>111</v>
      </c>
      <c r="AP109" s="116">
        <v>62456198</v>
      </c>
      <c r="AQ109" s="116">
        <f t="shared" si="20"/>
        <v>412.49999999999994</v>
      </c>
      <c r="AR109" s="116">
        <f t="shared" si="21"/>
        <v>223904999.99999997</v>
      </c>
      <c r="AS109" s="118">
        <v>0.41044776119402981</v>
      </c>
    </row>
    <row r="110" spans="1:45" x14ac:dyDescent="0.3">
      <c r="A110" s="1" t="str">
        <f t="shared" si="14"/>
        <v>DWDJ7V056BES</v>
      </c>
      <c r="B110" s="126" t="s">
        <v>600</v>
      </c>
      <c r="C110" s="98" t="str">
        <f t="shared" si="17"/>
        <v>DJ7V0</v>
      </c>
      <c r="D110" s="98" t="s">
        <v>55</v>
      </c>
      <c r="E110" s="98" t="str">
        <f t="shared" si="18"/>
        <v>W</v>
      </c>
      <c r="F110" s="98" t="str">
        <f t="shared" si="19"/>
        <v>DJ</v>
      </c>
      <c r="G110" s="98" t="s">
        <v>56</v>
      </c>
      <c r="H110" s="115" t="s">
        <v>601</v>
      </c>
      <c r="I110" s="98" t="s">
        <v>385</v>
      </c>
      <c r="J110" s="115" t="str">
        <f t="shared" si="16"/>
        <v/>
      </c>
      <c r="K110" s="115">
        <v>1</v>
      </c>
      <c r="L110" s="116">
        <v>590000</v>
      </c>
      <c r="M110" s="78" t="s">
        <v>225</v>
      </c>
      <c r="N110" s="98" t="s">
        <v>494</v>
      </c>
      <c r="O110" s="98" t="s">
        <v>485</v>
      </c>
      <c r="P110" s="98">
        <v>100</v>
      </c>
      <c r="Q110" s="32" t="s">
        <v>204</v>
      </c>
      <c r="R110" s="98" t="s">
        <v>495</v>
      </c>
      <c r="S110" s="32" t="s">
        <v>496</v>
      </c>
      <c r="T110" s="98" t="s">
        <v>228</v>
      </c>
      <c r="U110" s="98" t="s">
        <v>198</v>
      </c>
      <c r="V110" s="98" t="s">
        <v>66</v>
      </c>
      <c r="W110" s="98" t="s">
        <v>229</v>
      </c>
      <c r="X110" s="78" t="s">
        <v>67</v>
      </c>
      <c r="Y110" s="98" t="s">
        <v>68</v>
      </c>
      <c r="Z110" s="32" t="s">
        <v>125</v>
      </c>
      <c r="AA110" s="32" t="s">
        <v>90</v>
      </c>
      <c r="AB110" s="78" t="s">
        <v>71</v>
      </c>
      <c r="AC110" s="98" t="s">
        <v>62</v>
      </c>
      <c r="AD110" s="98" t="s">
        <v>72</v>
      </c>
      <c r="AE110" s="65" t="s">
        <v>73</v>
      </c>
      <c r="AF110" s="39" t="s">
        <v>602</v>
      </c>
      <c r="AG110" s="98" t="s">
        <v>127</v>
      </c>
      <c r="AH110" s="115">
        <v>650</v>
      </c>
      <c r="AI110" s="117" t="s">
        <v>107</v>
      </c>
      <c r="AJ110" s="115" t="s">
        <v>108</v>
      </c>
      <c r="AK110" s="73">
        <v>589</v>
      </c>
      <c r="AL110" s="116">
        <f t="shared" si="15"/>
        <v>347510000</v>
      </c>
      <c r="AM110" s="116">
        <v>4</v>
      </c>
      <c r="AN110" s="116">
        <v>2260000</v>
      </c>
      <c r="AO110" s="116">
        <v>32</v>
      </c>
      <c r="AP110" s="116">
        <v>18044750</v>
      </c>
      <c r="AQ110" s="116">
        <f t="shared" si="20"/>
        <v>208.7</v>
      </c>
      <c r="AR110" s="116">
        <f t="shared" si="21"/>
        <v>113282360</v>
      </c>
      <c r="AS110" s="118">
        <v>0.35432937181663837</v>
      </c>
    </row>
    <row r="111" spans="1:45" x14ac:dyDescent="0.3">
      <c r="A111" s="1" t="str">
        <f t="shared" si="14"/>
        <v>DXDJ8G056BKP</v>
      </c>
      <c r="B111" s="126" t="s">
        <v>603</v>
      </c>
      <c r="C111" s="98" t="str">
        <f t="shared" si="17"/>
        <v>DJ8G0</v>
      </c>
      <c r="D111" s="98" t="s">
        <v>55</v>
      </c>
      <c r="E111" s="98" t="str">
        <f t="shared" si="18"/>
        <v>X</v>
      </c>
      <c r="F111" s="98" t="str">
        <f t="shared" si="19"/>
        <v>DJ</v>
      </c>
      <c r="G111" s="98" t="s">
        <v>56</v>
      </c>
      <c r="H111" s="115" t="s">
        <v>604</v>
      </c>
      <c r="I111" s="98" t="s">
        <v>387</v>
      </c>
      <c r="J111" s="115">
        <f t="shared" si="16"/>
        <v>1</v>
      </c>
      <c r="K111" s="115">
        <v>1</v>
      </c>
      <c r="L111" s="116">
        <v>319000</v>
      </c>
      <c r="M111" s="78" t="s">
        <v>217</v>
      </c>
      <c r="N111" s="98" t="s">
        <v>218</v>
      </c>
      <c r="O111" s="98" t="s">
        <v>485</v>
      </c>
      <c r="P111" s="98">
        <v>100</v>
      </c>
      <c r="Q111" s="32" t="s">
        <v>219</v>
      </c>
      <c r="R111" s="98" t="s">
        <v>220</v>
      </c>
      <c r="S111" s="32" t="s">
        <v>221</v>
      </c>
      <c r="T111" s="98" t="s">
        <v>65</v>
      </c>
      <c r="U111" s="98"/>
      <c r="V111" s="98" t="s">
        <v>520</v>
      </c>
      <c r="W111" s="98"/>
      <c r="X111" s="78" t="s">
        <v>67</v>
      </c>
      <c r="Y111" s="98" t="s">
        <v>68</v>
      </c>
      <c r="Z111" s="32" t="s">
        <v>69</v>
      </c>
      <c r="AA111" s="32" t="s">
        <v>70</v>
      </c>
      <c r="AB111" s="78" t="s">
        <v>71</v>
      </c>
      <c r="AC111" s="98" t="s">
        <v>62</v>
      </c>
      <c r="AD111" s="98" t="s">
        <v>72</v>
      </c>
      <c r="AE111" s="65" t="s">
        <v>137</v>
      </c>
      <c r="AF111" s="39" t="s">
        <v>442</v>
      </c>
      <c r="AG111" s="98" t="s">
        <v>127</v>
      </c>
      <c r="AH111" s="115">
        <v>650</v>
      </c>
      <c r="AI111" s="117" t="s">
        <v>264</v>
      </c>
      <c r="AJ111" s="115" t="s">
        <v>241</v>
      </c>
      <c r="AK111" s="73">
        <v>612</v>
      </c>
      <c r="AL111" s="116">
        <f t="shared" si="15"/>
        <v>195228000</v>
      </c>
      <c r="AM111" s="116">
        <v>12</v>
      </c>
      <c r="AN111" s="116">
        <v>3464030</v>
      </c>
      <c r="AO111" s="116">
        <v>46</v>
      </c>
      <c r="AP111" s="116">
        <v>13927595</v>
      </c>
      <c r="AQ111" s="116">
        <f t="shared" si="20"/>
        <v>260.2</v>
      </c>
      <c r="AR111" s="116">
        <f t="shared" si="21"/>
        <v>76363496</v>
      </c>
      <c r="AS111" s="118">
        <v>0.42516339869281045</v>
      </c>
    </row>
    <row r="112" spans="1:45" x14ac:dyDescent="0.3">
      <c r="A112" s="1" t="str">
        <f t="shared" si="14"/>
        <v>DXDJ8G056GRP</v>
      </c>
      <c r="B112" s="126" t="s">
        <v>603</v>
      </c>
      <c r="C112" s="98" t="str">
        <f t="shared" si="17"/>
        <v>DJ8G0</v>
      </c>
      <c r="D112" s="98" t="s">
        <v>55</v>
      </c>
      <c r="E112" s="98" t="str">
        <f t="shared" si="18"/>
        <v>X</v>
      </c>
      <c r="F112" s="98" t="str">
        <f t="shared" si="19"/>
        <v>DJ</v>
      </c>
      <c r="G112" s="98" t="s">
        <v>56</v>
      </c>
      <c r="H112" s="115" t="s">
        <v>604</v>
      </c>
      <c r="I112" s="98" t="s">
        <v>388</v>
      </c>
      <c r="J112" s="115" t="str">
        <f t="shared" si="16"/>
        <v/>
      </c>
      <c r="K112" s="115">
        <v>1</v>
      </c>
      <c r="L112" s="116">
        <v>319000</v>
      </c>
      <c r="M112" s="78" t="s">
        <v>217</v>
      </c>
      <c r="N112" s="98" t="s">
        <v>218</v>
      </c>
      <c r="O112" s="98" t="s">
        <v>485</v>
      </c>
      <c r="P112" s="98">
        <v>100</v>
      </c>
      <c r="Q112" s="32" t="s">
        <v>219</v>
      </c>
      <c r="R112" s="98" t="s">
        <v>220</v>
      </c>
      <c r="S112" s="32" t="s">
        <v>221</v>
      </c>
      <c r="T112" s="98" t="s">
        <v>65</v>
      </c>
      <c r="U112" s="98"/>
      <c r="V112" s="98" t="s">
        <v>520</v>
      </c>
      <c r="W112" s="98"/>
      <c r="X112" s="78" t="s">
        <v>67</v>
      </c>
      <c r="Y112" s="98" t="s">
        <v>68</v>
      </c>
      <c r="Z112" s="32" t="s">
        <v>69</v>
      </c>
      <c r="AA112" s="32" t="s">
        <v>70</v>
      </c>
      <c r="AB112" s="78" t="s">
        <v>71</v>
      </c>
      <c r="AC112" s="98" t="s">
        <v>62</v>
      </c>
      <c r="AD112" s="98" t="s">
        <v>72</v>
      </c>
      <c r="AE112" s="65" t="s">
        <v>137</v>
      </c>
      <c r="AF112" s="39" t="s">
        <v>442</v>
      </c>
      <c r="AG112" s="98" t="s">
        <v>127</v>
      </c>
      <c r="AH112" s="115">
        <v>650</v>
      </c>
      <c r="AI112" s="117" t="s">
        <v>264</v>
      </c>
      <c r="AJ112" s="115" t="s">
        <v>241</v>
      </c>
      <c r="AK112" s="73">
        <v>391</v>
      </c>
      <c r="AL112" s="116">
        <f t="shared" si="15"/>
        <v>124729000</v>
      </c>
      <c r="AM112" s="116">
        <v>10</v>
      </c>
      <c r="AN112" s="116">
        <v>2947829</v>
      </c>
      <c r="AO112" s="116">
        <v>56</v>
      </c>
      <c r="AP112" s="116">
        <v>17238558</v>
      </c>
      <c r="AQ112" s="116">
        <f t="shared" si="20"/>
        <v>192.85</v>
      </c>
      <c r="AR112" s="116">
        <f t="shared" si="21"/>
        <v>56597618</v>
      </c>
      <c r="AS112" s="118">
        <v>0.49322250639386189</v>
      </c>
    </row>
    <row r="113" spans="1:45" s="105" customFormat="1" x14ac:dyDescent="0.3">
      <c r="A113" s="104" t="str">
        <f t="shared" si="14"/>
        <v>DMDJ8M056TQD</v>
      </c>
      <c r="B113" s="126" t="s">
        <v>605</v>
      </c>
      <c r="C113" s="98" t="str">
        <f t="shared" si="17"/>
        <v>DJ8M0</v>
      </c>
      <c r="D113" s="98" t="s">
        <v>55</v>
      </c>
      <c r="E113" s="98" t="str">
        <f t="shared" si="18"/>
        <v>M</v>
      </c>
      <c r="F113" s="98" t="str">
        <f t="shared" si="19"/>
        <v>DJ</v>
      </c>
      <c r="G113" s="98" t="s">
        <v>56</v>
      </c>
      <c r="H113" s="115" t="s">
        <v>606</v>
      </c>
      <c r="I113" s="98" t="s">
        <v>242</v>
      </c>
      <c r="J113" s="115">
        <f t="shared" si="16"/>
        <v>1</v>
      </c>
      <c r="K113" s="115">
        <v>1</v>
      </c>
      <c r="L113" s="116">
        <v>710000</v>
      </c>
      <c r="M113" s="78" t="s">
        <v>225</v>
      </c>
      <c r="N113" s="98" t="s">
        <v>489</v>
      </c>
      <c r="O113" s="98" t="s">
        <v>485</v>
      </c>
      <c r="P113" s="98">
        <v>100</v>
      </c>
      <c r="Q113" s="32" t="s">
        <v>85</v>
      </c>
      <c r="R113" s="98" t="s">
        <v>490</v>
      </c>
      <c r="S113" s="32" t="s">
        <v>491</v>
      </c>
      <c r="T113" s="98" t="s">
        <v>228</v>
      </c>
      <c r="U113" s="98" t="s">
        <v>123</v>
      </c>
      <c r="V113" s="98" t="s">
        <v>66</v>
      </c>
      <c r="W113" s="98" t="s">
        <v>229</v>
      </c>
      <c r="X113" s="78" t="s">
        <v>67</v>
      </c>
      <c r="Y113" s="98" t="s">
        <v>340</v>
      </c>
      <c r="Z113" s="32" t="s">
        <v>238</v>
      </c>
      <c r="AA113" s="32" t="s">
        <v>90</v>
      </c>
      <c r="AB113" s="78" t="s">
        <v>71</v>
      </c>
      <c r="AC113" s="98" t="s">
        <v>62</v>
      </c>
      <c r="AD113" s="98" t="s">
        <v>72</v>
      </c>
      <c r="AE113" s="65" t="s">
        <v>73</v>
      </c>
      <c r="AF113" s="39" t="s">
        <v>422</v>
      </c>
      <c r="AG113" s="98" t="s">
        <v>127</v>
      </c>
      <c r="AH113" s="115">
        <v>650</v>
      </c>
      <c r="AI113" s="117" t="s">
        <v>99</v>
      </c>
      <c r="AJ113" s="115" t="s">
        <v>100</v>
      </c>
      <c r="AK113" s="73">
        <v>689</v>
      </c>
      <c r="AL113" s="116">
        <f t="shared" si="15"/>
        <v>489190000</v>
      </c>
      <c r="AM113" s="116">
        <v>7</v>
      </c>
      <c r="AN113" s="116">
        <v>4540000</v>
      </c>
      <c r="AO113" s="116">
        <v>25</v>
      </c>
      <c r="AP113" s="116">
        <v>16689803</v>
      </c>
      <c r="AQ113" s="116">
        <f t="shared" si="20"/>
        <v>266.14999999999998</v>
      </c>
      <c r="AR113" s="116">
        <f t="shared" si="21"/>
        <v>173849180</v>
      </c>
      <c r="AS113" s="118">
        <v>0.3862844702467344</v>
      </c>
    </row>
    <row r="114" spans="1:45" s="105" customFormat="1" x14ac:dyDescent="0.3">
      <c r="A114" s="104" t="str">
        <f t="shared" si="14"/>
        <v>DMDJ8M056GRD</v>
      </c>
      <c r="B114" s="126" t="s">
        <v>605</v>
      </c>
      <c r="C114" s="98" t="str">
        <f t="shared" si="17"/>
        <v>DJ8M0</v>
      </c>
      <c r="D114" s="98" t="s">
        <v>55</v>
      </c>
      <c r="E114" s="98" t="str">
        <f t="shared" si="18"/>
        <v>M</v>
      </c>
      <c r="F114" s="98" t="str">
        <f t="shared" si="19"/>
        <v>DJ</v>
      </c>
      <c r="G114" s="98" t="s">
        <v>56</v>
      </c>
      <c r="H114" s="115" t="s">
        <v>606</v>
      </c>
      <c r="I114" s="98" t="s">
        <v>215</v>
      </c>
      <c r="J114" s="115" t="str">
        <f t="shared" si="16"/>
        <v/>
      </c>
      <c r="K114" s="115">
        <v>1</v>
      </c>
      <c r="L114" s="116">
        <v>710000</v>
      </c>
      <c r="M114" s="78" t="s">
        <v>225</v>
      </c>
      <c r="N114" s="98" t="s">
        <v>489</v>
      </c>
      <c r="O114" s="98" t="s">
        <v>485</v>
      </c>
      <c r="P114" s="98">
        <v>100</v>
      </c>
      <c r="Q114" s="32" t="s">
        <v>85</v>
      </c>
      <c r="R114" s="98" t="s">
        <v>490</v>
      </c>
      <c r="S114" s="32" t="s">
        <v>491</v>
      </c>
      <c r="T114" s="98" t="s">
        <v>228</v>
      </c>
      <c r="U114" s="98" t="s">
        <v>123</v>
      </c>
      <c r="V114" s="98" t="s">
        <v>66</v>
      </c>
      <c r="W114" s="98" t="s">
        <v>229</v>
      </c>
      <c r="X114" s="78" t="s">
        <v>67</v>
      </c>
      <c r="Y114" s="98" t="s">
        <v>340</v>
      </c>
      <c r="Z114" s="32" t="s">
        <v>238</v>
      </c>
      <c r="AA114" s="32" t="s">
        <v>90</v>
      </c>
      <c r="AB114" s="78" t="s">
        <v>71</v>
      </c>
      <c r="AC114" s="98" t="s">
        <v>62</v>
      </c>
      <c r="AD114" s="98" t="s">
        <v>72</v>
      </c>
      <c r="AE114" s="65" t="s">
        <v>73</v>
      </c>
      <c r="AF114" s="39" t="s">
        <v>422</v>
      </c>
      <c r="AG114" s="98" t="s">
        <v>127</v>
      </c>
      <c r="AH114" s="115">
        <v>650</v>
      </c>
      <c r="AI114" s="117" t="s">
        <v>99</v>
      </c>
      <c r="AJ114" s="115" t="s">
        <v>100</v>
      </c>
      <c r="AK114" s="73">
        <v>1472</v>
      </c>
      <c r="AL114" s="116">
        <f t="shared" si="15"/>
        <v>1045120000</v>
      </c>
      <c r="AM114" s="116">
        <v>39</v>
      </c>
      <c r="AN114" s="116">
        <v>24755732</v>
      </c>
      <c r="AO114" s="116">
        <v>82</v>
      </c>
      <c r="AP114" s="116">
        <v>53581846</v>
      </c>
      <c r="AQ114" s="116">
        <f t="shared" si="20"/>
        <v>597.19999999999993</v>
      </c>
      <c r="AR114" s="116">
        <f t="shared" si="21"/>
        <v>390091040</v>
      </c>
      <c r="AS114" s="118">
        <v>0.40570652173913041</v>
      </c>
    </row>
    <row r="115" spans="1:45" s="105" customFormat="1" x14ac:dyDescent="0.3">
      <c r="A115" s="104" t="str">
        <f t="shared" si="14"/>
        <v>DMDJ8M056BKS</v>
      </c>
      <c r="B115" s="126" t="s">
        <v>605</v>
      </c>
      <c r="C115" s="98" t="str">
        <f t="shared" si="17"/>
        <v>DJ8M0</v>
      </c>
      <c r="D115" s="98" t="s">
        <v>55</v>
      </c>
      <c r="E115" s="98" t="str">
        <f t="shared" si="18"/>
        <v>M</v>
      </c>
      <c r="F115" s="98" t="str">
        <f t="shared" si="19"/>
        <v>DJ</v>
      </c>
      <c r="G115" s="98" t="s">
        <v>56</v>
      </c>
      <c r="H115" s="115" t="s">
        <v>606</v>
      </c>
      <c r="I115" s="98" t="s">
        <v>78</v>
      </c>
      <c r="J115" s="115" t="str">
        <f t="shared" si="16"/>
        <v/>
      </c>
      <c r="K115" s="115">
        <v>1</v>
      </c>
      <c r="L115" s="116">
        <v>710000</v>
      </c>
      <c r="M115" s="78" t="s">
        <v>225</v>
      </c>
      <c r="N115" s="98" t="s">
        <v>607</v>
      </c>
      <c r="O115" s="98" t="s">
        <v>485</v>
      </c>
      <c r="P115" s="98">
        <v>100</v>
      </c>
      <c r="Q115" s="32" t="s">
        <v>85</v>
      </c>
      <c r="R115" s="98" t="s">
        <v>490</v>
      </c>
      <c r="S115" s="32" t="s">
        <v>491</v>
      </c>
      <c r="T115" s="98" t="s">
        <v>228</v>
      </c>
      <c r="U115" s="98" t="s">
        <v>123</v>
      </c>
      <c r="V115" s="98" t="s">
        <v>66</v>
      </c>
      <c r="W115" s="98" t="s">
        <v>229</v>
      </c>
      <c r="X115" s="78" t="s">
        <v>67</v>
      </c>
      <c r="Y115" s="98" t="s">
        <v>340</v>
      </c>
      <c r="Z115" s="32" t="s">
        <v>238</v>
      </c>
      <c r="AA115" s="32" t="s">
        <v>90</v>
      </c>
      <c r="AB115" s="78" t="s">
        <v>71</v>
      </c>
      <c r="AC115" s="98" t="s">
        <v>62</v>
      </c>
      <c r="AD115" s="98" t="s">
        <v>72</v>
      </c>
      <c r="AE115" s="65" t="s">
        <v>73</v>
      </c>
      <c r="AF115" s="39" t="s">
        <v>422</v>
      </c>
      <c r="AG115" s="98" t="s">
        <v>127</v>
      </c>
      <c r="AH115" s="115">
        <v>650</v>
      </c>
      <c r="AI115" s="117" t="s">
        <v>99</v>
      </c>
      <c r="AJ115" s="115" t="s">
        <v>100</v>
      </c>
      <c r="AK115" s="73">
        <v>2184</v>
      </c>
      <c r="AL115" s="116">
        <f t="shared" si="15"/>
        <v>1550640000</v>
      </c>
      <c r="AM115" s="116">
        <v>122</v>
      </c>
      <c r="AN115" s="116">
        <v>79128280</v>
      </c>
      <c r="AO115" s="116">
        <v>266</v>
      </c>
      <c r="AP115" s="116">
        <v>177049962</v>
      </c>
      <c r="AQ115" s="116">
        <f t="shared" si="20"/>
        <v>1030.3999999999999</v>
      </c>
      <c r="AR115" s="116">
        <f t="shared" si="21"/>
        <v>673057280</v>
      </c>
      <c r="AS115" s="118">
        <v>0.47179487179487178</v>
      </c>
    </row>
    <row r="116" spans="1:45" s="105" customFormat="1" x14ac:dyDescent="0.3">
      <c r="A116" s="104" t="str">
        <f t="shared" si="14"/>
        <v>DMDJ8M056RDS</v>
      </c>
      <c r="B116" s="126" t="s">
        <v>605</v>
      </c>
      <c r="C116" s="98" t="str">
        <f t="shared" si="17"/>
        <v>DJ8M0</v>
      </c>
      <c r="D116" s="98" t="s">
        <v>55</v>
      </c>
      <c r="E116" s="98" t="str">
        <f t="shared" si="18"/>
        <v>M</v>
      </c>
      <c r="F116" s="98" t="str">
        <f t="shared" si="19"/>
        <v>DJ</v>
      </c>
      <c r="G116" s="98" t="s">
        <v>56</v>
      </c>
      <c r="H116" s="115" t="s">
        <v>606</v>
      </c>
      <c r="I116" s="98" t="s">
        <v>608</v>
      </c>
      <c r="J116" s="115" t="str">
        <f t="shared" si="16"/>
        <v/>
      </c>
      <c r="K116" s="115">
        <v>1</v>
      </c>
      <c r="L116" s="116">
        <v>710000</v>
      </c>
      <c r="M116" s="78" t="s">
        <v>225</v>
      </c>
      <c r="N116" s="98" t="s">
        <v>489</v>
      </c>
      <c r="O116" s="98" t="s">
        <v>485</v>
      </c>
      <c r="P116" s="98">
        <v>100</v>
      </c>
      <c r="Q116" s="32" t="s">
        <v>85</v>
      </c>
      <c r="R116" s="98" t="s">
        <v>490</v>
      </c>
      <c r="S116" s="32" t="s">
        <v>491</v>
      </c>
      <c r="T116" s="98" t="s">
        <v>228</v>
      </c>
      <c r="U116" s="98" t="s">
        <v>123</v>
      </c>
      <c r="V116" s="98" t="s">
        <v>66</v>
      </c>
      <c r="W116" s="98" t="s">
        <v>229</v>
      </c>
      <c r="X116" s="78" t="s">
        <v>67</v>
      </c>
      <c r="Y116" s="98" t="s">
        <v>340</v>
      </c>
      <c r="Z116" s="32" t="s">
        <v>238</v>
      </c>
      <c r="AA116" s="32" t="s">
        <v>90</v>
      </c>
      <c r="AB116" s="78" t="s">
        <v>71</v>
      </c>
      <c r="AC116" s="98" t="s">
        <v>62</v>
      </c>
      <c r="AD116" s="98" t="s">
        <v>72</v>
      </c>
      <c r="AE116" s="65" t="s">
        <v>73</v>
      </c>
      <c r="AF116" s="39" t="s">
        <v>422</v>
      </c>
      <c r="AG116" s="98" t="s">
        <v>127</v>
      </c>
      <c r="AH116" s="115">
        <v>650</v>
      </c>
      <c r="AI116" s="117" t="s">
        <v>99</v>
      </c>
      <c r="AJ116" s="115" t="s">
        <v>100</v>
      </c>
      <c r="AK116" s="73">
        <v>508</v>
      </c>
      <c r="AL116" s="116">
        <f t="shared" si="15"/>
        <v>360680000</v>
      </c>
      <c r="AM116" s="116">
        <v>4</v>
      </c>
      <c r="AN116" s="116">
        <v>2618000</v>
      </c>
      <c r="AO116" s="116">
        <v>13</v>
      </c>
      <c r="AP116" s="116">
        <v>8758000</v>
      </c>
      <c r="AQ116" s="116">
        <f t="shared" si="20"/>
        <v>190.79999999999998</v>
      </c>
      <c r="AR116" s="116">
        <f t="shared" si="21"/>
        <v>124630560</v>
      </c>
      <c r="AS116" s="118">
        <v>0.37559055118110235</v>
      </c>
    </row>
    <row r="117" spans="1:45" s="105" customFormat="1" x14ac:dyDescent="0.3">
      <c r="A117" s="104" t="str">
        <f t="shared" si="14"/>
        <v>DMDJ7O056GRD</v>
      </c>
      <c r="B117" s="126" t="s">
        <v>609</v>
      </c>
      <c r="C117" s="98" t="str">
        <f t="shared" si="17"/>
        <v>DJ7O0</v>
      </c>
      <c r="D117" s="98" t="s">
        <v>55</v>
      </c>
      <c r="E117" s="98" t="str">
        <f t="shared" si="18"/>
        <v>M</v>
      </c>
      <c r="F117" s="98" t="str">
        <f t="shared" si="19"/>
        <v>DJ</v>
      </c>
      <c r="G117" s="98" t="s">
        <v>56</v>
      </c>
      <c r="H117" s="115" t="s">
        <v>610</v>
      </c>
      <c r="I117" s="98" t="s">
        <v>215</v>
      </c>
      <c r="J117" s="115">
        <f t="shared" si="16"/>
        <v>1</v>
      </c>
      <c r="K117" s="115">
        <v>1</v>
      </c>
      <c r="L117" s="116">
        <v>750000</v>
      </c>
      <c r="M117" s="78" t="s">
        <v>225</v>
      </c>
      <c r="N117" s="98" t="s">
        <v>494</v>
      </c>
      <c r="O117" s="98" t="s">
        <v>485</v>
      </c>
      <c r="P117" s="98">
        <v>100</v>
      </c>
      <c r="Q117" s="32" t="s">
        <v>204</v>
      </c>
      <c r="R117" s="98" t="s">
        <v>495</v>
      </c>
      <c r="S117" s="32" t="s">
        <v>496</v>
      </c>
      <c r="T117" s="98" t="s">
        <v>228</v>
      </c>
      <c r="U117" s="98" t="s">
        <v>198</v>
      </c>
      <c r="V117" s="98" t="s">
        <v>66</v>
      </c>
      <c r="W117" s="98" t="s">
        <v>229</v>
      </c>
      <c r="X117" s="78" t="s">
        <v>67</v>
      </c>
      <c r="Y117" s="98" t="s">
        <v>68</v>
      </c>
      <c r="Z117" s="32" t="s">
        <v>125</v>
      </c>
      <c r="AA117" s="32" t="s">
        <v>90</v>
      </c>
      <c r="AB117" s="78" t="s">
        <v>71</v>
      </c>
      <c r="AC117" s="98" t="s">
        <v>62</v>
      </c>
      <c r="AD117" s="98" t="s">
        <v>72</v>
      </c>
      <c r="AE117" s="65" t="s">
        <v>73</v>
      </c>
      <c r="AF117" s="39" t="s">
        <v>373</v>
      </c>
      <c r="AG117" s="98" t="s">
        <v>127</v>
      </c>
      <c r="AH117" s="115">
        <v>650</v>
      </c>
      <c r="AI117" s="117" t="s">
        <v>107</v>
      </c>
      <c r="AJ117" s="115" t="s">
        <v>108</v>
      </c>
      <c r="AK117" s="73">
        <v>816</v>
      </c>
      <c r="AL117" s="116">
        <f t="shared" si="15"/>
        <v>612000000</v>
      </c>
      <c r="AM117" s="116">
        <v>22</v>
      </c>
      <c r="AN117" s="116">
        <v>15228461</v>
      </c>
      <c r="AO117" s="116">
        <v>57</v>
      </c>
      <c r="AP117" s="116">
        <v>40684942</v>
      </c>
      <c r="AQ117" s="116">
        <f t="shared" si="20"/>
        <v>301.8</v>
      </c>
      <c r="AR117" s="116">
        <f t="shared" si="21"/>
        <v>208242000</v>
      </c>
      <c r="AS117" s="118">
        <v>0.36985294117647061</v>
      </c>
    </row>
    <row r="118" spans="1:45" s="105" customFormat="1" x14ac:dyDescent="0.3">
      <c r="A118" s="104" t="str">
        <f t="shared" si="14"/>
        <v>DMDJ7O056BKS</v>
      </c>
      <c r="B118" s="126" t="s">
        <v>609</v>
      </c>
      <c r="C118" s="98" t="str">
        <f t="shared" si="17"/>
        <v>DJ7O0</v>
      </c>
      <c r="D118" s="98" t="s">
        <v>55</v>
      </c>
      <c r="E118" s="98" t="str">
        <f t="shared" si="18"/>
        <v>M</v>
      </c>
      <c r="F118" s="98" t="str">
        <f t="shared" si="19"/>
        <v>DJ</v>
      </c>
      <c r="G118" s="98" t="s">
        <v>56</v>
      </c>
      <c r="H118" s="115" t="s">
        <v>610</v>
      </c>
      <c r="I118" s="98" t="s">
        <v>78</v>
      </c>
      <c r="J118" s="115" t="str">
        <f t="shared" si="16"/>
        <v/>
      </c>
      <c r="K118" s="115">
        <v>1</v>
      </c>
      <c r="L118" s="116">
        <v>750000</v>
      </c>
      <c r="M118" s="78" t="s">
        <v>225</v>
      </c>
      <c r="N118" s="98" t="s">
        <v>494</v>
      </c>
      <c r="O118" s="98" t="s">
        <v>485</v>
      </c>
      <c r="P118" s="98">
        <v>100</v>
      </c>
      <c r="Q118" s="32" t="s">
        <v>204</v>
      </c>
      <c r="R118" s="98" t="s">
        <v>495</v>
      </c>
      <c r="S118" s="32" t="s">
        <v>496</v>
      </c>
      <c r="T118" s="98" t="s">
        <v>228</v>
      </c>
      <c r="U118" s="98" t="s">
        <v>198</v>
      </c>
      <c r="V118" s="98" t="s">
        <v>66</v>
      </c>
      <c r="W118" s="98" t="s">
        <v>229</v>
      </c>
      <c r="X118" s="78" t="s">
        <v>67</v>
      </c>
      <c r="Y118" s="98" t="s">
        <v>68</v>
      </c>
      <c r="Z118" s="32" t="s">
        <v>125</v>
      </c>
      <c r="AA118" s="32" t="s">
        <v>90</v>
      </c>
      <c r="AB118" s="78" t="s">
        <v>71</v>
      </c>
      <c r="AC118" s="98" t="s">
        <v>62</v>
      </c>
      <c r="AD118" s="98" t="s">
        <v>72</v>
      </c>
      <c r="AE118" s="65" t="s">
        <v>73</v>
      </c>
      <c r="AF118" s="39" t="s">
        <v>373</v>
      </c>
      <c r="AG118" s="98" t="s">
        <v>127</v>
      </c>
      <c r="AH118" s="115">
        <v>650</v>
      </c>
      <c r="AI118" s="117" t="s">
        <v>107</v>
      </c>
      <c r="AJ118" s="115" t="s">
        <v>108</v>
      </c>
      <c r="AK118" s="73">
        <v>1507</v>
      </c>
      <c r="AL118" s="116">
        <f t="shared" si="15"/>
        <v>1130250000</v>
      </c>
      <c r="AM118" s="116">
        <v>79</v>
      </c>
      <c r="AN118" s="116">
        <v>54476000</v>
      </c>
      <c r="AO118" s="116">
        <v>197</v>
      </c>
      <c r="AP118" s="116">
        <v>139922877</v>
      </c>
      <c r="AQ118" s="116">
        <f t="shared" si="20"/>
        <v>649.1</v>
      </c>
      <c r="AR118" s="116">
        <f t="shared" si="21"/>
        <v>447879000</v>
      </c>
      <c r="AS118" s="118">
        <v>0.43072329130723291</v>
      </c>
    </row>
    <row r="119" spans="1:45" x14ac:dyDescent="0.3">
      <c r="A119" s="1" t="str">
        <f t="shared" si="14"/>
        <v>DMDJ8Q056BGS</v>
      </c>
      <c r="B119" s="126" t="s">
        <v>611</v>
      </c>
      <c r="C119" s="98" t="str">
        <f t="shared" si="17"/>
        <v>DJ8Q0</v>
      </c>
      <c r="D119" s="98" t="s">
        <v>55</v>
      </c>
      <c r="E119" s="98" t="str">
        <f t="shared" si="18"/>
        <v>M</v>
      </c>
      <c r="F119" s="98" t="str">
        <f t="shared" si="19"/>
        <v>DJ</v>
      </c>
      <c r="G119" s="98" t="s">
        <v>56</v>
      </c>
      <c r="H119" s="115" t="s">
        <v>612</v>
      </c>
      <c r="I119" s="98" t="s">
        <v>82</v>
      </c>
      <c r="J119" s="115">
        <f t="shared" si="16"/>
        <v>1</v>
      </c>
      <c r="K119" s="115">
        <v>1</v>
      </c>
      <c r="L119" s="116">
        <v>499000</v>
      </c>
      <c r="M119" s="78" t="s">
        <v>225</v>
      </c>
      <c r="N119" s="98" t="s">
        <v>494</v>
      </c>
      <c r="O119" s="98" t="s">
        <v>485</v>
      </c>
      <c r="P119" s="98">
        <v>100</v>
      </c>
      <c r="Q119" s="32" t="s">
        <v>204</v>
      </c>
      <c r="R119" s="98" t="s">
        <v>495</v>
      </c>
      <c r="S119" s="32" t="s">
        <v>496</v>
      </c>
      <c r="T119" s="98" t="s">
        <v>228</v>
      </c>
      <c r="U119" s="98" t="s">
        <v>198</v>
      </c>
      <c r="V119" s="98" t="s">
        <v>66</v>
      </c>
      <c r="W119" s="98" t="s">
        <v>229</v>
      </c>
      <c r="X119" s="78" t="s">
        <v>67</v>
      </c>
      <c r="Y119" s="98" t="s">
        <v>68</v>
      </c>
      <c r="Z119" s="32" t="s">
        <v>125</v>
      </c>
      <c r="AA119" s="32" t="s">
        <v>90</v>
      </c>
      <c r="AB119" s="78" t="s">
        <v>71</v>
      </c>
      <c r="AC119" s="98" t="s">
        <v>62</v>
      </c>
      <c r="AD119" s="98" t="s">
        <v>72</v>
      </c>
      <c r="AE119" s="65" t="s">
        <v>73</v>
      </c>
      <c r="AF119" s="39" t="s">
        <v>613</v>
      </c>
      <c r="AG119" s="98" t="s">
        <v>127</v>
      </c>
      <c r="AH119" s="115">
        <v>650</v>
      </c>
      <c r="AI119" s="117" t="s">
        <v>99</v>
      </c>
      <c r="AJ119" s="115" t="s">
        <v>100</v>
      </c>
      <c r="AK119" s="73">
        <v>1002</v>
      </c>
      <c r="AL119" s="116">
        <f t="shared" si="15"/>
        <v>499998000</v>
      </c>
      <c r="AM119" s="116">
        <v>28</v>
      </c>
      <c r="AN119" s="116">
        <v>12323636</v>
      </c>
      <c r="AO119" s="116">
        <v>106</v>
      </c>
      <c r="AP119" s="116">
        <v>49865067</v>
      </c>
      <c r="AQ119" s="116">
        <f t="shared" si="20"/>
        <v>456.7</v>
      </c>
      <c r="AR119" s="116">
        <f t="shared" si="21"/>
        <v>209661836</v>
      </c>
      <c r="AS119" s="118">
        <v>0.45578842315369261</v>
      </c>
    </row>
    <row r="120" spans="1:45" x14ac:dyDescent="0.3">
      <c r="A120" s="1" t="str">
        <f t="shared" si="14"/>
        <v>DMDJ8Q056BKS</v>
      </c>
      <c r="B120" s="126" t="s">
        <v>611</v>
      </c>
      <c r="C120" s="98" t="str">
        <f t="shared" si="17"/>
        <v>DJ8Q0</v>
      </c>
      <c r="D120" s="98" t="s">
        <v>55</v>
      </c>
      <c r="E120" s="98" t="str">
        <f t="shared" si="18"/>
        <v>M</v>
      </c>
      <c r="F120" s="98" t="str">
        <f t="shared" si="19"/>
        <v>DJ</v>
      </c>
      <c r="G120" s="98" t="s">
        <v>56</v>
      </c>
      <c r="H120" s="115" t="s">
        <v>612</v>
      </c>
      <c r="I120" s="98" t="s">
        <v>78</v>
      </c>
      <c r="J120" s="115" t="str">
        <f t="shared" si="16"/>
        <v/>
      </c>
      <c r="K120" s="115">
        <v>1</v>
      </c>
      <c r="L120" s="116">
        <v>499000</v>
      </c>
      <c r="M120" s="78" t="s">
        <v>225</v>
      </c>
      <c r="N120" s="98" t="s">
        <v>494</v>
      </c>
      <c r="O120" s="98" t="s">
        <v>485</v>
      </c>
      <c r="P120" s="98">
        <v>100</v>
      </c>
      <c r="Q120" s="32" t="s">
        <v>204</v>
      </c>
      <c r="R120" s="98" t="s">
        <v>495</v>
      </c>
      <c r="S120" s="32" t="s">
        <v>496</v>
      </c>
      <c r="T120" s="98" t="s">
        <v>228</v>
      </c>
      <c r="U120" s="98" t="s">
        <v>198</v>
      </c>
      <c r="V120" s="98" t="s">
        <v>66</v>
      </c>
      <c r="W120" s="98" t="s">
        <v>229</v>
      </c>
      <c r="X120" s="78" t="s">
        <v>67</v>
      </c>
      <c r="Y120" s="98" t="s">
        <v>68</v>
      </c>
      <c r="Z120" s="32" t="s">
        <v>125</v>
      </c>
      <c r="AA120" s="32" t="s">
        <v>90</v>
      </c>
      <c r="AB120" s="78" t="s">
        <v>71</v>
      </c>
      <c r="AC120" s="98" t="s">
        <v>62</v>
      </c>
      <c r="AD120" s="98" t="s">
        <v>72</v>
      </c>
      <c r="AE120" s="65" t="s">
        <v>73</v>
      </c>
      <c r="AF120" s="39" t="s">
        <v>613</v>
      </c>
      <c r="AG120" s="98" t="s">
        <v>127</v>
      </c>
      <c r="AH120" s="115">
        <v>650</v>
      </c>
      <c r="AI120" s="117" t="s">
        <v>99</v>
      </c>
      <c r="AJ120" s="115" t="s">
        <v>100</v>
      </c>
      <c r="AK120" s="73">
        <v>2007</v>
      </c>
      <c r="AL120" s="116">
        <f t="shared" si="15"/>
        <v>1001493000</v>
      </c>
      <c r="AM120" s="116">
        <v>319</v>
      </c>
      <c r="AN120" s="116">
        <v>124160175</v>
      </c>
      <c r="AO120" s="116">
        <v>688</v>
      </c>
      <c r="AP120" s="116">
        <v>301766335</v>
      </c>
      <c r="AQ120" s="116">
        <f t="shared" si="20"/>
        <v>1390.4499999999998</v>
      </c>
      <c r="AR120" s="116">
        <f t="shared" si="21"/>
        <v>638327786</v>
      </c>
      <c r="AS120" s="118">
        <v>0.69280019930244141</v>
      </c>
    </row>
    <row r="121" spans="1:45" x14ac:dyDescent="0.3">
      <c r="A121" s="1" t="str">
        <f t="shared" si="14"/>
        <v>DMDJ8Q056MSD</v>
      </c>
      <c r="B121" s="126" t="s">
        <v>611</v>
      </c>
      <c r="C121" s="98" t="str">
        <f t="shared" si="17"/>
        <v>DJ8Q0</v>
      </c>
      <c r="D121" s="98" t="s">
        <v>55</v>
      </c>
      <c r="E121" s="98" t="str">
        <f t="shared" si="18"/>
        <v>M</v>
      </c>
      <c r="F121" s="98" t="str">
        <f t="shared" si="19"/>
        <v>DJ</v>
      </c>
      <c r="G121" s="98" t="s">
        <v>56</v>
      </c>
      <c r="H121" s="115" t="s">
        <v>612</v>
      </c>
      <c r="I121" s="98" t="s">
        <v>614</v>
      </c>
      <c r="J121" s="115" t="str">
        <f t="shared" si="16"/>
        <v/>
      </c>
      <c r="K121" s="115">
        <v>1</v>
      </c>
      <c r="L121" s="116">
        <v>499000</v>
      </c>
      <c r="M121" s="78" t="s">
        <v>225</v>
      </c>
      <c r="N121" s="98" t="s">
        <v>494</v>
      </c>
      <c r="O121" s="98" t="s">
        <v>485</v>
      </c>
      <c r="P121" s="98">
        <v>100</v>
      </c>
      <c r="Q121" s="32" t="s">
        <v>204</v>
      </c>
      <c r="R121" s="98" t="s">
        <v>495</v>
      </c>
      <c r="S121" s="32" t="s">
        <v>496</v>
      </c>
      <c r="T121" s="98" t="s">
        <v>228</v>
      </c>
      <c r="U121" s="98" t="s">
        <v>198</v>
      </c>
      <c r="V121" s="98" t="s">
        <v>66</v>
      </c>
      <c r="W121" s="98" t="s">
        <v>229</v>
      </c>
      <c r="X121" s="78" t="s">
        <v>67</v>
      </c>
      <c r="Y121" s="98" t="s">
        <v>68</v>
      </c>
      <c r="Z121" s="32" t="s">
        <v>125</v>
      </c>
      <c r="AA121" s="32" t="s">
        <v>90</v>
      </c>
      <c r="AB121" s="78" t="s">
        <v>71</v>
      </c>
      <c r="AC121" s="98" t="s">
        <v>62</v>
      </c>
      <c r="AD121" s="98" t="s">
        <v>72</v>
      </c>
      <c r="AE121" s="65" t="s">
        <v>73</v>
      </c>
      <c r="AF121" s="39" t="s">
        <v>613</v>
      </c>
      <c r="AG121" s="98" t="s">
        <v>127</v>
      </c>
      <c r="AH121" s="115">
        <v>650</v>
      </c>
      <c r="AI121" s="117" t="s">
        <v>99</v>
      </c>
      <c r="AJ121" s="115" t="s">
        <v>100</v>
      </c>
      <c r="AK121" s="73">
        <v>500</v>
      </c>
      <c r="AL121" s="116">
        <f t="shared" si="15"/>
        <v>249500000</v>
      </c>
      <c r="AM121" s="116">
        <v>9</v>
      </c>
      <c r="AN121" s="116">
        <v>4085292</v>
      </c>
      <c r="AO121" s="116">
        <v>17</v>
      </c>
      <c r="AP121" s="116">
        <v>7991092</v>
      </c>
      <c r="AQ121" s="116">
        <f t="shared" si="20"/>
        <v>192</v>
      </c>
      <c r="AR121" s="116">
        <f t="shared" si="21"/>
        <v>88143360</v>
      </c>
      <c r="AS121" s="118">
        <v>0.38400000000000001</v>
      </c>
    </row>
    <row r="122" spans="1:45" s="102" customFormat="1" x14ac:dyDescent="0.3">
      <c r="A122" s="101" t="str">
        <f t="shared" si="14"/>
        <v>DMDJ71056KAS</v>
      </c>
      <c r="B122" s="126" t="s">
        <v>615</v>
      </c>
      <c r="C122" s="98" t="str">
        <f t="shared" si="17"/>
        <v>DJ710</v>
      </c>
      <c r="D122" s="98" t="s">
        <v>55</v>
      </c>
      <c r="E122" s="98" t="str">
        <f t="shared" si="18"/>
        <v>M</v>
      </c>
      <c r="F122" s="98" t="str">
        <f t="shared" si="19"/>
        <v>DJ</v>
      </c>
      <c r="G122" s="98" t="s">
        <v>56</v>
      </c>
      <c r="H122" s="115" t="s">
        <v>616</v>
      </c>
      <c r="I122" s="98" t="s">
        <v>102</v>
      </c>
      <c r="J122" s="115">
        <f t="shared" si="16"/>
        <v>1</v>
      </c>
      <c r="K122" s="115">
        <v>1</v>
      </c>
      <c r="L122" s="116">
        <v>169000</v>
      </c>
      <c r="M122" s="78" t="s">
        <v>83</v>
      </c>
      <c r="N122" s="98" t="s">
        <v>617</v>
      </c>
      <c r="O122" s="98" t="s">
        <v>485</v>
      </c>
      <c r="P122" s="98">
        <v>100</v>
      </c>
      <c r="Q122" s="32" t="s">
        <v>85</v>
      </c>
      <c r="R122" s="98" t="s">
        <v>86</v>
      </c>
      <c r="S122" s="32" t="s">
        <v>87</v>
      </c>
      <c r="T122" s="98" t="s">
        <v>65</v>
      </c>
      <c r="U122" s="98"/>
      <c r="V122" s="98" t="s">
        <v>66</v>
      </c>
      <c r="W122" s="98"/>
      <c r="X122" s="78" t="s">
        <v>67</v>
      </c>
      <c r="Y122" s="98" t="s">
        <v>88</v>
      </c>
      <c r="Z122" s="32" t="s">
        <v>125</v>
      </c>
      <c r="AA122" s="32" t="s">
        <v>90</v>
      </c>
      <c r="AB122" s="78" t="s">
        <v>91</v>
      </c>
      <c r="AC122" s="69" t="s">
        <v>92</v>
      </c>
      <c r="AD122" s="69" t="s">
        <v>506</v>
      </c>
      <c r="AE122" s="65" t="s">
        <v>137</v>
      </c>
      <c r="AF122" s="39" t="s">
        <v>618</v>
      </c>
      <c r="AG122" s="98" t="s">
        <v>240</v>
      </c>
      <c r="AH122" s="115">
        <v>650</v>
      </c>
      <c r="AI122" s="117" t="s">
        <v>289</v>
      </c>
      <c r="AJ122" s="115" t="s">
        <v>241</v>
      </c>
      <c r="AK122" s="73">
        <v>803</v>
      </c>
      <c r="AL122" s="116">
        <f t="shared" si="15"/>
        <v>135707000</v>
      </c>
      <c r="AM122" s="116">
        <v>7</v>
      </c>
      <c r="AN122" s="116">
        <v>1099241</v>
      </c>
      <c r="AO122" s="116">
        <v>215</v>
      </c>
      <c r="AP122" s="116">
        <v>33327474</v>
      </c>
      <c r="AQ122" s="116">
        <f t="shared" si="20"/>
        <v>415.74999999999994</v>
      </c>
      <c r="AR122" s="116">
        <f t="shared" si="21"/>
        <v>64640810</v>
      </c>
      <c r="AS122" s="118">
        <v>0.51774595267745949</v>
      </c>
    </row>
    <row r="123" spans="1:45" s="102" customFormat="1" x14ac:dyDescent="0.3">
      <c r="A123" s="101" t="str">
        <f t="shared" si="14"/>
        <v>DMDJ71056BKS</v>
      </c>
      <c r="B123" s="126" t="s">
        <v>615</v>
      </c>
      <c r="C123" s="98" t="str">
        <f t="shared" si="17"/>
        <v>DJ710</v>
      </c>
      <c r="D123" s="98" t="s">
        <v>55</v>
      </c>
      <c r="E123" s="98" t="str">
        <f t="shared" si="18"/>
        <v>M</v>
      </c>
      <c r="F123" s="98" t="str">
        <f t="shared" si="19"/>
        <v>DJ</v>
      </c>
      <c r="G123" s="98" t="s">
        <v>56</v>
      </c>
      <c r="H123" s="115" t="s">
        <v>616</v>
      </c>
      <c r="I123" s="98" t="s">
        <v>78</v>
      </c>
      <c r="J123" s="115" t="str">
        <f t="shared" si="16"/>
        <v/>
      </c>
      <c r="K123" s="115">
        <v>1</v>
      </c>
      <c r="L123" s="116">
        <v>169000</v>
      </c>
      <c r="M123" s="78" t="s">
        <v>83</v>
      </c>
      <c r="N123" s="98" t="s">
        <v>617</v>
      </c>
      <c r="O123" s="98" t="s">
        <v>485</v>
      </c>
      <c r="P123" s="98">
        <v>100</v>
      </c>
      <c r="Q123" s="32" t="s">
        <v>85</v>
      </c>
      <c r="R123" s="98" t="s">
        <v>86</v>
      </c>
      <c r="S123" s="32" t="s">
        <v>87</v>
      </c>
      <c r="T123" s="98" t="s">
        <v>65</v>
      </c>
      <c r="U123" s="98"/>
      <c r="V123" s="98" t="s">
        <v>66</v>
      </c>
      <c r="W123" s="98"/>
      <c r="X123" s="78" t="s">
        <v>67</v>
      </c>
      <c r="Y123" s="98" t="s">
        <v>88</v>
      </c>
      <c r="Z123" s="32" t="s">
        <v>125</v>
      </c>
      <c r="AA123" s="32" t="s">
        <v>90</v>
      </c>
      <c r="AB123" s="78" t="s">
        <v>91</v>
      </c>
      <c r="AC123" s="69" t="s">
        <v>92</v>
      </c>
      <c r="AD123" s="69" t="s">
        <v>506</v>
      </c>
      <c r="AE123" s="65" t="s">
        <v>137</v>
      </c>
      <c r="AF123" s="39" t="s">
        <v>618</v>
      </c>
      <c r="AG123" s="98" t="s">
        <v>240</v>
      </c>
      <c r="AH123" s="115">
        <v>650</v>
      </c>
      <c r="AI123" s="117" t="s">
        <v>289</v>
      </c>
      <c r="AJ123" s="115" t="s">
        <v>241</v>
      </c>
      <c r="AK123" s="73">
        <v>7514</v>
      </c>
      <c r="AL123" s="116">
        <f t="shared" si="15"/>
        <v>1269866000</v>
      </c>
      <c r="AM123" s="116">
        <v>216</v>
      </c>
      <c r="AN123" s="116">
        <v>34448356</v>
      </c>
      <c r="AO123" s="116">
        <v>3663</v>
      </c>
      <c r="AP123" s="116">
        <v>555946769</v>
      </c>
      <c r="AQ123" s="116">
        <f t="shared" si="20"/>
        <v>5541.5</v>
      </c>
      <c r="AR123" s="116">
        <f t="shared" si="21"/>
        <v>861592420</v>
      </c>
      <c r="AS123" s="118">
        <v>0.73749001863188712</v>
      </c>
    </row>
    <row r="124" spans="1:45" s="102" customFormat="1" x14ac:dyDescent="0.3">
      <c r="A124" s="101" t="str">
        <f t="shared" si="14"/>
        <v>DWDJ72056BKS</v>
      </c>
      <c r="B124" s="126" t="s">
        <v>619</v>
      </c>
      <c r="C124" s="98" t="str">
        <f t="shared" si="17"/>
        <v>DJ720</v>
      </c>
      <c r="D124" s="98" t="s">
        <v>55</v>
      </c>
      <c r="E124" s="98" t="str">
        <f t="shared" si="18"/>
        <v>W</v>
      </c>
      <c r="F124" s="98" t="str">
        <f t="shared" si="19"/>
        <v>DJ</v>
      </c>
      <c r="G124" s="98" t="s">
        <v>56</v>
      </c>
      <c r="H124" s="115" t="s">
        <v>620</v>
      </c>
      <c r="I124" s="98" t="s">
        <v>78</v>
      </c>
      <c r="J124" s="115">
        <f t="shared" si="16"/>
        <v>1</v>
      </c>
      <c r="K124" s="115">
        <v>1</v>
      </c>
      <c r="L124" s="116">
        <v>169000</v>
      </c>
      <c r="M124" s="78" t="s">
        <v>83</v>
      </c>
      <c r="N124" s="98" t="s">
        <v>617</v>
      </c>
      <c r="O124" s="98" t="s">
        <v>485</v>
      </c>
      <c r="P124" s="98">
        <v>100</v>
      </c>
      <c r="Q124" s="32" t="s">
        <v>85</v>
      </c>
      <c r="R124" s="98" t="s">
        <v>86</v>
      </c>
      <c r="S124" s="32" t="s">
        <v>87</v>
      </c>
      <c r="T124" s="98" t="s">
        <v>65</v>
      </c>
      <c r="U124" s="98"/>
      <c r="V124" s="98" t="s">
        <v>66</v>
      </c>
      <c r="W124" s="98"/>
      <c r="X124" s="78" t="s">
        <v>67</v>
      </c>
      <c r="Y124" s="98" t="s">
        <v>88</v>
      </c>
      <c r="Z124" s="32" t="s">
        <v>125</v>
      </c>
      <c r="AA124" s="32" t="s">
        <v>90</v>
      </c>
      <c r="AB124" s="78" t="s">
        <v>91</v>
      </c>
      <c r="AC124" s="69" t="s">
        <v>92</v>
      </c>
      <c r="AD124" s="69" t="s">
        <v>506</v>
      </c>
      <c r="AE124" s="65" t="s">
        <v>137</v>
      </c>
      <c r="AF124" s="39" t="s">
        <v>314</v>
      </c>
      <c r="AG124" s="98" t="s">
        <v>240</v>
      </c>
      <c r="AH124" s="115">
        <v>650</v>
      </c>
      <c r="AI124" s="117" t="s">
        <v>289</v>
      </c>
      <c r="AJ124" s="115" t="s">
        <v>241</v>
      </c>
      <c r="AK124" s="73">
        <v>2511</v>
      </c>
      <c r="AL124" s="116">
        <f t="shared" si="15"/>
        <v>424359000</v>
      </c>
      <c r="AM124" s="116">
        <v>52</v>
      </c>
      <c r="AN124" s="116">
        <v>8339174</v>
      </c>
      <c r="AO124" s="116">
        <v>884</v>
      </c>
      <c r="AP124" s="116">
        <v>133154460</v>
      </c>
      <c r="AQ124" s="116">
        <f t="shared" si="20"/>
        <v>1511.75</v>
      </c>
      <c r="AR124" s="116">
        <f t="shared" si="21"/>
        <v>235046890</v>
      </c>
      <c r="AS124" s="118">
        <v>0.6020509757068897</v>
      </c>
    </row>
    <row r="125" spans="1:45" s="102" customFormat="1" x14ac:dyDescent="0.3">
      <c r="A125" s="101" t="str">
        <f t="shared" si="14"/>
        <v>DWDJ72056BES</v>
      </c>
      <c r="B125" s="126" t="s">
        <v>619</v>
      </c>
      <c r="C125" s="98" t="str">
        <f t="shared" si="17"/>
        <v>DJ720</v>
      </c>
      <c r="D125" s="98" t="s">
        <v>55</v>
      </c>
      <c r="E125" s="98" t="str">
        <f t="shared" si="18"/>
        <v>W</v>
      </c>
      <c r="F125" s="98" t="str">
        <f t="shared" si="19"/>
        <v>DJ</v>
      </c>
      <c r="G125" s="98" t="s">
        <v>56</v>
      </c>
      <c r="H125" s="115" t="s">
        <v>620</v>
      </c>
      <c r="I125" s="98" t="s">
        <v>385</v>
      </c>
      <c r="J125" s="115" t="str">
        <f t="shared" si="16"/>
        <v/>
      </c>
      <c r="K125" s="115">
        <v>1</v>
      </c>
      <c r="L125" s="116">
        <v>169000</v>
      </c>
      <c r="M125" s="78" t="s">
        <v>83</v>
      </c>
      <c r="N125" s="98" t="s">
        <v>617</v>
      </c>
      <c r="O125" s="98" t="s">
        <v>485</v>
      </c>
      <c r="P125" s="98">
        <v>100</v>
      </c>
      <c r="Q125" s="32" t="s">
        <v>85</v>
      </c>
      <c r="R125" s="98" t="s">
        <v>86</v>
      </c>
      <c r="S125" s="32" t="s">
        <v>87</v>
      </c>
      <c r="T125" s="98" t="s">
        <v>65</v>
      </c>
      <c r="U125" s="98"/>
      <c r="V125" s="98" t="s">
        <v>66</v>
      </c>
      <c r="W125" s="98"/>
      <c r="X125" s="78" t="s">
        <v>67</v>
      </c>
      <c r="Y125" s="98" t="s">
        <v>88</v>
      </c>
      <c r="Z125" s="32" t="s">
        <v>125</v>
      </c>
      <c r="AA125" s="32" t="s">
        <v>90</v>
      </c>
      <c r="AB125" s="78" t="s">
        <v>91</v>
      </c>
      <c r="AC125" s="69" t="s">
        <v>92</v>
      </c>
      <c r="AD125" s="69" t="s">
        <v>506</v>
      </c>
      <c r="AE125" s="65" t="s">
        <v>137</v>
      </c>
      <c r="AF125" s="39" t="s">
        <v>314</v>
      </c>
      <c r="AG125" s="98" t="s">
        <v>240</v>
      </c>
      <c r="AH125" s="115">
        <v>650</v>
      </c>
      <c r="AI125" s="117" t="s">
        <v>289</v>
      </c>
      <c r="AJ125" s="115" t="s">
        <v>241</v>
      </c>
      <c r="AK125" s="73">
        <v>1708</v>
      </c>
      <c r="AL125" s="116">
        <f t="shared" si="15"/>
        <v>288652000</v>
      </c>
      <c r="AM125" s="116">
        <v>45</v>
      </c>
      <c r="AN125" s="116">
        <v>7184143</v>
      </c>
      <c r="AO125" s="116">
        <v>741</v>
      </c>
      <c r="AP125" s="116">
        <v>116462072</v>
      </c>
      <c r="AQ125" s="116">
        <f t="shared" si="20"/>
        <v>1168</v>
      </c>
      <c r="AR125" s="116">
        <f t="shared" si="21"/>
        <v>181600640</v>
      </c>
      <c r="AS125" s="118">
        <v>0.68384074941451989</v>
      </c>
    </row>
    <row r="126" spans="1:45" x14ac:dyDescent="0.3">
      <c r="A126" s="1" t="str">
        <f t="shared" si="14"/>
        <v>DMDJ73056BKS</v>
      </c>
      <c r="B126" s="126" t="s">
        <v>621</v>
      </c>
      <c r="C126" s="98" t="str">
        <f t="shared" si="17"/>
        <v>DJ730</v>
      </c>
      <c r="D126" s="98" t="s">
        <v>55</v>
      </c>
      <c r="E126" s="98" t="str">
        <f t="shared" si="18"/>
        <v>M</v>
      </c>
      <c r="F126" s="98" t="str">
        <f t="shared" si="19"/>
        <v>DJ</v>
      </c>
      <c r="G126" s="98" t="s">
        <v>56</v>
      </c>
      <c r="H126" s="115" t="s">
        <v>622</v>
      </c>
      <c r="I126" s="98" t="s">
        <v>78</v>
      </c>
      <c r="J126" s="115">
        <f t="shared" si="16"/>
        <v>1</v>
      </c>
      <c r="K126" s="115">
        <v>1</v>
      </c>
      <c r="L126" s="116">
        <v>199000</v>
      </c>
      <c r="M126" s="78" t="s">
        <v>83</v>
      </c>
      <c r="N126" s="98" t="s">
        <v>623</v>
      </c>
      <c r="O126" s="98" t="s">
        <v>485</v>
      </c>
      <c r="P126" s="98">
        <v>100</v>
      </c>
      <c r="Q126" s="32" t="s">
        <v>85</v>
      </c>
      <c r="R126" s="98" t="s">
        <v>86</v>
      </c>
      <c r="S126" s="32" t="s">
        <v>87</v>
      </c>
      <c r="T126" s="98" t="s">
        <v>65</v>
      </c>
      <c r="U126" s="98"/>
      <c r="V126" s="98" t="s">
        <v>66</v>
      </c>
      <c r="W126" s="98"/>
      <c r="X126" s="78" t="s">
        <v>67</v>
      </c>
      <c r="Y126" s="98" t="s">
        <v>88</v>
      </c>
      <c r="Z126" s="32" t="s">
        <v>125</v>
      </c>
      <c r="AA126" s="32" t="s">
        <v>90</v>
      </c>
      <c r="AB126" s="78" t="s">
        <v>91</v>
      </c>
      <c r="AC126" s="69" t="s">
        <v>92</v>
      </c>
      <c r="AD126" s="69" t="s">
        <v>506</v>
      </c>
      <c r="AE126" s="65" t="s">
        <v>137</v>
      </c>
      <c r="AF126" s="39" t="s">
        <v>333</v>
      </c>
      <c r="AG126" s="98" t="s">
        <v>75</v>
      </c>
      <c r="AH126" s="115">
        <v>650</v>
      </c>
      <c r="AI126" s="117" t="s">
        <v>76</v>
      </c>
      <c r="AJ126" s="115" t="s">
        <v>241</v>
      </c>
      <c r="AK126" s="73">
        <v>4994</v>
      </c>
      <c r="AL126" s="116">
        <f t="shared" si="15"/>
        <v>993806000</v>
      </c>
      <c r="AM126" s="116">
        <v>170</v>
      </c>
      <c r="AN126" s="116">
        <v>30019858</v>
      </c>
      <c r="AO126" s="116">
        <v>2074</v>
      </c>
      <c r="AP126" s="116">
        <v>375757169</v>
      </c>
      <c r="AQ126" s="116">
        <f t="shared" si="20"/>
        <v>3222.62</v>
      </c>
      <c r="AR126" s="116">
        <f t="shared" si="21"/>
        <v>589997269.60000002</v>
      </c>
      <c r="AS126" s="118">
        <v>0.64529835802963553</v>
      </c>
    </row>
    <row r="127" spans="1:45" x14ac:dyDescent="0.3">
      <c r="A127" s="1" t="str">
        <f t="shared" si="14"/>
        <v>DMDJ73056BGS</v>
      </c>
      <c r="B127" s="126" t="s">
        <v>621</v>
      </c>
      <c r="C127" s="98" t="str">
        <f t="shared" si="17"/>
        <v>DJ730</v>
      </c>
      <c r="D127" s="98" t="s">
        <v>55</v>
      </c>
      <c r="E127" s="98" t="str">
        <f t="shared" si="18"/>
        <v>M</v>
      </c>
      <c r="F127" s="98" t="str">
        <f t="shared" si="19"/>
        <v>DJ</v>
      </c>
      <c r="G127" s="98" t="s">
        <v>56</v>
      </c>
      <c r="H127" s="115" t="s">
        <v>622</v>
      </c>
      <c r="I127" s="98" t="s">
        <v>82</v>
      </c>
      <c r="J127" s="115" t="str">
        <f t="shared" si="16"/>
        <v/>
      </c>
      <c r="K127" s="115">
        <v>1</v>
      </c>
      <c r="L127" s="116">
        <v>199000</v>
      </c>
      <c r="M127" s="78" t="s">
        <v>83</v>
      </c>
      <c r="N127" s="98" t="s">
        <v>623</v>
      </c>
      <c r="O127" s="98" t="s">
        <v>485</v>
      </c>
      <c r="P127" s="98">
        <v>100</v>
      </c>
      <c r="Q127" s="32" t="s">
        <v>85</v>
      </c>
      <c r="R127" s="98" t="s">
        <v>86</v>
      </c>
      <c r="S127" s="32" t="s">
        <v>87</v>
      </c>
      <c r="T127" s="98" t="s">
        <v>65</v>
      </c>
      <c r="U127" s="98"/>
      <c r="V127" s="98" t="s">
        <v>66</v>
      </c>
      <c r="W127" s="98"/>
      <c r="X127" s="78" t="s">
        <v>67</v>
      </c>
      <c r="Y127" s="98" t="s">
        <v>88</v>
      </c>
      <c r="Z127" s="32" t="s">
        <v>125</v>
      </c>
      <c r="AA127" s="32" t="s">
        <v>90</v>
      </c>
      <c r="AB127" s="78" t="s">
        <v>91</v>
      </c>
      <c r="AC127" s="69" t="s">
        <v>92</v>
      </c>
      <c r="AD127" s="69" t="s">
        <v>506</v>
      </c>
      <c r="AE127" s="65" t="s">
        <v>137</v>
      </c>
      <c r="AF127" s="39" t="s">
        <v>333</v>
      </c>
      <c r="AG127" s="98" t="s">
        <v>75</v>
      </c>
      <c r="AH127" s="115">
        <v>650</v>
      </c>
      <c r="AI127" s="117" t="s">
        <v>76</v>
      </c>
      <c r="AJ127" s="115" t="s">
        <v>241</v>
      </c>
      <c r="AK127" s="73">
        <v>1285</v>
      </c>
      <c r="AL127" s="116">
        <f t="shared" si="15"/>
        <v>255715000</v>
      </c>
      <c r="AM127" s="116">
        <v>11</v>
      </c>
      <c r="AN127" s="116">
        <v>2074962</v>
      </c>
      <c r="AO127" s="116">
        <v>205</v>
      </c>
      <c r="AP127" s="116">
        <v>37339509</v>
      </c>
      <c r="AQ127" s="116">
        <f t="shared" si="20"/>
        <v>500.54999999999995</v>
      </c>
      <c r="AR127" s="116">
        <f t="shared" si="21"/>
        <v>91640693.999999985</v>
      </c>
      <c r="AS127" s="118">
        <v>0.38953307392996106</v>
      </c>
    </row>
    <row r="128" spans="1:45" x14ac:dyDescent="0.3">
      <c r="A128" s="1" t="str">
        <f t="shared" si="14"/>
        <v>DWDJ74056BKS</v>
      </c>
      <c r="B128" s="126" t="s">
        <v>624</v>
      </c>
      <c r="C128" s="98" t="str">
        <f t="shared" si="17"/>
        <v>DJ740</v>
      </c>
      <c r="D128" s="98" t="s">
        <v>55</v>
      </c>
      <c r="E128" s="98" t="str">
        <f t="shared" si="18"/>
        <v>W</v>
      </c>
      <c r="F128" s="98" t="str">
        <f t="shared" si="19"/>
        <v>DJ</v>
      </c>
      <c r="G128" s="98" t="s">
        <v>56</v>
      </c>
      <c r="H128" s="115" t="s">
        <v>625</v>
      </c>
      <c r="I128" s="98" t="s">
        <v>78</v>
      </c>
      <c r="J128" s="115">
        <f t="shared" si="16"/>
        <v>1</v>
      </c>
      <c r="K128" s="115">
        <v>1</v>
      </c>
      <c r="L128" s="116">
        <v>199000</v>
      </c>
      <c r="M128" s="78" t="s">
        <v>83</v>
      </c>
      <c r="N128" s="98" t="s">
        <v>626</v>
      </c>
      <c r="O128" s="98" t="s">
        <v>485</v>
      </c>
      <c r="P128" s="98">
        <v>100</v>
      </c>
      <c r="Q128" s="32" t="s">
        <v>85</v>
      </c>
      <c r="R128" s="98" t="s">
        <v>86</v>
      </c>
      <c r="S128" s="32" t="s">
        <v>87</v>
      </c>
      <c r="T128" s="98" t="s">
        <v>65</v>
      </c>
      <c r="U128" s="98"/>
      <c r="V128" s="98" t="s">
        <v>66</v>
      </c>
      <c r="W128" s="98"/>
      <c r="X128" s="78" t="s">
        <v>67</v>
      </c>
      <c r="Y128" s="98" t="s">
        <v>88</v>
      </c>
      <c r="Z128" s="32" t="s">
        <v>125</v>
      </c>
      <c r="AA128" s="32" t="s">
        <v>90</v>
      </c>
      <c r="AB128" s="78" t="s">
        <v>91</v>
      </c>
      <c r="AC128" s="69" t="s">
        <v>92</v>
      </c>
      <c r="AD128" s="69" t="s">
        <v>506</v>
      </c>
      <c r="AE128" s="65" t="s">
        <v>137</v>
      </c>
      <c r="AF128" s="39" t="s">
        <v>314</v>
      </c>
      <c r="AG128" s="98" t="s">
        <v>75</v>
      </c>
      <c r="AH128" s="115">
        <v>650</v>
      </c>
      <c r="AI128" s="117" t="s">
        <v>76</v>
      </c>
      <c r="AJ128" s="115" t="s">
        <v>241</v>
      </c>
      <c r="AK128" s="73">
        <v>2983</v>
      </c>
      <c r="AL128" s="116">
        <f t="shared" si="15"/>
        <v>593617000</v>
      </c>
      <c r="AM128" s="116">
        <v>136</v>
      </c>
      <c r="AN128" s="116">
        <v>22741891</v>
      </c>
      <c r="AO128" s="116">
        <v>2285</v>
      </c>
      <c r="AP128" s="116">
        <v>414925121</v>
      </c>
      <c r="AQ128" s="116">
        <f t="shared" si="20"/>
        <v>2971.09</v>
      </c>
      <c r="AR128" s="116">
        <f t="shared" si="21"/>
        <v>543947157.20000005</v>
      </c>
      <c r="AS128" s="118">
        <v>0.99600737512571236</v>
      </c>
    </row>
    <row r="129" spans="1:45" x14ac:dyDescent="0.3">
      <c r="A129" s="1" t="str">
        <f t="shared" si="14"/>
        <v>DWDJ74056BGS</v>
      </c>
      <c r="B129" s="126" t="s">
        <v>624</v>
      </c>
      <c r="C129" s="98" t="str">
        <f t="shared" si="17"/>
        <v>DJ740</v>
      </c>
      <c r="D129" s="98" t="s">
        <v>55</v>
      </c>
      <c r="E129" s="98" t="str">
        <f t="shared" si="18"/>
        <v>W</v>
      </c>
      <c r="F129" s="98" t="str">
        <f t="shared" si="19"/>
        <v>DJ</v>
      </c>
      <c r="G129" s="98" t="s">
        <v>56</v>
      </c>
      <c r="H129" s="115" t="s">
        <v>625</v>
      </c>
      <c r="I129" s="98" t="s">
        <v>82</v>
      </c>
      <c r="J129" s="115" t="str">
        <f t="shared" si="16"/>
        <v/>
      </c>
      <c r="K129" s="115">
        <v>1</v>
      </c>
      <c r="L129" s="116">
        <v>199000</v>
      </c>
      <c r="M129" s="78" t="s">
        <v>83</v>
      </c>
      <c r="N129" s="98" t="s">
        <v>626</v>
      </c>
      <c r="O129" s="98" t="s">
        <v>485</v>
      </c>
      <c r="P129" s="98">
        <v>100</v>
      </c>
      <c r="Q129" s="32" t="s">
        <v>85</v>
      </c>
      <c r="R129" s="98" t="s">
        <v>86</v>
      </c>
      <c r="S129" s="32" t="s">
        <v>87</v>
      </c>
      <c r="T129" s="98" t="s">
        <v>65</v>
      </c>
      <c r="U129" s="98"/>
      <c r="V129" s="98" t="s">
        <v>66</v>
      </c>
      <c r="W129" s="98"/>
      <c r="X129" s="78" t="s">
        <v>67</v>
      </c>
      <c r="Y129" s="98" t="s">
        <v>88</v>
      </c>
      <c r="Z129" s="32" t="s">
        <v>125</v>
      </c>
      <c r="AA129" s="32" t="s">
        <v>90</v>
      </c>
      <c r="AB129" s="78" t="s">
        <v>91</v>
      </c>
      <c r="AC129" s="69" t="s">
        <v>92</v>
      </c>
      <c r="AD129" s="69" t="s">
        <v>506</v>
      </c>
      <c r="AE129" s="65" t="s">
        <v>137</v>
      </c>
      <c r="AF129" s="39" t="s">
        <v>314</v>
      </c>
      <c r="AG129" s="98" t="s">
        <v>75</v>
      </c>
      <c r="AH129" s="115">
        <v>650</v>
      </c>
      <c r="AI129" s="117" t="s">
        <v>76</v>
      </c>
      <c r="AJ129" s="115" t="s">
        <v>241</v>
      </c>
      <c r="AK129" s="73">
        <v>1982</v>
      </c>
      <c r="AL129" s="116">
        <f t="shared" si="15"/>
        <v>394418000</v>
      </c>
      <c r="AM129" s="116">
        <v>44</v>
      </c>
      <c r="AN129" s="116">
        <v>8120204</v>
      </c>
      <c r="AO129" s="116">
        <v>371</v>
      </c>
      <c r="AP129" s="116">
        <v>67938716</v>
      </c>
      <c r="AQ129" s="116">
        <f t="shared" si="20"/>
        <v>826.86000000000013</v>
      </c>
      <c r="AR129" s="116">
        <f t="shared" si="21"/>
        <v>151381528.80000004</v>
      </c>
      <c r="AS129" s="118">
        <v>0.41718466195761861</v>
      </c>
    </row>
    <row r="130" spans="1:45" x14ac:dyDescent="0.3">
      <c r="A130" s="1" t="str">
        <f t="shared" si="14"/>
        <v>DWDJ74056CRS</v>
      </c>
      <c r="B130" s="126" t="s">
        <v>624</v>
      </c>
      <c r="C130" s="98" t="str">
        <f t="shared" si="17"/>
        <v>DJ740</v>
      </c>
      <c r="D130" s="98" t="s">
        <v>55</v>
      </c>
      <c r="E130" s="98" t="str">
        <f t="shared" si="18"/>
        <v>W</v>
      </c>
      <c r="F130" s="98" t="str">
        <f t="shared" si="19"/>
        <v>DJ</v>
      </c>
      <c r="G130" s="98" t="s">
        <v>56</v>
      </c>
      <c r="H130" s="115" t="s">
        <v>625</v>
      </c>
      <c r="I130" s="98" t="s">
        <v>79</v>
      </c>
      <c r="J130" s="115" t="str">
        <f t="shared" si="16"/>
        <v/>
      </c>
      <c r="K130" s="115">
        <v>1</v>
      </c>
      <c r="L130" s="116">
        <v>199000</v>
      </c>
      <c r="M130" s="78" t="s">
        <v>83</v>
      </c>
      <c r="N130" s="98" t="s">
        <v>626</v>
      </c>
      <c r="O130" s="98" t="s">
        <v>485</v>
      </c>
      <c r="P130" s="98">
        <v>100</v>
      </c>
      <c r="Q130" s="32" t="s">
        <v>85</v>
      </c>
      <c r="R130" s="98" t="s">
        <v>86</v>
      </c>
      <c r="S130" s="32" t="s">
        <v>87</v>
      </c>
      <c r="T130" s="98" t="s">
        <v>65</v>
      </c>
      <c r="U130" s="98"/>
      <c r="V130" s="98" t="s">
        <v>66</v>
      </c>
      <c r="W130" s="98"/>
      <c r="X130" s="78" t="s">
        <v>67</v>
      </c>
      <c r="Y130" s="98" t="s">
        <v>88</v>
      </c>
      <c r="Z130" s="32" t="s">
        <v>125</v>
      </c>
      <c r="AA130" s="32" t="s">
        <v>90</v>
      </c>
      <c r="AB130" s="78" t="s">
        <v>91</v>
      </c>
      <c r="AC130" s="69" t="s">
        <v>92</v>
      </c>
      <c r="AD130" s="69" t="s">
        <v>506</v>
      </c>
      <c r="AE130" s="65" t="s">
        <v>137</v>
      </c>
      <c r="AF130" s="39" t="s">
        <v>314</v>
      </c>
      <c r="AG130" s="98" t="s">
        <v>75</v>
      </c>
      <c r="AH130" s="115">
        <v>650</v>
      </c>
      <c r="AI130" s="117" t="s">
        <v>76</v>
      </c>
      <c r="AJ130" s="115" t="s">
        <v>241</v>
      </c>
      <c r="AK130" s="73">
        <v>1779</v>
      </c>
      <c r="AL130" s="116">
        <f t="shared" si="15"/>
        <v>354021000</v>
      </c>
      <c r="AM130" s="116">
        <v>74</v>
      </c>
      <c r="AN130" s="116">
        <v>12237391</v>
      </c>
      <c r="AO130" s="116">
        <v>1177</v>
      </c>
      <c r="AP130" s="116">
        <v>216951839</v>
      </c>
      <c r="AQ130" s="116">
        <f t="shared" si="20"/>
        <v>1586.17</v>
      </c>
      <c r="AR130" s="116">
        <f t="shared" si="21"/>
        <v>290396003.60000002</v>
      </c>
      <c r="AS130" s="118">
        <v>0.89160764474423837</v>
      </c>
    </row>
    <row r="131" spans="1:45" x14ac:dyDescent="0.3">
      <c r="A131" s="1" t="str">
        <f t="shared" si="14"/>
        <v>DMDJ79056BKS</v>
      </c>
      <c r="B131" s="126" t="s">
        <v>627</v>
      </c>
      <c r="C131" s="98" t="str">
        <f t="shared" si="17"/>
        <v>DJ790</v>
      </c>
      <c r="D131" s="98" t="s">
        <v>55</v>
      </c>
      <c r="E131" s="98" t="str">
        <f t="shared" si="18"/>
        <v>M</v>
      </c>
      <c r="F131" s="98" t="str">
        <f t="shared" si="19"/>
        <v>DJ</v>
      </c>
      <c r="G131" s="98" t="s">
        <v>56</v>
      </c>
      <c r="H131" s="115" t="s">
        <v>628</v>
      </c>
      <c r="I131" s="98" t="s">
        <v>78</v>
      </c>
      <c r="J131" s="115">
        <f t="shared" si="16"/>
        <v>1</v>
      </c>
      <c r="K131" s="115">
        <v>1</v>
      </c>
      <c r="L131" s="116">
        <v>279000</v>
      </c>
      <c r="M131" s="78" t="s">
        <v>83</v>
      </c>
      <c r="N131" s="98" t="s">
        <v>623</v>
      </c>
      <c r="O131" s="98" t="s">
        <v>485</v>
      </c>
      <c r="P131" s="98">
        <v>100</v>
      </c>
      <c r="Q131" s="32" t="s">
        <v>85</v>
      </c>
      <c r="R131" s="98" t="s">
        <v>86</v>
      </c>
      <c r="S131" s="32" t="s">
        <v>87</v>
      </c>
      <c r="T131" s="98" t="s">
        <v>65</v>
      </c>
      <c r="U131" s="98"/>
      <c r="V131" s="98" t="s">
        <v>66</v>
      </c>
      <c r="W131" s="98"/>
      <c r="X131" s="78" t="s">
        <v>67</v>
      </c>
      <c r="Y131" s="98" t="s">
        <v>88</v>
      </c>
      <c r="Z131" s="32" t="s">
        <v>125</v>
      </c>
      <c r="AA131" s="32" t="s">
        <v>90</v>
      </c>
      <c r="AB131" s="78" t="s">
        <v>91</v>
      </c>
      <c r="AC131" s="69" t="s">
        <v>92</v>
      </c>
      <c r="AD131" s="69" t="s">
        <v>506</v>
      </c>
      <c r="AE131" s="65" t="s">
        <v>137</v>
      </c>
      <c r="AF131" s="39" t="s">
        <v>333</v>
      </c>
      <c r="AG131" s="98" t="s">
        <v>75</v>
      </c>
      <c r="AH131" s="115">
        <v>650</v>
      </c>
      <c r="AI131" s="117" t="s">
        <v>76</v>
      </c>
      <c r="AJ131" s="115" t="s">
        <v>241</v>
      </c>
      <c r="AK131" s="73">
        <v>6992</v>
      </c>
      <c r="AL131" s="116">
        <f t="shared" si="15"/>
        <v>1950768000</v>
      </c>
      <c r="AM131" s="116">
        <v>458</v>
      </c>
      <c r="AN131" s="116">
        <v>96953358</v>
      </c>
      <c r="AO131" s="116">
        <v>3479</v>
      </c>
      <c r="AP131" s="116">
        <v>849951458</v>
      </c>
      <c r="AQ131" s="116">
        <f t="shared" si="20"/>
        <v>5087.16</v>
      </c>
      <c r="AR131" s="116">
        <f t="shared" si="21"/>
        <v>1305772228.8</v>
      </c>
      <c r="AS131" s="118">
        <v>0.72756864988558356</v>
      </c>
    </row>
    <row r="132" spans="1:45" x14ac:dyDescent="0.3">
      <c r="A132" s="1" t="str">
        <f t="shared" si="14"/>
        <v>DMDJ79056TQD</v>
      </c>
      <c r="B132" s="126" t="s">
        <v>627</v>
      </c>
      <c r="C132" s="98" t="str">
        <f t="shared" si="17"/>
        <v>DJ790</v>
      </c>
      <c r="D132" s="98" t="s">
        <v>55</v>
      </c>
      <c r="E132" s="98" t="str">
        <f t="shared" si="18"/>
        <v>M</v>
      </c>
      <c r="F132" s="98" t="str">
        <f t="shared" si="19"/>
        <v>DJ</v>
      </c>
      <c r="G132" s="98" t="s">
        <v>56</v>
      </c>
      <c r="H132" s="115" t="s">
        <v>628</v>
      </c>
      <c r="I132" s="98" t="s">
        <v>242</v>
      </c>
      <c r="J132" s="115" t="str">
        <f t="shared" si="16"/>
        <v/>
      </c>
      <c r="K132" s="115">
        <v>1</v>
      </c>
      <c r="L132" s="116">
        <v>279000</v>
      </c>
      <c r="M132" s="78" t="s">
        <v>83</v>
      </c>
      <c r="N132" s="98" t="s">
        <v>623</v>
      </c>
      <c r="O132" s="98" t="s">
        <v>485</v>
      </c>
      <c r="P132" s="98">
        <v>100</v>
      </c>
      <c r="Q132" s="32" t="s">
        <v>85</v>
      </c>
      <c r="R132" s="98" t="s">
        <v>86</v>
      </c>
      <c r="S132" s="32" t="s">
        <v>87</v>
      </c>
      <c r="T132" s="98" t="s">
        <v>65</v>
      </c>
      <c r="U132" s="98"/>
      <c r="V132" s="98" t="s">
        <v>66</v>
      </c>
      <c r="W132" s="98"/>
      <c r="X132" s="78" t="s">
        <v>67</v>
      </c>
      <c r="Y132" s="98" t="s">
        <v>88</v>
      </c>
      <c r="Z132" s="32" t="s">
        <v>125</v>
      </c>
      <c r="AA132" s="32" t="s">
        <v>90</v>
      </c>
      <c r="AB132" s="78" t="s">
        <v>91</v>
      </c>
      <c r="AC132" s="69" t="s">
        <v>92</v>
      </c>
      <c r="AD132" s="69" t="s">
        <v>506</v>
      </c>
      <c r="AE132" s="65" t="s">
        <v>137</v>
      </c>
      <c r="AF132" s="39" t="s">
        <v>333</v>
      </c>
      <c r="AG132" s="98" t="s">
        <v>75</v>
      </c>
      <c r="AH132" s="115">
        <v>650</v>
      </c>
      <c r="AI132" s="117" t="s">
        <v>76</v>
      </c>
      <c r="AJ132" s="115" t="s">
        <v>241</v>
      </c>
      <c r="AK132" s="73">
        <v>1998</v>
      </c>
      <c r="AL132" s="116">
        <f t="shared" si="15"/>
        <v>557442000</v>
      </c>
      <c r="AM132" s="116">
        <v>9</v>
      </c>
      <c r="AN132" s="116">
        <v>2267204</v>
      </c>
      <c r="AO132" s="116">
        <v>270</v>
      </c>
      <c r="AP132" s="116">
        <v>70183218</v>
      </c>
      <c r="AQ132" s="116">
        <f t="shared" si="20"/>
        <v>729.54000000000008</v>
      </c>
      <c r="AR132" s="116">
        <f t="shared" si="21"/>
        <v>187258327.20000005</v>
      </c>
      <c r="AS132" s="118">
        <v>0.36513513513513518</v>
      </c>
    </row>
    <row r="133" spans="1:45" x14ac:dyDescent="0.3">
      <c r="A133" s="1" t="str">
        <f t="shared" ref="A133:A196" si="22">B133&amp;I133</f>
        <v>DMDJ79056KAL</v>
      </c>
      <c r="B133" s="126" t="s">
        <v>629</v>
      </c>
      <c r="C133" s="98" t="str">
        <f t="shared" si="17"/>
        <v>DJ790</v>
      </c>
      <c r="D133" s="98" t="s">
        <v>55</v>
      </c>
      <c r="E133" s="98" t="str">
        <f t="shared" si="18"/>
        <v>M</v>
      </c>
      <c r="F133" s="98" t="str">
        <f t="shared" si="19"/>
        <v>DJ</v>
      </c>
      <c r="G133" s="98" t="s">
        <v>56</v>
      </c>
      <c r="H133" s="115" t="s">
        <v>628</v>
      </c>
      <c r="I133" s="98" t="s">
        <v>547</v>
      </c>
      <c r="J133" s="115" t="str">
        <f t="shared" si="16"/>
        <v/>
      </c>
      <c r="K133" s="115">
        <v>1</v>
      </c>
      <c r="L133" s="116">
        <v>279000</v>
      </c>
      <c r="M133" s="124" t="s">
        <v>509</v>
      </c>
      <c r="N133" s="125" t="s">
        <v>630</v>
      </c>
      <c r="O133" s="98" t="s">
        <v>143</v>
      </c>
      <c r="P133" s="98">
        <v>100</v>
      </c>
      <c r="Q133" s="32" t="s">
        <v>62</v>
      </c>
      <c r="R133" s="98" t="s">
        <v>239</v>
      </c>
      <c r="S133" s="32" t="s">
        <v>631</v>
      </c>
      <c r="T133" s="98" t="s">
        <v>65</v>
      </c>
      <c r="U133" s="98"/>
      <c r="V133" s="98" t="s">
        <v>66</v>
      </c>
      <c r="W133" s="98"/>
      <c r="X133" s="78" t="s">
        <v>67</v>
      </c>
      <c r="Y133" s="98" t="s">
        <v>88</v>
      </c>
      <c r="Z133" s="32" t="s">
        <v>632</v>
      </c>
      <c r="AA133" s="32" t="s">
        <v>426</v>
      </c>
      <c r="AB133" s="78" t="s">
        <v>91</v>
      </c>
      <c r="AC133" s="69" t="s">
        <v>92</v>
      </c>
      <c r="AD133" s="69" t="s">
        <v>506</v>
      </c>
      <c r="AE133" s="65" t="s">
        <v>137</v>
      </c>
      <c r="AF133" s="39" t="s">
        <v>333</v>
      </c>
      <c r="AG133" s="98" t="s">
        <v>75</v>
      </c>
      <c r="AH133" s="115">
        <v>650</v>
      </c>
      <c r="AI133" s="117" t="s">
        <v>76</v>
      </c>
      <c r="AJ133" s="115" t="s">
        <v>241</v>
      </c>
      <c r="AK133" s="73">
        <v>2000</v>
      </c>
      <c r="AL133" s="116">
        <f t="shared" ref="AL133:AL196" si="23">AK133*L133</f>
        <v>558000000</v>
      </c>
      <c r="AM133" s="116">
        <v>26</v>
      </c>
      <c r="AN133" s="116">
        <v>6902553</v>
      </c>
      <c r="AO133" s="116">
        <v>246</v>
      </c>
      <c r="AP133" s="116">
        <v>63288462</v>
      </c>
      <c r="AQ133" s="116">
        <f t="shared" si="20"/>
        <v>706</v>
      </c>
      <c r="AR133" s="116">
        <f t="shared" si="21"/>
        <v>181216080</v>
      </c>
      <c r="AS133" s="118">
        <v>0.35299999999999998</v>
      </c>
    </row>
    <row r="134" spans="1:45" x14ac:dyDescent="0.3">
      <c r="A134" s="1" t="str">
        <f t="shared" si="22"/>
        <v>DMDJ79056GRD</v>
      </c>
      <c r="B134" s="126" t="s">
        <v>627</v>
      </c>
      <c r="C134" s="98" t="str">
        <f t="shared" si="17"/>
        <v>DJ790</v>
      </c>
      <c r="D134" s="98" t="s">
        <v>55</v>
      </c>
      <c r="E134" s="98" t="str">
        <f t="shared" si="18"/>
        <v>M</v>
      </c>
      <c r="F134" s="98" t="str">
        <f t="shared" si="19"/>
        <v>DJ</v>
      </c>
      <c r="G134" s="98" t="s">
        <v>56</v>
      </c>
      <c r="H134" s="115" t="s">
        <v>628</v>
      </c>
      <c r="I134" s="98" t="s">
        <v>215</v>
      </c>
      <c r="J134" s="115" t="str">
        <f t="shared" ref="J134:J197" si="24">IF(B134=B133,"",1)</f>
        <v/>
      </c>
      <c r="K134" s="115">
        <v>1</v>
      </c>
      <c r="L134" s="116">
        <v>279000</v>
      </c>
      <c r="M134" s="78" t="s">
        <v>83</v>
      </c>
      <c r="N134" s="98" t="s">
        <v>623</v>
      </c>
      <c r="O134" s="98" t="s">
        <v>485</v>
      </c>
      <c r="P134" s="98">
        <v>100</v>
      </c>
      <c r="Q134" s="32" t="s">
        <v>85</v>
      </c>
      <c r="R134" s="98" t="s">
        <v>86</v>
      </c>
      <c r="S134" s="32" t="s">
        <v>87</v>
      </c>
      <c r="T134" s="98" t="s">
        <v>65</v>
      </c>
      <c r="U134" s="98"/>
      <c r="V134" s="98" t="s">
        <v>66</v>
      </c>
      <c r="W134" s="98"/>
      <c r="X134" s="78" t="s">
        <v>67</v>
      </c>
      <c r="Y134" s="98" t="s">
        <v>88</v>
      </c>
      <c r="Z134" s="32" t="s">
        <v>125</v>
      </c>
      <c r="AA134" s="32" t="s">
        <v>90</v>
      </c>
      <c r="AB134" s="78" t="s">
        <v>91</v>
      </c>
      <c r="AC134" s="69" t="s">
        <v>92</v>
      </c>
      <c r="AD134" s="69" t="s">
        <v>506</v>
      </c>
      <c r="AE134" s="65" t="s">
        <v>137</v>
      </c>
      <c r="AF134" s="39" t="s">
        <v>333</v>
      </c>
      <c r="AG134" s="98" t="s">
        <v>75</v>
      </c>
      <c r="AH134" s="115">
        <v>650</v>
      </c>
      <c r="AI134" s="117" t="s">
        <v>76</v>
      </c>
      <c r="AJ134" s="115" t="s">
        <v>241</v>
      </c>
      <c r="AK134" s="73">
        <v>3405</v>
      </c>
      <c r="AL134" s="116">
        <f t="shared" si="23"/>
        <v>949995000</v>
      </c>
      <c r="AM134" s="116">
        <v>60</v>
      </c>
      <c r="AN134" s="116">
        <v>15698686</v>
      </c>
      <c r="AO134" s="116">
        <v>697</v>
      </c>
      <c r="AP134" s="116">
        <v>179271823</v>
      </c>
      <c r="AQ134" s="116">
        <f t="shared" si="20"/>
        <v>1480.15</v>
      </c>
      <c r="AR134" s="116">
        <f t="shared" si="21"/>
        <v>379924902.00000006</v>
      </c>
      <c r="AS134" s="118">
        <v>0.4346989720998532</v>
      </c>
    </row>
    <row r="135" spans="1:45" x14ac:dyDescent="0.3">
      <c r="A135" s="1" t="str">
        <f t="shared" si="22"/>
        <v>DMDJ79056BKL</v>
      </c>
      <c r="B135" s="126" t="s">
        <v>627</v>
      </c>
      <c r="C135" s="98" t="str">
        <f t="shared" si="17"/>
        <v>DJ790</v>
      </c>
      <c r="D135" s="98" t="s">
        <v>55</v>
      </c>
      <c r="E135" s="98" t="str">
        <f t="shared" si="18"/>
        <v>M</v>
      </c>
      <c r="F135" s="98" t="str">
        <f t="shared" si="19"/>
        <v>DJ</v>
      </c>
      <c r="G135" s="98" t="s">
        <v>56</v>
      </c>
      <c r="H135" s="115" t="s">
        <v>628</v>
      </c>
      <c r="I135" s="98" t="s">
        <v>633</v>
      </c>
      <c r="J135" s="115" t="str">
        <f t="shared" si="24"/>
        <v/>
      </c>
      <c r="K135" s="115">
        <v>1</v>
      </c>
      <c r="L135" s="116">
        <v>279000</v>
      </c>
      <c r="M135" s="124" t="s">
        <v>509</v>
      </c>
      <c r="N135" s="125" t="s">
        <v>630</v>
      </c>
      <c r="O135" s="98" t="s">
        <v>143</v>
      </c>
      <c r="P135" s="98">
        <v>100</v>
      </c>
      <c r="Q135" s="32" t="s">
        <v>62</v>
      </c>
      <c r="R135" s="98" t="s">
        <v>239</v>
      </c>
      <c r="S135" s="32" t="s">
        <v>631</v>
      </c>
      <c r="T135" s="98" t="s">
        <v>65</v>
      </c>
      <c r="U135" s="98"/>
      <c r="V135" s="98" t="s">
        <v>66</v>
      </c>
      <c r="W135" s="98"/>
      <c r="X135" s="78" t="s">
        <v>67</v>
      </c>
      <c r="Y135" s="98" t="s">
        <v>88</v>
      </c>
      <c r="Z135" s="32" t="s">
        <v>632</v>
      </c>
      <c r="AA135" s="32" t="s">
        <v>426</v>
      </c>
      <c r="AB135" s="78" t="s">
        <v>91</v>
      </c>
      <c r="AC135" s="69" t="s">
        <v>92</v>
      </c>
      <c r="AD135" s="69" t="s">
        <v>506</v>
      </c>
      <c r="AE135" s="65" t="s">
        <v>137</v>
      </c>
      <c r="AF135" s="39" t="s">
        <v>333</v>
      </c>
      <c r="AG135" s="98" t="s">
        <v>75</v>
      </c>
      <c r="AH135" s="115">
        <v>650</v>
      </c>
      <c r="AI135" s="117" t="s">
        <v>76</v>
      </c>
      <c r="AJ135" s="115" t="s">
        <v>241</v>
      </c>
      <c r="AK135" s="73">
        <v>2999</v>
      </c>
      <c r="AL135" s="116">
        <f t="shared" si="23"/>
        <v>836721000</v>
      </c>
      <c r="AM135" s="116">
        <v>112</v>
      </c>
      <c r="AN135" s="116">
        <v>28270332</v>
      </c>
      <c r="AO135" s="116">
        <v>1079</v>
      </c>
      <c r="AP135" s="116">
        <v>282861343</v>
      </c>
      <c r="AQ135" s="116">
        <f t="shared" si="20"/>
        <v>1768.7700000000002</v>
      </c>
      <c r="AR135" s="116">
        <f t="shared" si="21"/>
        <v>454007883.60000002</v>
      </c>
      <c r="AS135" s="118">
        <v>0.58978659553184398</v>
      </c>
    </row>
    <row r="136" spans="1:45" x14ac:dyDescent="0.3">
      <c r="A136" s="1" t="str">
        <f t="shared" si="22"/>
        <v>DWDJ80056GRD</v>
      </c>
      <c r="B136" s="126" t="s">
        <v>634</v>
      </c>
      <c r="C136" s="98" t="str">
        <f t="shared" si="17"/>
        <v>DJ800</v>
      </c>
      <c r="D136" s="98" t="s">
        <v>55</v>
      </c>
      <c r="E136" s="98" t="str">
        <f t="shared" si="18"/>
        <v>W</v>
      </c>
      <c r="F136" s="98" t="str">
        <f t="shared" si="19"/>
        <v>DJ</v>
      </c>
      <c r="G136" s="98" t="s">
        <v>56</v>
      </c>
      <c r="H136" s="115" t="s">
        <v>635</v>
      </c>
      <c r="I136" s="98" t="s">
        <v>215</v>
      </c>
      <c r="J136" s="115">
        <f t="shared" si="24"/>
        <v>1</v>
      </c>
      <c r="K136" s="115">
        <v>1</v>
      </c>
      <c r="L136" s="116">
        <v>279000</v>
      </c>
      <c r="M136" s="78" t="s">
        <v>83</v>
      </c>
      <c r="N136" s="98" t="s">
        <v>626</v>
      </c>
      <c r="O136" s="98" t="s">
        <v>485</v>
      </c>
      <c r="P136" s="98">
        <v>100</v>
      </c>
      <c r="Q136" s="32" t="s">
        <v>85</v>
      </c>
      <c r="R136" s="98" t="s">
        <v>86</v>
      </c>
      <c r="S136" s="32" t="s">
        <v>87</v>
      </c>
      <c r="T136" s="98" t="s">
        <v>65</v>
      </c>
      <c r="U136" s="98"/>
      <c r="V136" s="98" t="s">
        <v>66</v>
      </c>
      <c r="W136" s="98"/>
      <c r="X136" s="78" t="s">
        <v>67</v>
      </c>
      <c r="Y136" s="98" t="s">
        <v>88</v>
      </c>
      <c r="Z136" s="32" t="s">
        <v>125</v>
      </c>
      <c r="AA136" s="32" t="s">
        <v>90</v>
      </c>
      <c r="AB136" s="78" t="s">
        <v>91</v>
      </c>
      <c r="AC136" s="69" t="s">
        <v>92</v>
      </c>
      <c r="AD136" s="69" t="s">
        <v>506</v>
      </c>
      <c r="AE136" s="65" t="s">
        <v>137</v>
      </c>
      <c r="AF136" s="39" t="s">
        <v>321</v>
      </c>
      <c r="AG136" s="98" t="s">
        <v>75</v>
      </c>
      <c r="AH136" s="115">
        <v>650</v>
      </c>
      <c r="AI136" s="117" t="s">
        <v>76</v>
      </c>
      <c r="AJ136" s="115" t="s">
        <v>241</v>
      </c>
      <c r="AK136" s="73">
        <v>1495</v>
      </c>
      <c r="AL136" s="116">
        <f t="shared" si="23"/>
        <v>417105000</v>
      </c>
      <c r="AM136" s="116">
        <v>10</v>
      </c>
      <c r="AN136" s="116">
        <v>2588371</v>
      </c>
      <c r="AO136" s="116">
        <v>130</v>
      </c>
      <c r="AP136" s="116">
        <v>33964671</v>
      </c>
      <c r="AQ136" s="116">
        <f t="shared" si="20"/>
        <v>473.85000000000008</v>
      </c>
      <c r="AR136" s="116">
        <f t="shared" si="21"/>
        <v>121627818.00000001</v>
      </c>
      <c r="AS136" s="118">
        <v>0.31695652173913047</v>
      </c>
    </row>
    <row r="137" spans="1:45" x14ac:dyDescent="0.3">
      <c r="A137" s="1" t="str">
        <f t="shared" si="22"/>
        <v>DWDJ80056BKS</v>
      </c>
      <c r="B137" s="126" t="s">
        <v>634</v>
      </c>
      <c r="C137" s="98" t="str">
        <f t="shared" si="17"/>
        <v>DJ800</v>
      </c>
      <c r="D137" s="98" t="s">
        <v>55</v>
      </c>
      <c r="E137" s="98" t="str">
        <f t="shared" si="18"/>
        <v>W</v>
      </c>
      <c r="F137" s="98" t="str">
        <f t="shared" si="19"/>
        <v>DJ</v>
      </c>
      <c r="G137" s="98" t="s">
        <v>56</v>
      </c>
      <c r="H137" s="115" t="s">
        <v>635</v>
      </c>
      <c r="I137" s="98" t="s">
        <v>78</v>
      </c>
      <c r="J137" s="115" t="str">
        <f t="shared" si="24"/>
        <v/>
      </c>
      <c r="K137" s="115">
        <v>1</v>
      </c>
      <c r="L137" s="116">
        <v>279000</v>
      </c>
      <c r="M137" s="78" t="s">
        <v>83</v>
      </c>
      <c r="N137" s="98" t="s">
        <v>626</v>
      </c>
      <c r="O137" s="98" t="s">
        <v>485</v>
      </c>
      <c r="P137" s="98">
        <v>100</v>
      </c>
      <c r="Q137" s="32" t="s">
        <v>85</v>
      </c>
      <c r="R137" s="98" t="s">
        <v>86</v>
      </c>
      <c r="S137" s="32" t="s">
        <v>87</v>
      </c>
      <c r="T137" s="98" t="s">
        <v>65</v>
      </c>
      <c r="U137" s="98"/>
      <c r="V137" s="98" t="s">
        <v>66</v>
      </c>
      <c r="W137" s="98"/>
      <c r="X137" s="78" t="s">
        <v>67</v>
      </c>
      <c r="Y137" s="98" t="s">
        <v>88</v>
      </c>
      <c r="Z137" s="32" t="s">
        <v>125</v>
      </c>
      <c r="AA137" s="32" t="s">
        <v>90</v>
      </c>
      <c r="AB137" s="78" t="s">
        <v>91</v>
      </c>
      <c r="AC137" s="69" t="s">
        <v>92</v>
      </c>
      <c r="AD137" s="69" t="s">
        <v>506</v>
      </c>
      <c r="AE137" s="65" t="s">
        <v>137</v>
      </c>
      <c r="AF137" s="39" t="s">
        <v>321</v>
      </c>
      <c r="AG137" s="98" t="s">
        <v>75</v>
      </c>
      <c r="AH137" s="115">
        <v>650</v>
      </c>
      <c r="AI137" s="117" t="s">
        <v>76</v>
      </c>
      <c r="AJ137" s="115" t="s">
        <v>241</v>
      </c>
      <c r="AK137" s="73">
        <v>2495</v>
      </c>
      <c r="AL137" s="116">
        <f t="shared" si="23"/>
        <v>696105000</v>
      </c>
      <c r="AM137" s="116">
        <v>93</v>
      </c>
      <c r="AN137" s="116">
        <v>21551597</v>
      </c>
      <c r="AO137" s="116">
        <v>949</v>
      </c>
      <c r="AP137" s="116">
        <v>240733866</v>
      </c>
      <c r="AQ137" s="116">
        <f t="shared" si="20"/>
        <v>1522.85</v>
      </c>
      <c r="AR137" s="116">
        <f t="shared" si="21"/>
        <v>390885138</v>
      </c>
      <c r="AS137" s="118">
        <v>0.61036072144288578</v>
      </c>
    </row>
    <row r="138" spans="1:45" x14ac:dyDescent="0.3">
      <c r="A138" s="1" t="str">
        <f t="shared" si="22"/>
        <v>DWDJ80056BGD</v>
      </c>
      <c r="B138" s="126" t="s">
        <v>634</v>
      </c>
      <c r="C138" s="98" t="str">
        <f t="shared" si="17"/>
        <v>DJ800</v>
      </c>
      <c r="D138" s="98" t="s">
        <v>55</v>
      </c>
      <c r="E138" s="98" t="str">
        <f t="shared" si="18"/>
        <v>W</v>
      </c>
      <c r="F138" s="98" t="str">
        <f t="shared" si="19"/>
        <v>DJ</v>
      </c>
      <c r="G138" s="98" t="s">
        <v>56</v>
      </c>
      <c r="H138" s="115" t="s">
        <v>635</v>
      </c>
      <c r="I138" s="98" t="s">
        <v>260</v>
      </c>
      <c r="J138" s="115" t="str">
        <f t="shared" si="24"/>
        <v/>
      </c>
      <c r="K138" s="115">
        <v>1</v>
      </c>
      <c r="L138" s="116">
        <v>279000</v>
      </c>
      <c r="M138" s="78" t="s">
        <v>83</v>
      </c>
      <c r="N138" s="98" t="s">
        <v>626</v>
      </c>
      <c r="O138" s="98" t="s">
        <v>485</v>
      </c>
      <c r="P138" s="98">
        <v>100</v>
      </c>
      <c r="Q138" s="32" t="s">
        <v>85</v>
      </c>
      <c r="R138" s="98" t="s">
        <v>86</v>
      </c>
      <c r="S138" s="32" t="s">
        <v>87</v>
      </c>
      <c r="T138" s="98" t="s">
        <v>65</v>
      </c>
      <c r="U138" s="98"/>
      <c r="V138" s="98" t="s">
        <v>66</v>
      </c>
      <c r="W138" s="98"/>
      <c r="X138" s="78" t="s">
        <v>67</v>
      </c>
      <c r="Y138" s="98" t="s">
        <v>88</v>
      </c>
      <c r="Z138" s="32" t="s">
        <v>125</v>
      </c>
      <c r="AA138" s="32" t="s">
        <v>90</v>
      </c>
      <c r="AB138" s="78" t="s">
        <v>91</v>
      </c>
      <c r="AC138" s="69" t="s">
        <v>92</v>
      </c>
      <c r="AD138" s="69" t="s">
        <v>506</v>
      </c>
      <c r="AE138" s="65" t="s">
        <v>137</v>
      </c>
      <c r="AF138" s="39" t="s">
        <v>321</v>
      </c>
      <c r="AG138" s="98" t="s">
        <v>75</v>
      </c>
      <c r="AH138" s="115">
        <v>650</v>
      </c>
      <c r="AI138" s="117" t="s">
        <v>76</v>
      </c>
      <c r="AJ138" s="115" t="s">
        <v>241</v>
      </c>
      <c r="AK138" s="73">
        <v>1494</v>
      </c>
      <c r="AL138" s="116">
        <f t="shared" si="23"/>
        <v>416826000</v>
      </c>
      <c r="AM138" s="116">
        <v>17</v>
      </c>
      <c r="AN138" s="116">
        <v>4383202</v>
      </c>
      <c r="AO138" s="116">
        <v>291</v>
      </c>
      <c r="AP138" s="116">
        <v>75869745</v>
      </c>
      <c r="AQ138" s="116">
        <f t="shared" si="20"/>
        <v>634.62</v>
      </c>
      <c r="AR138" s="116">
        <f t="shared" si="21"/>
        <v>162894261.59999999</v>
      </c>
      <c r="AS138" s="118">
        <v>0.42477911646586347</v>
      </c>
    </row>
    <row r="139" spans="1:45" x14ac:dyDescent="0.3">
      <c r="A139" s="1" t="str">
        <f t="shared" si="22"/>
        <v>DMDJ81056BKS</v>
      </c>
      <c r="B139" s="126" t="s">
        <v>636</v>
      </c>
      <c r="C139" s="98" t="str">
        <f t="shared" ref="C139:C202" si="25">MID(B139,3,5)</f>
        <v>DJ810</v>
      </c>
      <c r="D139" s="98" t="s">
        <v>55</v>
      </c>
      <c r="E139" s="98" t="str">
        <f t="shared" ref="E139:E202" si="26">MID($B139,2,1)</f>
        <v>M</v>
      </c>
      <c r="F139" s="98" t="str">
        <f t="shared" ref="F139:F202" si="27">MID($B139,3,2)</f>
        <v>DJ</v>
      </c>
      <c r="G139" s="98" t="s">
        <v>56</v>
      </c>
      <c r="H139" s="115" t="s">
        <v>637</v>
      </c>
      <c r="I139" s="98" t="s">
        <v>78</v>
      </c>
      <c r="J139" s="115">
        <f t="shared" si="24"/>
        <v>1</v>
      </c>
      <c r="K139" s="115">
        <v>1</v>
      </c>
      <c r="L139" s="116">
        <v>299000</v>
      </c>
      <c r="M139" s="78" t="s">
        <v>509</v>
      </c>
      <c r="N139" s="98" t="s">
        <v>510</v>
      </c>
      <c r="O139" s="98" t="s">
        <v>143</v>
      </c>
      <c r="P139" s="98">
        <v>100</v>
      </c>
      <c r="Q139" s="32" t="s">
        <v>62</v>
      </c>
      <c r="R139" s="98" t="s">
        <v>63</v>
      </c>
      <c r="S139" s="32" t="s">
        <v>72</v>
      </c>
      <c r="T139" s="98" t="s">
        <v>65</v>
      </c>
      <c r="U139" s="98"/>
      <c r="V139" s="98" t="s">
        <v>66</v>
      </c>
      <c r="W139" s="98"/>
      <c r="X139" s="78" t="s">
        <v>67</v>
      </c>
      <c r="Y139" s="98" t="s">
        <v>68</v>
      </c>
      <c r="Z139" s="32" t="s">
        <v>238</v>
      </c>
      <c r="AA139" s="32" t="s">
        <v>90</v>
      </c>
      <c r="AB139" s="78" t="s">
        <v>91</v>
      </c>
      <c r="AC139" s="69" t="s">
        <v>92</v>
      </c>
      <c r="AD139" s="69" t="s">
        <v>506</v>
      </c>
      <c r="AE139" s="65" t="s">
        <v>137</v>
      </c>
      <c r="AF139" s="39" t="s">
        <v>86</v>
      </c>
      <c r="AG139" s="98" t="s">
        <v>75</v>
      </c>
      <c r="AH139" s="115">
        <v>650</v>
      </c>
      <c r="AI139" s="117" t="s">
        <v>76</v>
      </c>
      <c r="AJ139" s="115" t="s">
        <v>241</v>
      </c>
      <c r="AK139" s="73">
        <v>3499</v>
      </c>
      <c r="AL139" s="116">
        <f t="shared" si="23"/>
        <v>1046201000</v>
      </c>
      <c r="AM139" s="116">
        <v>121</v>
      </c>
      <c r="AN139" s="116">
        <v>27920672</v>
      </c>
      <c r="AO139" s="116">
        <v>1053</v>
      </c>
      <c r="AP139" s="116">
        <v>288122243</v>
      </c>
      <c r="AQ139" s="116">
        <f t="shared" ref="AQ139:AQ202" si="28">AK139*AS139</f>
        <v>1857.7700000000002</v>
      </c>
      <c r="AR139" s="116">
        <f t="shared" ref="AR139:AR202" si="29">(AL139*AS139)*0.92</f>
        <v>511035371.60000014</v>
      </c>
      <c r="AS139" s="118">
        <v>0.53094312660760223</v>
      </c>
    </row>
    <row r="140" spans="1:45" x14ac:dyDescent="0.3">
      <c r="A140" s="1" t="str">
        <f t="shared" si="22"/>
        <v>DMDJ81056DWS</v>
      </c>
      <c r="B140" s="126" t="s">
        <v>636</v>
      </c>
      <c r="C140" s="98" t="str">
        <f t="shared" si="25"/>
        <v>DJ810</v>
      </c>
      <c r="D140" s="98" t="s">
        <v>55</v>
      </c>
      <c r="E140" s="98" t="str">
        <f t="shared" si="26"/>
        <v>M</v>
      </c>
      <c r="F140" s="98" t="str">
        <f t="shared" si="27"/>
        <v>DJ</v>
      </c>
      <c r="G140" s="98" t="s">
        <v>56</v>
      </c>
      <c r="H140" s="115" t="s">
        <v>637</v>
      </c>
      <c r="I140" s="98" t="s">
        <v>318</v>
      </c>
      <c r="J140" s="115" t="str">
        <f t="shared" si="24"/>
        <v/>
      </c>
      <c r="K140" s="115">
        <v>1</v>
      </c>
      <c r="L140" s="116">
        <v>299000</v>
      </c>
      <c r="M140" s="78" t="s">
        <v>509</v>
      </c>
      <c r="N140" s="98" t="s">
        <v>510</v>
      </c>
      <c r="O140" s="98" t="s">
        <v>143</v>
      </c>
      <c r="P140" s="98">
        <v>100</v>
      </c>
      <c r="Q140" s="32" t="s">
        <v>62</v>
      </c>
      <c r="R140" s="98" t="s">
        <v>63</v>
      </c>
      <c r="S140" s="32" t="s">
        <v>72</v>
      </c>
      <c r="T140" s="98" t="s">
        <v>182</v>
      </c>
      <c r="U140" s="98"/>
      <c r="V140" s="98" t="s">
        <v>66</v>
      </c>
      <c r="W140" s="98"/>
      <c r="X140" s="78" t="s">
        <v>67</v>
      </c>
      <c r="Y140" s="98" t="s">
        <v>68</v>
      </c>
      <c r="Z140" s="32" t="s">
        <v>238</v>
      </c>
      <c r="AA140" s="32" t="s">
        <v>90</v>
      </c>
      <c r="AB140" s="78" t="s">
        <v>91</v>
      </c>
      <c r="AC140" s="69" t="s">
        <v>92</v>
      </c>
      <c r="AD140" s="69" t="s">
        <v>506</v>
      </c>
      <c r="AE140" s="65" t="s">
        <v>137</v>
      </c>
      <c r="AF140" s="39" t="s">
        <v>86</v>
      </c>
      <c r="AG140" s="98" t="s">
        <v>75</v>
      </c>
      <c r="AH140" s="115">
        <v>650</v>
      </c>
      <c r="AI140" s="117" t="s">
        <v>76</v>
      </c>
      <c r="AJ140" s="115" t="s">
        <v>241</v>
      </c>
      <c r="AK140" s="73">
        <v>1189</v>
      </c>
      <c r="AL140" s="116">
        <f t="shared" si="23"/>
        <v>355511000</v>
      </c>
      <c r="AM140" s="116">
        <v>32</v>
      </c>
      <c r="AN140" s="116">
        <v>7350943</v>
      </c>
      <c r="AO140" s="116">
        <v>293</v>
      </c>
      <c r="AP140" s="116">
        <v>79106354</v>
      </c>
      <c r="AQ140" s="116">
        <f t="shared" si="28"/>
        <v>566.47</v>
      </c>
      <c r="AR140" s="116">
        <f t="shared" si="29"/>
        <v>155824567.60000002</v>
      </c>
      <c r="AS140" s="118">
        <v>0.47642556770395295</v>
      </c>
    </row>
    <row r="141" spans="1:45" x14ac:dyDescent="0.3">
      <c r="A141" s="1" t="str">
        <f t="shared" si="22"/>
        <v>DWDJ82056BKS</v>
      </c>
      <c r="B141" s="126" t="s">
        <v>638</v>
      </c>
      <c r="C141" s="98" t="str">
        <f t="shared" si="25"/>
        <v>DJ820</v>
      </c>
      <c r="D141" s="98" t="s">
        <v>55</v>
      </c>
      <c r="E141" s="98" t="str">
        <f t="shared" si="26"/>
        <v>W</v>
      </c>
      <c r="F141" s="98" t="str">
        <f t="shared" si="27"/>
        <v>DJ</v>
      </c>
      <c r="G141" s="98" t="s">
        <v>56</v>
      </c>
      <c r="H141" s="115" t="s">
        <v>639</v>
      </c>
      <c r="I141" s="98" t="s">
        <v>78</v>
      </c>
      <c r="J141" s="115">
        <f t="shared" si="24"/>
        <v>1</v>
      </c>
      <c r="K141" s="115">
        <v>1</v>
      </c>
      <c r="L141" s="116">
        <v>299000</v>
      </c>
      <c r="M141" s="78" t="s">
        <v>509</v>
      </c>
      <c r="N141" s="98" t="s">
        <v>510</v>
      </c>
      <c r="O141" s="98" t="s">
        <v>143</v>
      </c>
      <c r="P141" s="98">
        <v>100</v>
      </c>
      <c r="Q141" s="32" t="s">
        <v>62</v>
      </c>
      <c r="R141" s="98" t="s">
        <v>63</v>
      </c>
      <c r="S141" s="32" t="s">
        <v>72</v>
      </c>
      <c r="T141" s="98" t="s">
        <v>65</v>
      </c>
      <c r="U141" s="98"/>
      <c r="V141" s="98" t="s">
        <v>66</v>
      </c>
      <c r="W141" s="98"/>
      <c r="X141" s="78" t="s">
        <v>67</v>
      </c>
      <c r="Y141" s="98" t="s">
        <v>68</v>
      </c>
      <c r="Z141" s="32" t="s">
        <v>238</v>
      </c>
      <c r="AA141" s="32" t="s">
        <v>90</v>
      </c>
      <c r="AB141" s="78" t="s">
        <v>91</v>
      </c>
      <c r="AC141" s="69" t="s">
        <v>92</v>
      </c>
      <c r="AD141" s="69" t="s">
        <v>506</v>
      </c>
      <c r="AE141" s="65" t="s">
        <v>137</v>
      </c>
      <c r="AF141" s="39" t="s">
        <v>326</v>
      </c>
      <c r="AG141" s="98" t="s">
        <v>75</v>
      </c>
      <c r="AH141" s="115">
        <v>650</v>
      </c>
      <c r="AI141" s="117" t="s">
        <v>76</v>
      </c>
      <c r="AJ141" s="115" t="s">
        <v>241</v>
      </c>
      <c r="AK141" s="73">
        <v>2989</v>
      </c>
      <c r="AL141" s="116">
        <f t="shared" si="23"/>
        <v>893711000</v>
      </c>
      <c r="AM141" s="116">
        <v>87</v>
      </c>
      <c r="AN141" s="116">
        <v>19576160</v>
      </c>
      <c r="AO141" s="116">
        <v>840</v>
      </c>
      <c r="AP141" s="116">
        <v>230974727</v>
      </c>
      <c r="AQ141" s="116">
        <f t="shared" si="28"/>
        <v>1527.4699999999998</v>
      </c>
      <c r="AR141" s="116">
        <f t="shared" si="29"/>
        <v>420176447.59999996</v>
      </c>
      <c r="AS141" s="118">
        <v>0.51103044496487116</v>
      </c>
    </row>
    <row r="142" spans="1:45" x14ac:dyDescent="0.3">
      <c r="A142" s="1" t="str">
        <f t="shared" si="22"/>
        <v>DWDJ82056BES</v>
      </c>
      <c r="B142" s="126" t="s">
        <v>638</v>
      </c>
      <c r="C142" s="98" t="str">
        <f t="shared" si="25"/>
        <v>DJ820</v>
      </c>
      <c r="D142" s="98" t="s">
        <v>55</v>
      </c>
      <c r="E142" s="98" t="str">
        <f t="shared" si="26"/>
        <v>W</v>
      </c>
      <c r="F142" s="98" t="str">
        <f t="shared" si="27"/>
        <v>DJ</v>
      </c>
      <c r="G142" s="98" t="s">
        <v>56</v>
      </c>
      <c r="H142" s="115" t="s">
        <v>639</v>
      </c>
      <c r="I142" s="98" t="s">
        <v>385</v>
      </c>
      <c r="J142" s="115" t="str">
        <f t="shared" si="24"/>
        <v/>
      </c>
      <c r="K142" s="115">
        <v>1</v>
      </c>
      <c r="L142" s="116">
        <v>299000</v>
      </c>
      <c r="M142" s="78" t="s">
        <v>509</v>
      </c>
      <c r="N142" s="98" t="s">
        <v>510</v>
      </c>
      <c r="O142" s="98" t="s">
        <v>143</v>
      </c>
      <c r="P142" s="98">
        <v>100</v>
      </c>
      <c r="Q142" s="32" t="s">
        <v>62</v>
      </c>
      <c r="R142" s="98" t="s">
        <v>63</v>
      </c>
      <c r="S142" s="32" t="s">
        <v>72</v>
      </c>
      <c r="T142" s="98" t="s">
        <v>182</v>
      </c>
      <c r="U142" s="98"/>
      <c r="V142" s="98" t="s">
        <v>66</v>
      </c>
      <c r="W142" s="98"/>
      <c r="X142" s="78" t="s">
        <v>67</v>
      </c>
      <c r="Y142" s="98" t="s">
        <v>68</v>
      </c>
      <c r="Z142" s="32" t="s">
        <v>238</v>
      </c>
      <c r="AA142" s="32" t="s">
        <v>90</v>
      </c>
      <c r="AB142" s="78" t="s">
        <v>91</v>
      </c>
      <c r="AC142" s="69" t="s">
        <v>92</v>
      </c>
      <c r="AD142" s="69" t="s">
        <v>506</v>
      </c>
      <c r="AE142" s="65" t="s">
        <v>137</v>
      </c>
      <c r="AF142" s="39" t="s">
        <v>326</v>
      </c>
      <c r="AG142" s="98" t="s">
        <v>75</v>
      </c>
      <c r="AH142" s="115">
        <v>650</v>
      </c>
      <c r="AI142" s="117" t="s">
        <v>76</v>
      </c>
      <c r="AJ142" s="115" t="s">
        <v>241</v>
      </c>
      <c r="AK142" s="73">
        <v>994</v>
      </c>
      <c r="AL142" s="116">
        <f t="shared" si="23"/>
        <v>297206000</v>
      </c>
      <c r="AM142" s="116">
        <v>36</v>
      </c>
      <c r="AN142" s="116">
        <v>8477506</v>
      </c>
      <c r="AO142" s="116">
        <v>604</v>
      </c>
      <c r="AP142" s="116">
        <v>168857209</v>
      </c>
      <c r="AQ142" s="116">
        <f t="shared" si="28"/>
        <v>832.62</v>
      </c>
      <c r="AR142" s="116">
        <f t="shared" si="29"/>
        <v>229037109.60000002</v>
      </c>
      <c r="AS142" s="118">
        <v>0.83764587525150902</v>
      </c>
    </row>
    <row r="143" spans="1:45" x14ac:dyDescent="0.3">
      <c r="A143" s="1" t="str">
        <f t="shared" si="22"/>
        <v>DMDJ8A056BKS</v>
      </c>
      <c r="B143" s="126" t="s">
        <v>640</v>
      </c>
      <c r="C143" s="98" t="str">
        <f t="shared" si="25"/>
        <v>DJ8A0</v>
      </c>
      <c r="D143" s="98" t="s">
        <v>55</v>
      </c>
      <c r="E143" s="98" t="str">
        <f t="shared" si="26"/>
        <v>M</v>
      </c>
      <c r="F143" s="98" t="str">
        <f t="shared" si="27"/>
        <v>DJ</v>
      </c>
      <c r="G143" s="98" t="s">
        <v>56</v>
      </c>
      <c r="H143" s="115" t="s">
        <v>641</v>
      </c>
      <c r="I143" s="98" t="s">
        <v>78</v>
      </c>
      <c r="J143" s="115">
        <f t="shared" si="24"/>
        <v>1</v>
      </c>
      <c r="K143" s="115">
        <v>1</v>
      </c>
      <c r="L143" s="116">
        <v>319000</v>
      </c>
      <c r="M143" s="78" t="s">
        <v>83</v>
      </c>
      <c r="N143" s="98" t="s">
        <v>623</v>
      </c>
      <c r="O143" s="98" t="s">
        <v>485</v>
      </c>
      <c r="P143" s="98">
        <v>100</v>
      </c>
      <c r="Q143" s="32" t="s">
        <v>85</v>
      </c>
      <c r="R143" s="98" t="s">
        <v>86</v>
      </c>
      <c r="S143" s="32" t="s">
        <v>87</v>
      </c>
      <c r="T143" s="98" t="s">
        <v>65</v>
      </c>
      <c r="U143" s="98"/>
      <c r="V143" s="98" t="s">
        <v>66</v>
      </c>
      <c r="W143" s="98"/>
      <c r="X143" s="78" t="s">
        <v>67</v>
      </c>
      <c r="Y143" s="98" t="s">
        <v>88</v>
      </c>
      <c r="Z143" s="32" t="s">
        <v>125</v>
      </c>
      <c r="AA143" s="32" t="s">
        <v>90</v>
      </c>
      <c r="AB143" s="78" t="s">
        <v>91</v>
      </c>
      <c r="AC143" s="69" t="s">
        <v>92</v>
      </c>
      <c r="AD143" s="69" t="s">
        <v>506</v>
      </c>
      <c r="AE143" s="65" t="s">
        <v>137</v>
      </c>
      <c r="AF143" s="39" t="s">
        <v>93</v>
      </c>
      <c r="AG143" s="98" t="s">
        <v>75</v>
      </c>
      <c r="AH143" s="115">
        <v>650</v>
      </c>
      <c r="AI143" s="117" t="s">
        <v>76</v>
      </c>
      <c r="AJ143" s="120" t="s">
        <v>642</v>
      </c>
      <c r="AK143" s="73">
        <v>2499</v>
      </c>
      <c r="AL143" s="116">
        <f t="shared" si="23"/>
        <v>797181000</v>
      </c>
      <c r="AM143" s="116">
        <v>56</v>
      </c>
      <c r="AN143" s="116">
        <v>14041000</v>
      </c>
      <c r="AO143" s="116">
        <v>355</v>
      </c>
      <c r="AP143" s="116">
        <v>103471242</v>
      </c>
      <c r="AQ143" s="116">
        <f t="shared" si="28"/>
        <v>929.7700000000001</v>
      </c>
      <c r="AR143" s="116">
        <f t="shared" si="29"/>
        <v>272868899.60000008</v>
      </c>
      <c r="AS143" s="118">
        <v>0.37205682272909169</v>
      </c>
    </row>
    <row r="144" spans="1:45" x14ac:dyDescent="0.3">
      <c r="A144" s="1" t="str">
        <f t="shared" si="22"/>
        <v>DMDJ8A056LWS</v>
      </c>
      <c r="B144" s="126" t="s">
        <v>640</v>
      </c>
      <c r="C144" s="98" t="str">
        <f t="shared" si="25"/>
        <v>DJ8A0</v>
      </c>
      <c r="D144" s="98" t="s">
        <v>55</v>
      </c>
      <c r="E144" s="98" t="str">
        <f t="shared" si="26"/>
        <v>M</v>
      </c>
      <c r="F144" s="98" t="str">
        <f t="shared" si="27"/>
        <v>DJ</v>
      </c>
      <c r="G144" s="98" t="s">
        <v>56</v>
      </c>
      <c r="H144" s="115" t="s">
        <v>641</v>
      </c>
      <c r="I144" s="98" t="s">
        <v>526</v>
      </c>
      <c r="J144" s="115" t="str">
        <f t="shared" si="24"/>
        <v/>
      </c>
      <c r="K144" s="115">
        <v>1</v>
      </c>
      <c r="L144" s="116">
        <v>319000</v>
      </c>
      <c r="M144" s="78" t="s">
        <v>83</v>
      </c>
      <c r="N144" s="98" t="s">
        <v>623</v>
      </c>
      <c r="O144" s="98" t="s">
        <v>485</v>
      </c>
      <c r="P144" s="98">
        <v>100</v>
      </c>
      <c r="Q144" s="32" t="s">
        <v>85</v>
      </c>
      <c r="R144" s="98" t="s">
        <v>86</v>
      </c>
      <c r="S144" s="32" t="s">
        <v>87</v>
      </c>
      <c r="T144" s="98" t="s">
        <v>65</v>
      </c>
      <c r="U144" s="98"/>
      <c r="V144" s="98" t="s">
        <v>66</v>
      </c>
      <c r="W144" s="98"/>
      <c r="X144" s="78" t="s">
        <v>67</v>
      </c>
      <c r="Y144" s="98" t="s">
        <v>88</v>
      </c>
      <c r="Z144" s="32" t="s">
        <v>125</v>
      </c>
      <c r="AA144" s="32" t="s">
        <v>90</v>
      </c>
      <c r="AB144" s="78" t="s">
        <v>91</v>
      </c>
      <c r="AC144" s="69" t="s">
        <v>92</v>
      </c>
      <c r="AD144" s="69" t="s">
        <v>506</v>
      </c>
      <c r="AE144" s="65" t="s">
        <v>137</v>
      </c>
      <c r="AF144" s="39" t="s">
        <v>93</v>
      </c>
      <c r="AG144" s="98" t="s">
        <v>75</v>
      </c>
      <c r="AH144" s="115">
        <v>650</v>
      </c>
      <c r="AI144" s="117" t="s">
        <v>76</v>
      </c>
      <c r="AJ144" s="120" t="s">
        <v>642</v>
      </c>
      <c r="AK144" s="73">
        <v>1510</v>
      </c>
      <c r="AL144" s="116">
        <f t="shared" si="23"/>
        <v>481690000</v>
      </c>
      <c r="AM144" s="116">
        <v>10</v>
      </c>
      <c r="AN144" s="116">
        <v>2161143</v>
      </c>
      <c r="AO144" s="116">
        <v>79</v>
      </c>
      <c r="AP144" s="116">
        <v>22886171</v>
      </c>
      <c r="AQ144" s="116">
        <f t="shared" si="28"/>
        <v>426.3</v>
      </c>
      <c r="AR144" s="116">
        <f t="shared" si="29"/>
        <v>125110524</v>
      </c>
      <c r="AS144" s="118">
        <v>0.28231788079470199</v>
      </c>
    </row>
    <row r="145" spans="1:45" s="102" customFormat="1" x14ac:dyDescent="0.3">
      <c r="A145" s="101" t="str">
        <f t="shared" si="22"/>
        <v>DMDJ83056BKS</v>
      </c>
      <c r="B145" s="126" t="s">
        <v>643</v>
      </c>
      <c r="C145" s="98" t="str">
        <f t="shared" si="25"/>
        <v>DJ830</v>
      </c>
      <c r="D145" s="98" t="s">
        <v>55</v>
      </c>
      <c r="E145" s="98" t="str">
        <f t="shared" si="26"/>
        <v>M</v>
      </c>
      <c r="F145" s="98" t="str">
        <f t="shared" si="27"/>
        <v>DJ</v>
      </c>
      <c r="G145" s="98" t="s">
        <v>56</v>
      </c>
      <c r="H145" s="115" t="s">
        <v>644</v>
      </c>
      <c r="I145" s="98" t="s">
        <v>78</v>
      </c>
      <c r="J145" s="115">
        <f t="shared" si="24"/>
        <v>1</v>
      </c>
      <c r="K145" s="115">
        <v>1</v>
      </c>
      <c r="L145" s="116">
        <v>289000</v>
      </c>
      <c r="M145" s="78" t="s">
        <v>83</v>
      </c>
      <c r="N145" s="98" t="s">
        <v>645</v>
      </c>
      <c r="O145" s="98" t="s">
        <v>485</v>
      </c>
      <c r="P145" s="98">
        <v>100</v>
      </c>
      <c r="Q145" s="32" t="s">
        <v>85</v>
      </c>
      <c r="R145" s="98" t="s">
        <v>86</v>
      </c>
      <c r="S145" s="32" t="s">
        <v>87</v>
      </c>
      <c r="T145" s="98" t="s">
        <v>65</v>
      </c>
      <c r="U145" s="98"/>
      <c r="V145" s="98" t="s">
        <v>66</v>
      </c>
      <c r="W145" s="98"/>
      <c r="X145" s="78" t="s">
        <v>67</v>
      </c>
      <c r="Y145" s="98" t="s">
        <v>88</v>
      </c>
      <c r="Z145" s="32" t="s">
        <v>125</v>
      </c>
      <c r="AA145" s="32" t="s">
        <v>90</v>
      </c>
      <c r="AB145" s="78" t="s">
        <v>91</v>
      </c>
      <c r="AC145" s="69" t="s">
        <v>92</v>
      </c>
      <c r="AD145" s="69" t="s">
        <v>506</v>
      </c>
      <c r="AE145" s="65" t="s">
        <v>73</v>
      </c>
      <c r="AF145" s="39" t="s">
        <v>169</v>
      </c>
      <c r="AG145" s="98" t="s">
        <v>75</v>
      </c>
      <c r="AH145" s="115">
        <v>650</v>
      </c>
      <c r="AI145" s="117" t="s">
        <v>76</v>
      </c>
      <c r="AJ145" s="115" t="s">
        <v>241</v>
      </c>
      <c r="AK145" s="73">
        <v>3697</v>
      </c>
      <c r="AL145" s="116">
        <f t="shared" si="23"/>
        <v>1068433000</v>
      </c>
      <c r="AM145" s="116">
        <v>230</v>
      </c>
      <c r="AN145" s="116">
        <v>55266332</v>
      </c>
      <c r="AO145" s="116">
        <v>2245</v>
      </c>
      <c r="AP145" s="116">
        <v>586438172</v>
      </c>
      <c r="AQ145" s="116">
        <f t="shared" si="28"/>
        <v>3095.31</v>
      </c>
      <c r="AR145" s="116">
        <f t="shared" si="29"/>
        <v>822981022.80000007</v>
      </c>
      <c r="AS145" s="118">
        <v>0.83724912090884496</v>
      </c>
    </row>
    <row r="146" spans="1:45" s="102" customFormat="1" x14ac:dyDescent="0.3">
      <c r="A146" s="101" t="str">
        <f t="shared" si="22"/>
        <v>DMDJ83056BDD</v>
      </c>
      <c r="B146" s="126" t="s">
        <v>643</v>
      </c>
      <c r="C146" s="98" t="str">
        <f t="shared" si="25"/>
        <v>DJ830</v>
      </c>
      <c r="D146" s="98" t="s">
        <v>55</v>
      </c>
      <c r="E146" s="98" t="str">
        <f t="shared" si="26"/>
        <v>M</v>
      </c>
      <c r="F146" s="98" t="str">
        <f t="shared" si="27"/>
        <v>DJ</v>
      </c>
      <c r="G146" s="98" t="s">
        <v>56</v>
      </c>
      <c r="H146" s="115" t="s">
        <v>644</v>
      </c>
      <c r="I146" s="98" t="s">
        <v>646</v>
      </c>
      <c r="J146" s="115" t="str">
        <f t="shared" si="24"/>
        <v/>
      </c>
      <c r="K146" s="115">
        <v>1</v>
      </c>
      <c r="L146" s="116">
        <v>289000</v>
      </c>
      <c r="M146" s="78" t="s">
        <v>83</v>
      </c>
      <c r="N146" s="98" t="s">
        <v>645</v>
      </c>
      <c r="O146" s="98" t="s">
        <v>485</v>
      </c>
      <c r="P146" s="98">
        <v>100</v>
      </c>
      <c r="Q146" s="32" t="s">
        <v>85</v>
      </c>
      <c r="R146" s="98" t="s">
        <v>86</v>
      </c>
      <c r="S146" s="32" t="s">
        <v>87</v>
      </c>
      <c r="T146" s="98" t="s">
        <v>65</v>
      </c>
      <c r="U146" s="98"/>
      <c r="V146" s="98" t="s">
        <v>66</v>
      </c>
      <c r="W146" s="98"/>
      <c r="X146" s="78" t="s">
        <v>67</v>
      </c>
      <c r="Y146" s="98" t="s">
        <v>88</v>
      </c>
      <c r="Z146" s="32" t="s">
        <v>125</v>
      </c>
      <c r="AA146" s="32" t="s">
        <v>90</v>
      </c>
      <c r="AB146" s="78" t="s">
        <v>91</v>
      </c>
      <c r="AC146" s="69" t="s">
        <v>92</v>
      </c>
      <c r="AD146" s="69" t="s">
        <v>506</v>
      </c>
      <c r="AE146" s="65" t="s">
        <v>73</v>
      </c>
      <c r="AF146" s="39" t="s">
        <v>169</v>
      </c>
      <c r="AG146" s="98" t="s">
        <v>75</v>
      </c>
      <c r="AH146" s="115">
        <v>650</v>
      </c>
      <c r="AI146" s="117" t="s">
        <v>76</v>
      </c>
      <c r="AJ146" s="115" t="s">
        <v>241</v>
      </c>
      <c r="AK146" s="73">
        <v>788</v>
      </c>
      <c r="AL146" s="116">
        <f t="shared" si="23"/>
        <v>227732000</v>
      </c>
      <c r="AM146" s="116">
        <v>13</v>
      </c>
      <c r="AN146" s="116">
        <v>3416607</v>
      </c>
      <c r="AO146" s="116">
        <v>170</v>
      </c>
      <c r="AP146" s="116">
        <v>45270474</v>
      </c>
      <c r="AQ146" s="116">
        <f t="shared" si="28"/>
        <v>351.24</v>
      </c>
      <c r="AR146" s="116">
        <f t="shared" si="29"/>
        <v>93387691.200000003</v>
      </c>
      <c r="AS146" s="118">
        <v>0.44573604060913707</v>
      </c>
    </row>
    <row r="147" spans="1:45" s="102" customFormat="1" x14ac:dyDescent="0.3">
      <c r="A147" s="101" t="str">
        <f t="shared" si="22"/>
        <v>DMDJ83056CAD</v>
      </c>
      <c r="B147" s="126" t="s">
        <v>643</v>
      </c>
      <c r="C147" s="98" t="str">
        <f t="shared" si="25"/>
        <v>DJ830</v>
      </c>
      <c r="D147" s="98" t="s">
        <v>55</v>
      </c>
      <c r="E147" s="98" t="str">
        <f t="shared" si="26"/>
        <v>M</v>
      </c>
      <c r="F147" s="98" t="str">
        <f t="shared" si="27"/>
        <v>DJ</v>
      </c>
      <c r="G147" s="98" t="s">
        <v>56</v>
      </c>
      <c r="H147" s="115" t="s">
        <v>644</v>
      </c>
      <c r="I147" s="98" t="s">
        <v>432</v>
      </c>
      <c r="J147" s="115" t="str">
        <f t="shared" si="24"/>
        <v/>
      </c>
      <c r="K147" s="115">
        <v>1</v>
      </c>
      <c r="L147" s="116">
        <v>289000</v>
      </c>
      <c r="M147" s="78" t="s">
        <v>83</v>
      </c>
      <c r="N147" s="98" t="s">
        <v>645</v>
      </c>
      <c r="O147" s="98" t="s">
        <v>485</v>
      </c>
      <c r="P147" s="98">
        <v>100</v>
      </c>
      <c r="Q147" s="32" t="s">
        <v>85</v>
      </c>
      <c r="R147" s="98" t="s">
        <v>86</v>
      </c>
      <c r="S147" s="32" t="s">
        <v>87</v>
      </c>
      <c r="T147" s="98" t="s">
        <v>65</v>
      </c>
      <c r="U147" s="98"/>
      <c r="V147" s="98" t="s">
        <v>66</v>
      </c>
      <c r="W147" s="98"/>
      <c r="X147" s="78" t="s">
        <v>67</v>
      </c>
      <c r="Y147" s="98" t="s">
        <v>88</v>
      </c>
      <c r="Z147" s="32" t="s">
        <v>125</v>
      </c>
      <c r="AA147" s="32" t="s">
        <v>90</v>
      </c>
      <c r="AB147" s="78" t="s">
        <v>91</v>
      </c>
      <c r="AC147" s="69" t="s">
        <v>92</v>
      </c>
      <c r="AD147" s="69" t="s">
        <v>506</v>
      </c>
      <c r="AE147" s="65" t="s">
        <v>73</v>
      </c>
      <c r="AF147" s="39" t="s">
        <v>169</v>
      </c>
      <c r="AG147" s="98" t="s">
        <v>75</v>
      </c>
      <c r="AH147" s="115">
        <v>650</v>
      </c>
      <c r="AI147" s="117" t="s">
        <v>76</v>
      </c>
      <c r="AJ147" s="115" t="s">
        <v>241</v>
      </c>
      <c r="AK147" s="73">
        <v>2168</v>
      </c>
      <c r="AL147" s="116">
        <f t="shared" si="23"/>
        <v>626552000</v>
      </c>
      <c r="AM147" s="116">
        <v>20</v>
      </c>
      <c r="AN147" s="116">
        <v>5124420</v>
      </c>
      <c r="AO147" s="116">
        <v>347</v>
      </c>
      <c r="AP147" s="116">
        <v>92581511</v>
      </c>
      <c r="AQ147" s="116">
        <f t="shared" si="28"/>
        <v>845.64</v>
      </c>
      <c r="AR147" s="116">
        <f t="shared" si="29"/>
        <v>224838763.20000002</v>
      </c>
      <c r="AS147" s="118">
        <v>0.39005535055350554</v>
      </c>
    </row>
    <row r="148" spans="1:45" s="102" customFormat="1" x14ac:dyDescent="0.3">
      <c r="A148" s="101" t="str">
        <f t="shared" si="22"/>
        <v>DMDJ83056LKS</v>
      </c>
      <c r="B148" s="126" t="s">
        <v>643</v>
      </c>
      <c r="C148" s="98" t="str">
        <f t="shared" si="25"/>
        <v>DJ830</v>
      </c>
      <c r="D148" s="98" t="s">
        <v>148</v>
      </c>
      <c r="E148" s="98" t="str">
        <f t="shared" si="26"/>
        <v>M</v>
      </c>
      <c r="F148" s="98" t="str">
        <f t="shared" si="27"/>
        <v>DJ</v>
      </c>
      <c r="G148" s="98" t="s">
        <v>56</v>
      </c>
      <c r="H148" s="115" t="s">
        <v>644</v>
      </c>
      <c r="I148" s="98" t="s">
        <v>179</v>
      </c>
      <c r="J148" s="115" t="str">
        <f t="shared" si="24"/>
        <v/>
      </c>
      <c r="K148" s="115">
        <v>1</v>
      </c>
      <c r="L148" s="116">
        <v>289000</v>
      </c>
      <c r="M148" s="78" t="s">
        <v>83</v>
      </c>
      <c r="N148" s="98" t="s">
        <v>645</v>
      </c>
      <c r="O148" s="98" t="s">
        <v>485</v>
      </c>
      <c r="P148" s="98">
        <v>100</v>
      </c>
      <c r="Q148" s="32" t="s">
        <v>85</v>
      </c>
      <c r="R148" s="98" t="s">
        <v>86</v>
      </c>
      <c r="S148" s="32" t="s">
        <v>87</v>
      </c>
      <c r="T148" s="98" t="s">
        <v>65</v>
      </c>
      <c r="U148" s="98"/>
      <c r="V148" s="98" t="s">
        <v>66</v>
      </c>
      <c r="W148" s="98"/>
      <c r="X148" s="78" t="s">
        <v>67</v>
      </c>
      <c r="Y148" s="98" t="s">
        <v>88</v>
      </c>
      <c r="Z148" s="32" t="s">
        <v>125</v>
      </c>
      <c r="AA148" s="32" t="s">
        <v>90</v>
      </c>
      <c r="AB148" s="78" t="s">
        <v>91</v>
      </c>
      <c r="AC148" s="69" t="s">
        <v>92</v>
      </c>
      <c r="AD148" s="69" t="s">
        <v>506</v>
      </c>
      <c r="AE148" s="65" t="s">
        <v>73</v>
      </c>
      <c r="AF148" s="39" t="s">
        <v>169</v>
      </c>
      <c r="AG148" s="98" t="s">
        <v>75</v>
      </c>
      <c r="AH148" s="115">
        <v>650</v>
      </c>
      <c r="AI148" s="117" t="s">
        <v>76</v>
      </c>
      <c r="AJ148" s="115" t="s">
        <v>241</v>
      </c>
      <c r="AK148" s="73">
        <v>802</v>
      </c>
      <c r="AL148" s="116">
        <f t="shared" si="23"/>
        <v>231778000</v>
      </c>
      <c r="AM148" s="116">
        <v>44</v>
      </c>
      <c r="AN148" s="116">
        <v>11015645</v>
      </c>
      <c r="AO148" s="116">
        <v>316</v>
      </c>
      <c r="AP148" s="116">
        <v>82999297</v>
      </c>
      <c r="AQ148" s="116">
        <f t="shared" si="28"/>
        <v>500.46</v>
      </c>
      <c r="AR148" s="116">
        <f t="shared" si="29"/>
        <v>133062304.80000001</v>
      </c>
      <c r="AS148" s="118">
        <v>0.62401496259351619</v>
      </c>
    </row>
    <row r="149" spans="1:45" s="102" customFormat="1" x14ac:dyDescent="0.3">
      <c r="A149" s="101" t="str">
        <f t="shared" si="22"/>
        <v>DWDJ84056BDD</v>
      </c>
      <c r="B149" s="126" t="s">
        <v>647</v>
      </c>
      <c r="C149" s="98" t="str">
        <f t="shared" si="25"/>
        <v>DJ840</v>
      </c>
      <c r="D149" s="98" t="s">
        <v>55</v>
      </c>
      <c r="E149" s="98" t="str">
        <f t="shared" si="26"/>
        <v>W</v>
      </c>
      <c r="F149" s="98" t="str">
        <f t="shared" si="27"/>
        <v>DJ</v>
      </c>
      <c r="G149" s="98" t="s">
        <v>56</v>
      </c>
      <c r="H149" s="115" t="s">
        <v>648</v>
      </c>
      <c r="I149" s="98" t="s">
        <v>646</v>
      </c>
      <c r="J149" s="115">
        <f t="shared" si="24"/>
        <v>1</v>
      </c>
      <c r="K149" s="115">
        <v>1</v>
      </c>
      <c r="L149" s="116">
        <v>289000</v>
      </c>
      <c r="M149" s="78" t="s">
        <v>83</v>
      </c>
      <c r="N149" s="98" t="s">
        <v>649</v>
      </c>
      <c r="O149" s="98" t="s">
        <v>485</v>
      </c>
      <c r="P149" s="98">
        <v>100</v>
      </c>
      <c r="Q149" s="32" t="s">
        <v>85</v>
      </c>
      <c r="R149" s="98" t="s">
        <v>86</v>
      </c>
      <c r="S149" s="32" t="s">
        <v>87</v>
      </c>
      <c r="T149" s="98" t="s">
        <v>65</v>
      </c>
      <c r="U149" s="98"/>
      <c r="V149" s="98" t="s">
        <v>66</v>
      </c>
      <c r="W149" s="98"/>
      <c r="X149" s="78" t="s">
        <v>67</v>
      </c>
      <c r="Y149" s="98" t="s">
        <v>88</v>
      </c>
      <c r="Z149" s="32" t="s">
        <v>125</v>
      </c>
      <c r="AA149" s="32" t="s">
        <v>90</v>
      </c>
      <c r="AB149" s="78" t="s">
        <v>91</v>
      </c>
      <c r="AC149" s="69" t="s">
        <v>92</v>
      </c>
      <c r="AD149" s="69" t="s">
        <v>506</v>
      </c>
      <c r="AE149" s="65" t="s">
        <v>73</v>
      </c>
      <c r="AF149" s="39" t="s">
        <v>112</v>
      </c>
      <c r="AG149" s="98" t="s">
        <v>75</v>
      </c>
      <c r="AH149" s="115">
        <v>650</v>
      </c>
      <c r="AI149" s="117" t="s">
        <v>76</v>
      </c>
      <c r="AJ149" s="115" t="s">
        <v>94</v>
      </c>
      <c r="AK149" s="73">
        <v>797</v>
      </c>
      <c r="AL149" s="116">
        <f t="shared" si="23"/>
        <v>230333000</v>
      </c>
      <c r="AM149" s="116">
        <v>19</v>
      </c>
      <c r="AN149" s="116">
        <v>5147144</v>
      </c>
      <c r="AO149" s="116">
        <v>336</v>
      </c>
      <c r="AP149" s="116">
        <v>90702244</v>
      </c>
      <c r="AQ149" s="116">
        <f t="shared" si="28"/>
        <v>519.31000000000006</v>
      </c>
      <c r="AR149" s="116">
        <f t="shared" si="29"/>
        <v>138074142.80000001</v>
      </c>
      <c r="AS149" s="118">
        <v>0.65158092848180682</v>
      </c>
    </row>
    <row r="150" spans="1:45" s="102" customFormat="1" x14ac:dyDescent="0.3">
      <c r="A150" s="101" t="str">
        <f t="shared" si="22"/>
        <v>DWDJ84056BKS</v>
      </c>
      <c r="B150" s="126" t="s">
        <v>647</v>
      </c>
      <c r="C150" s="98" t="str">
        <f t="shared" si="25"/>
        <v>DJ840</v>
      </c>
      <c r="D150" s="98" t="s">
        <v>55</v>
      </c>
      <c r="E150" s="98" t="str">
        <f t="shared" si="26"/>
        <v>W</v>
      </c>
      <c r="F150" s="98" t="str">
        <f t="shared" si="27"/>
        <v>DJ</v>
      </c>
      <c r="G150" s="98" t="s">
        <v>56</v>
      </c>
      <c r="H150" s="115" t="s">
        <v>648</v>
      </c>
      <c r="I150" s="98" t="s">
        <v>78</v>
      </c>
      <c r="J150" s="115" t="str">
        <f t="shared" si="24"/>
        <v/>
      </c>
      <c r="K150" s="115">
        <v>1</v>
      </c>
      <c r="L150" s="116">
        <v>289000</v>
      </c>
      <c r="M150" s="78" t="s">
        <v>83</v>
      </c>
      <c r="N150" s="98" t="s">
        <v>649</v>
      </c>
      <c r="O150" s="98" t="s">
        <v>485</v>
      </c>
      <c r="P150" s="98">
        <v>100</v>
      </c>
      <c r="Q150" s="32" t="s">
        <v>85</v>
      </c>
      <c r="R150" s="98" t="s">
        <v>86</v>
      </c>
      <c r="S150" s="32" t="s">
        <v>87</v>
      </c>
      <c r="T150" s="98" t="s">
        <v>65</v>
      </c>
      <c r="U150" s="98"/>
      <c r="V150" s="98" t="s">
        <v>66</v>
      </c>
      <c r="W150" s="98"/>
      <c r="X150" s="78" t="s">
        <v>67</v>
      </c>
      <c r="Y150" s="98" t="s">
        <v>88</v>
      </c>
      <c r="Z150" s="32" t="s">
        <v>125</v>
      </c>
      <c r="AA150" s="32" t="s">
        <v>90</v>
      </c>
      <c r="AB150" s="78" t="s">
        <v>91</v>
      </c>
      <c r="AC150" s="69" t="s">
        <v>92</v>
      </c>
      <c r="AD150" s="69" t="s">
        <v>506</v>
      </c>
      <c r="AE150" s="65" t="s">
        <v>73</v>
      </c>
      <c r="AF150" s="39" t="s">
        <v>112</v>
      </c>
      <c r="AG150" s="98" t="s">
        <v>75</v>
      </c>
      <c r="AH150" s="115">
        <v>650</v>
      </c>
      <c r="AI150" s="117" t="s">
        <v>76</v>
      </c>
      <c r="AJ150" s="115" t="s">
        <v>94</v>
      </c>
      <c r="AK150" s="73">
        <v>2507</v>
      </c>
      <c r="AL150" s="116">
        <f t="shared" si="23"/>
        <v>724523000</v>
      </c>
      <c r="AM150" s="116">
        <v>61</v>
      </c>
      <c r="AN150" s="116">
        <v>15675322</v>
      </c>
      <c r="AO150" s="116">
        <v>1646</v>
      </c>
      <c r="AP150" s="116">
        <v>438031198</v>
      </c>
      <c r="AQ150" s="116">
        <f t="shared" si="28"/>
        <v>2222.61</v>
      </c>
      <c r="AR150" s="116">
        <f t="shared" si="29"/>
        <v>590947546.80000007</v>
      </c>
      <c r="AS150" s="118">
        <v>0.88656162744315914</v>
      </c>
    </row>
    <row r="151" spans="1:45" s="102" customFormat="1" x14ac:dyDescent="0.3">
      <c r="A151" s="101" t="str">
        <f t="shared" si="22"/>
        <v>DWDJ84056CRS</v>
      </c>
      <c r="B151" s="126" t="s">
        <v>647</v>
      </c>
      <c r="C151" s="98" t="str">
        <f t="shared" si="25"/>
        <v>DJ840</v>
      </c>
      <c r="D151" s="98" t="s">
        <v>55</v>
      </c>
      <c r="E151" s="98" t="str">
        <f t="shared" si="26"/>
        <v>W</v>
      </c>
      <c r="F151" s="98" t="str">
        <f t="shared" si="27"/>
        <v>DJ</v>
      </c>
      <c r="G151" s="98" t="s">
        <v>56</v>
      </c>
      <c r="H151" s="115" t="s">
        <v>648</v>
      </c>
      <c r="I151" s="98" t="s">
        <v>79</v>
      </c>
      <c r="J151" s="115" t="str">
        <f t="shared" si="24"/>
        <v/>
      </c>
      <c r="K151" s="115">
        <v>1</v>
      </c>
      <c r="L151" s="116">
        <v>289000</v>
      </c>
      <c r="M151" s="78" t="s">
        <v>83</v>
      </c>
      <c r="N151" s="98" t="s">
        <v>649</v>
      </c>
      <c r="O151" s="98" t="s">
        <v>485</v>
      </c>
      <c r="P151" s="98">
        <v>100</v>
      </c>
      <c r="Q151" s="32" t="s">
        <v>85</v>
      </c>
      <c r="R151" s="98" t="s">
        <v>86</v>
      </c>
      <c r="S151" s="32" t="s">
        <v>87</v>
      </c>
      <c r="T151" s="98" t="s">
        <v>65</v>
      </c>
      <c r="U151" s="98"/>
      <c r="V151" s="98" t="s">
        <v>66</v>
      </c>
      <c r="W151" s="98"/>
      <c r="X151" s="78" t="s">
        <v>67</v>
      </c>
      <c r="Y151" s="98" t="s">
        <v>88</v>
      </c>
      <c r="Z151" s="32" t="s">
        <v>125</v>
      </c>
      <c r="AA151" s="32" t="s">
        <v>90</v>
      </c>
      <c r="AB151" s="78" t="s">
        <v>91</v>
      </c>
      <c r="AC151" s="69" t="s">
        <v>92</v>
      </c>
      <c r="AD151" s="69" t="s">
        <v>506</v>
      </c>
      <c r="AE151" s="65" t="s">
        <v>73</v>
      </c>
      <c r="AF151" s="39" t="s">
        <v>112</v>
      </c>
      <c r="AG151" s="98" t="s">
        <v>75</v>
      </c>
      <c r="AH151" s="115">
        <v>650</v>
      </c>
      <c r="AI151" s="117" t="s">
        <v>76</v>
      </c>
      <c r="AJ151" s="115" t="s">
        <v>94</v>
      </c>
      <c r="AK151" s="73">
        <v>2191</v>
      </c>
      <c r="AL151" s="116">
        <f t="shared" si="23"/>
        <v>633199000</v>
      </c>
      <c r="AM151" s="116">
        <v>71</v>
      </c>
      <c r="AN151" s="116">
        <v>17990723</v>
      </c>
      <c r="AO151" s="116">
        <v>1688</v>
      </c>
      <c r="AP151" s="116">
        <v>453179890</v>
      </c>
      <c r="AQ151" s="116">
        <f t="shared" si="28"/>
        <v>2191.9300000000003</v>
      </c>
      <c r="AR151" s="116">
        <f t="shared" si="29"/>
        <v>582790348.4000001</v>
      </c>
      <c r="AS151" s="118">
        <v>1.0004244637151987</v>
      </c>
    </row>
    <row r="152" spans="1:45" x14ac:dyDescent="0.3">
      <c r="A152" s="1" t="str">
        <f t="shared" si="22"/>
        <v>DMDJ8O056DGS</v>
      </c>
      <c r="B152" s="126" t="s">
        <v>650</v>
      </c>
      <c r="C152" s="98" t="str">
        <f t="shared" si="25"/>
        <v>DJ8O0</v>
      </c>
      <c r="D152" s="98" t="s">
        <v>55</v>
      </c>
      <c r="E152" s="98" t="str">
        <f t="shared" si="26"/>
        <v>M</v>
      </c>
      <c r="F152" s="98" t="str">
        <f t="shared" si="27"/>
        <v>DJ</v>
      </c>
      <c r="G152" s="98" t="s">
        <v>56</v>
      </c>
      <c r="H152" s="115" t="s">
        <v>651</v>
      </c>
      <c r="I152" s="98" t="s">
        <v>435</v>
      </c>
      <c r="J152" s="115">
        <f t="shared" si="24"/>
        <v>1</v>
      </c>
      <c r="K152" s="115">
        <v>1</v>
      </c>
      <c r="L152" s="116">
        <v>169000</v>
      </c>
      <c r="M152" s="78" t="s">
        <v>521</v>
      </c>
      <c r="N152" s="98" t="s">
        <v>236</v>
      </c>
      <c r="O152" s="98" t="s">
        <v>143</v>
      </c>
      <c r="P152" s="98">
        <v>100</v>
      </c>
      <c r="Q152" s="32" t="s">
        <v>62</v>
      </c>
      <c r="R152" s="98" t="s">
        <v>220</v>
      </c>
      <c r="S152" s="32" t="s">
        <v>237</v>
      </c>
      <c r="T152" s="98" t="s">
        <v>65</v>
      </c>
      <c r="U152" s="98"/>
      <c r="V152" s="98" t="s">
        <v>66</v>
      </c>
      <c r="W152" s="98"/>
      <c r="X152" s="78" t="s">
        <v>67</v>
      </c>
      <c r="Y152" s="98" t="s">
        <v>68</v>
      </c>
      <c r="Z152" s="32" t="s">
        <v>238</v>
      </c>
      <c r="AA152" s="32" t="s">
        <v>90</v>
      </c>
      <c r="AB152" s="78" t="s">
        <v>652</v>
      </c>
      <c r="AC152" s="98" t="s">
        <v>62</v>
      </c>
      <c r="AD152" s="98" t="s">
        <v>72</v>
      </c>
      <c r="AE152" s="65" t="s">
        <v>73</v>
      </c>
      <c r="AF152" s="39" t="s">
        <v>205</v>
      </c>
      <c r="AG152" s="98" t="s">
        <v>240</v>
      </c>
      <c r="AH152" s="115">
        <v>650</v>
      </c>
      <c r="AI152" s="117" t="s">
        <v>76</v>
      </c>
      <c r="AJ152" s="115" t="s">
        <v>241</v>
      </c>
      <c r="AK152" s="73">
        <v>2534</v>
      </c>
      <c r="AL152" s="116">
        <f t="shared" si="23"/>
        <v>428246000</v>
      </c>
      <c r="AM152" s="116">
        <v>145</v>
      </c>
      <c r="AN152" s="116">
        <v>22001755</v>
      </c>
      <c r="AO152" s="116">
        <v>1000</v>
      </c>
      <c r="AP152" s="116">
        <v>150939806</v>
      </c>
      <c r="AQ152" s="116">
        <f t="shared" si="28"/>
        <v>1582.82</v>
      </c>
      <c r="AR152" s="116">
        <f t="shared" si="29"/>
        <v>246096853.59999999</v>
      </c>
      <c r="AS152" s="118">
        <v>0.62463299131807415</v>
      </c>
    </row>
    <row r="153" spans="1:45" x14ac:dyDescent="0.3">
      <c r="A153" s="1" t="str">
        <f t="shared" si="22"/>
        <v>DMDJ8O056BGS</v>
      </c>
      <c r="B153" s="126" t="s">
        <v>650</v>
      </c>
      <c r="C153" s="98" t="str">
        <f t="shared" si="25"/>
        <v>DJ8O0</v>
      </c>
      <c r="D153" s="98" t="s">
        <v>55</v>
      </c>
      <c r="E153" s="98" t="str">
        <f t="shared" si="26"/>
        <v>M</v>
      </c>
      <c r="F153" s="98" t="str">
        <f t="shared" si="27"/>
        <v>DJ</v>
      </c>
      <c r="G153" s="98" t="s">
        <v>56</v>
      </c>
      <c r="H153" s="115" t="s">
        <v>651</v>
      </c>
      <c r="I153" s="98" t="s">
        <v>82</v>
      </c>
      <c r="J153" s="115" t="str">
        <f t="shared" si="24"/>
        <v/>
      </c>
      <c r="K153" s="115">
        <v>1</v>
      </c>
      <c r="L153" s="116">
        <v>169000</v>
      </c>
      <c r="M153" s="78" t="s">
        <v>521</v>
      </c>
      <c r="N153" s="98" t="s">
        <v>236</v>
      </c>
      <c r="O153" s="98" t="s">
        <v>143</v>
      </c>
      <c r="P153" s="98">
        <v>100</v>
      </c>
      <c r="Q153" s="32" t="s">
        <v>62</v>
      </c>
      <c r="R153" s="98" t="s">
        <v>220</v>
      </c>
      <c r="S153" s="32" t="s">
        <v>237</v>
      </c>
      <c r="T153" s="98" t="s">
        <v>65</v>
      </c>
      <c r="U153" s="98"/>
      <c r="V153" s="98" t="s">
        <v>66</v>
      </c>
      <c r="W153" s="98"/>
      <c r="X153" s="78" t="s">
        <v>67</v>
      </c>
      <c r="Y153" s="98" t="s">
        <v>68</v>
      </c>
      <c r="Z153" s="32" t="s">
        <v>238</v>
      </c>
      <c r="AA153" s="32" t="s">
        <v>90</v>
      </c>
      <c r="AB153" s="78" t="s">
        <v>652</v>
      </c>
      <c r="AC153" s="98" t="s">
        <v>62</v>
      </c>
      <c r="AD153" s="98" t="s">
        <v>72</v>
      </c>
      <c r="AE153" s="65" t="s">
        <v>73</v>
      </c>
      <c r="AF153" s="39" t="s">
        <v>205</v>
      </c>
      <c r="AG153" s="98" t="s">
        <v>240</v>
      </c>
      <c r="AH153" s="115">
        <v>650</v>
      </c>
      <c r="AI153" s="117" t="s">
        <v>76</v>
      </c>
      <c r="AJ153" s="115" t="s">
        <v>241</v>
      </c>
      <c r="AK153" s="73">
        <v>2443</v>
      </c>
      <c r="AL153" s="116">
        <f t="shared" si="23"/>
        <v>412867000</v>
      </c>
      <c r="AM153" s="116">
        <v>48</v>
      </c>
      <c r="AN153" s="116">
        <v>7246613</v>
      </c>
      <c r="AO153" s="116">
        <v>461</v>
      </c>
      <c r="AP153" s="116">
        <v>71497376</v>
      </c>
      <c r="AQ153" s="116">
        <f t="shared" si="28"/>
        <v>1022.8900000000001</v>
      </c>
      <c r="AR153" s="116">
        <f t="shared" si="29"/>
        <v>159038937.20000005</v>
      </c>
      <c r="AS153" s="118">
        <v>0.41870241506344663</v>
      </c>
    </row>
    <row r="154" spans="1:45" x14ac:dyDescent="0.3">
      <c r="A154" s="1" t="str">
        <f t="shared" si="22"/>
        <v>DMDJ8O056BKS</v>
      </c>
      <c r="B154" s="126" t="s">
        <v>650</v>
      </c>
      <c r="C154" s="98" t="str">
        <f t="shared" si="25"/>
        <v>DJ8O0</v>
      </c>
      <c r="D154" s="98" t="s">
        <v>55</v>
      </c>
      <c r="E154" s="98" t="str">
        <f t="shared" si="26"/>
        <v>M</v>
      </c>
      <c r="F154" s="98" t="str">
        <f t="shared" si="27"/>
        <v>DJ</v>
      </c>
      <c r="G154" s="98" t="s">
        <v>56</v>
      </c>
      <c r="H154" s="115" t="s">
        <v>651</v>
      </c>
      <c r="I154" s="98" t="s">
        <v>78</v>
      </c>
      <c r="J154" s="115" t="str">
        <f t="shared" si="24"/>
        <v/>
      </c>
      <c r="K154" s="115">
        <v>1</v>
      </c>
      <c r="L154" s="116">
        <v>169000</v>
      </c>
      <c r="M154" s="78" t="s">
        <v>521</v>
      </c>
      <c r="N154" s="98" t="s">
        <v>236</v>
      </c>
      <c r="O154" s="98" t="s">
        <v>143</v>
      </c>
      <c r="P154" s="98">
        <v>100</v>
      </c>
      <c r="Q154" s="32" t="s">
        <v>62</v>
      </c>
      <c r="R154" s="98" t="s">
        <v>220</v>
      </c>
      <c r="S154" s="32" t="s">
        <v>237</v>
      </c>
      <c r="T154" s="98" t="s">
        <v>65</v>
      </c>
      <c r="U154" s="98"/>
      <c r="V154" s="98" t="s">
        <v>66</v>
      </c>
      <c r="W154" s="98"/>
      <c r="X154" s="78" t="s">
        <v>67</v>
      </c>
      <c r="Y154" s="98" t="s">
        <v>68</v>
      </c>
      <c r="Z154" s="32" t="s">
        <v>238</v>
      </c>
      <c r="AA154" s="32" t="s">
        <v>90</v>
      </c>
      <c r="AB154" s="78" t="s">
        <v>652</v>
      </c>
      <c r="AC154" s="98" t="s">
        <v>62</v>
      </c>
      <c r="AD154" s="98" t="s">
        <v>72</v>
      </c>
      <c r="AE154" s="65" t="s">
        <v>73</v>
      </c>
      <c r="AF154" s="39" t="s">
        <v>205</v>
      </c>
      <c r="AG154" s="98" t="s">
        <v>240</v>
      </c>
      <c r="AH154" s="115">
        <v>650</v>
      </c>
      <c r="AI154" s="117" t="s">
        <v>76</v>
      </c>
      <c r="AJ154" s="115" t="s">
        <v>241</v>
      </c>
      <c r="AK154" s="73">
        <v>10630</v>
      </c>
      <c r="AL154" s="116">
        <f t="shared" si="23"/>
        <v>1796470000</v>
      </c>
      <c r="AM154" s="116">
        <v>378</v>
      </c>
      <c r="AN154" s="116">
        <v>56541888</v>
      </c>
      <c r="AO154" s="116">
        <v>4495</v>
      </c>
      <c r="AP154" s="116">
        <v>692358764</v>
      </c>
      <c r="AQ154" s="116">
        <f t="shared" si="28"/>
        <v>6939.9</v>
      </c>
      <c r="AR154" s="116">
        <f t="shared" si="29"/>
        <v>1079015652</v>
      </c>
      <c r="AS154" s="118">
        <v>0.65285983066792097</v>
      </c>
    </row>
    <row r="155" spans="1:45" x14ac:dyDescent="0.3">
      <c r="A155" s="1" t="str">
        <f t="shared" si="22"/>
        <v>DWDJ8P056DGS</v>
      </c>
      <c r="B155" s="126" t="s">
        <v>653</v>
      </c>
      <c r="C155" s="98" t="str">
        <f t="shared" si="25"/>
        <v>DJ8P0</v>
      </c>
      <c r="D155" s="98" t="s">
        <v>55</v>
      </c>
      <c r="E155" s="98" t="str">
        <f t="shared" si="26"/>
        <v>W</v>
      </c>
      <c r="F155" s="98" t="str">
        <f t="shared" si="27"/>
        <v>DJ</v>
      </c>
      <c r="G155" s="98" t="s">
        <v>56</v>
      </c>
      <c r="H155" s="115" t="s">
        <v>654</v>
      </c>
      <c r="I155" s="98" t="s">
        <v>435</v>
      </c>
      <c r="J155" s="115">
        <f t="shared" si="24"/>
        <v>1</v>
      </c>
      <c r="K155" s="115">
        <v>1</v>
      </c>
      <c r="L155" s="121">
        <v>169000</v>
      </c>
      <c r="M155" s="78" t="s">
        <v>521</v>
      </c>
      <c r="N155" s="98" t="s">
        <v>236</v>
      </c>
      <c r="O155" s="98" t="s">
        <v>143</v>
      </c>
      <c r="P155" s="98">
        <v>100</v>
      </c>
      <c r="Q155" s="32" t="s">
        <v>62</v>
      </c>
      <c r="R155" s="98" t="s">
        <v>220</v>
      </c>
      <c r="S155" s="32" t="s">
        <v>237</v>
      </c>
      <c r="T155" s="98" t="s">
        <v>65</v>
      </c>
      <c r="U155" s="98"/>
      <c r="V155" s="98" t="s">
        <v>66</v>
      </c>
      <c r="W155" s="98"/>
      <c r="X155" s="78" t="s">
        <v>67</v>
      </c>
      <c r="Y155" s="98" t="s">
        <v>68</v>
      </c>
      <c r="Z155" s="32" t="s">
        <v>238</v>
      </c>
      <c r="AA155" s="32" t="s">
        <v>90</v>
      </c>
      <c r="AB155" s="78" t="s">
        <v>652</v>
      </c>
      <c r="AC155" s="98" t="s">
        <v>62</v>
      </c>
      <c r="AD155" s="98" t="s">
        <v>72</v>
      </c>
      <c r="AE155" s="65" t="s">
        <v>73</v>
      </c>
      <c r="AF155" s="39" t="s">
        <v>308</v>
      </c>
      <c r="AG155" s="98" t="s">
        <v>240</v>
      </c>
      <c r="AH155" s="115">
        <v>650</v>
      </c>
      <c r="AI155" s="117" t="s">
        <v>76</v>
      </c>
      <c r="AJ155" s="115" t="s">
        <v>94</v>
      </c>
      <c r="AK155" s="73">
        <v>3838</v>
      </c>
      <c r="AL155" s="116">
        <f t="shared" si="23"/>
        <v>648622000</v>
      </c>
      <c r="AM155" s="116">
        <v>32</v>
      </c>
      <c r="AN155" s="116">
        <v>5242407</v>
      </c>
      <c r="AO155" s="116">
        <v>537</v>
      </c>
      <c r="AP155" s="116">
        <v>83843415</v>
      </c>
      <c r="AQ155" s="116">
        <f t="shared" si="28"/>
        <v>1419.74</v>
      </c>
      <c r="AR155" s="116">
        <f t="shared" si="29"/>
        <v>220741175.20000002</v>
      </c>
      <c r="AS155" s="118">
        <v>0.3699166232412715</v>
      </c>
    </row>
    <row r="156" spans="1:45" x14ac:dyDescent="0.3">
      <c r="A156" s="1" t="str">
        <f t="shared" si="22"/>
        <v>DWDJ8P056BKS</v>
      </c>
      <c r="B156" s="126" t="s">
        <v>655</v>
      </c>
      <c r="C156" s="98" t="str">
        <f t="shared" si="25"/>
        <v>DJ8P0</v>
      </c>
      <c r="D156" s="98" t="s">
        <v>55</v>
      </c>
      <c r="E156" s="98" t="str">
        <f t="shared" si="26"/>
        <v>W</v>
      </c>
      <c r="F156" s="98" t="str">
        <f t="shared" si="27"/>
        <v>DJ</v>
      </c>
      <c r="G156" s="98" t="s">
        <v>56</v>
      </c>
      <c r="H156" s="115" t="s">
        <v>654</v>
      </c>
      <c r="I156" s="98" t="s">
        <v>78</v>
      </c>
      <c r="J156" s="115" t="str">
        <f t="shared" si="24"/>
        <v/>
      </c>
      <c r="K156" s="115">
        <v>1</v>
      </c>
      <c r="L156" s="121">
        <v>169000</v>
      </c>
      <c r="M156" s="78" t="s">
        <v>521</v>
      </c>
      <c r="N156" s="98" t="s">
        <v>236</v>
      </c>
      <c r="O156" s="98" t="s">
        <v>143</v>
      </c>
      <c r="P156" s="98">
        <v>100</v>
      </c>
      <c r="Q156" s="32" t="s">
        <v>62</v>
      </c>
      <c r="R156" s="98" t="s">
        <v>220</v>
      </c>
      <c r="S156" s="32" t="s">
        <v>237</v>
      </c>
      <c r="T156" s="98" t="s">
        <v>65</v>
      </c>
      <c r="U156" s="98"/>
      <c r="V156" s="98" t="s">
        <v>66</v>
      </c>
      <c r="W156" s="98"/>
      <c r="X156" s="78" t="s">
        <v>67</v>
      </c>
      <c r="Y156" s="98" t="s">
        <v>68</v>
      </c>
      <c r="Z156" s="32" t="s">
        <v>238</v>
      </c>
      <c r="AA156" s="32" t="s">
        <v>90</v>
      </c>
      <c r="AB156" s="78" t="s">
        <v>652</v>
      </c>
      <c r="AC156" s="98" t="s">
        <v>62</v>
      </c>
      <c r="AD156" s="98" t="s">
        <v>72</v>
      </c>
      <c r="AE156" s="65" t="s">
        <v>73</v>
      </c>
      <c r="AF156" s="39" t="s">
        <v>308</v>
      </c>
      <c r="AG156" s="98" t="s">
        <v>240</v>
      </c>
      <c r="AH156" s="115">
        <v>650</v>
      </c>
      <c r="AI156" s="117" t="s">
        <v>76</v>
      </c>
      <c r="AJ156" s="115" t="s">
        <v>94</v>
      </c>
      <c r="AK156" s="73">
        <v>7076</v>
      </c>
      <c r="AL156" s="116">
        <f t="shared" si="23"/>
        <v>1195844000</v>
      </c>
      <c r="AM156" s="116">
        <v>159</v>
      </c>
      <c r="AN156" s="116">
        <v>25677491</v>
      </c>
      <c r="AO156" s="116">
        <v>3387</v>
      </c>
      <c r="AP156" s="116">
        <v>532905675</v>
      </c>
      <c r="AQ156" s="116">
        <f t="shared" si="28"/>
        <v>5014.4799999999996</v>
      </c>
      <c r="AR156" s="116">
        <f t="shared" si="29"/>
        <v>779651350.39999998</v>
      </c>
      <c r="AS156" s="118">
        <v>0.70866026003391747</v>
      </c>
    </row>
    <row r="157" spans="1:45" x14ac:dyDescent="0.3">
      <c r="A157" s="1" t="str">
        <f t="shared" si="22"/>
        <v>DWDJ8P056CRS</v>
      </c>
      <c r="B157" s="126" t="s">
        <v>655</v>
      </c>
      <c r="C157" s="98" t="str">
        <f t="shared" si="25"/>
        <v>DJ8P0</v>
      </c>
      <c r="D157" s="98" t="s">
        <v>55</v>
      </c>
      <c r="E157" s="98" t="str">
        <f t="shared" si="26"/>
        <v>W</v>
      </c>
      <c r="F157" s="98" t="str">
        <f t="shared" si="27"/>
        <v>DJ</v>
      </c>
      <c r="G157" s="98" t="s">
        <v>56</v>
      </c>
      <c r="H157" s="115" t="s">
        <v>654</v>
      </c>
      <c r="I157" s="98" t="s">
        <v>79</v>
      </c>
      <c r="J157" s="115" t="str">
        <f t="shared" si="24"/>
        <v/>
      </c>
      <c r="K157" s="115">
        <v>1</v>
      </c>
      <c r="L157" s="121">
        <v>169000</v>
      </c>
      <c r="M157" s="78" t="s">
        <v>521</v>
      </c>
      <c r="N157" s="98" t="s">
        <v>236</v>
      </c>
      <c r="O157" s="98" t="s">
        <v>143</v>
      </c>
      <c r="P157" s="98">
        <v>100</v>
      </c>
      <c r="Q157" s="32" t="s">
        <v>62</v>
      </c>
      <c r="R157" s="98" t="s">
        <v>220</v>
      </c>
      <c r="S157" s="32" t="s">
        <v>237</v>
      </c>
      <c r="T157" s="98" t="s">
        <v>65</v>
      </c>
      <c r="U157" s="98"/>
      <c r="V157" s="98" t="s">
        <v>66</v>
      </c>
      <c r="W157" s="98"/>
      <c r="X157" s="78" t="s">
        <v>67</v>
      </c>
      <c r="Y157" s="98" t="s">
        <v>68</v>
      </c>
      <c r="Z157" s="32" t="s">
        <v>238</v>
      </c>
      <c r="AA157" s="32" t="s">
        <v>90</v>
      </c>
      <c r="AB157" s="78" t="s">
        <v>652</v>
      </c>
      <c r="AC157" s="98" t="s">
        <v>62</v>
      </c>
      <c r="AD157" s="98" t="s">
        <v>72</v>
      </c>
      <c r="AE157" s="65" t="s">
        <v>73</v>
      </c>
      <c r="AF157" s="39" t="s">
        <v>308</v>
      </c>
      <c r="AG157" s="98" t="s">
        <v>240</v>
      </c>
      <c r="AH157" s="115">
        <v>650</v>
      </c>
      <c r="AI157" s="117" t="s">
        <v>76</v>
      </c>
      <c r="AJ157" s="115" t="s">
        <v>94</v>
      </c>
      <c r="AK157" s="73">
        <v>6380</v>
      </c>
      <c r="AL157" s="116">
        <f t="shared" si="23"/>
        <v>1078220000</v>
      </c>
      <c r="AM157" s="116">
        <v>170</v>
      </c>
      <c r="AN157" s="116">
        <v>27686571</v>
      </c>
      <c r="AO157" s="116">
        <v>2847</v>
      </c>
      <c r="AP157" s="116">
        <v>448717214</v>
      </c>
      <c r="AQ157" s="116">
        <f t="shared" si="28"/>
        <v>4314.4000000000005</v>
      </c>
      <c r="AR157" s="116">
        <f t="shared" si="29"/>
        <v>670802912</v>
      </c>
      <c r="AS157" s="118">
        <v>0.67623824451410663</v>
      </c>
    </row>
    <row r="158" spans="1:45" s="102" customFormat="1" x14ac:dyDescent="0.3">
      <c r="A158" s="101" t="str">
        <f t="shared" si="22"/>
        <v>DMDJ61056BGS</v>
      </c>
      <c r="B158" s="126" t="s">
        <v>656</v>
      </c>
      <c r="C158" s="98" t="str">
        <f t="shared" si="25"/>
        <v>DJ610</v>
      </c>
      <c r="D158" s="98" t="s">
        <v>55</v>
      </c>
      <c r="E158" s="98" t="str">
        <f t="shared" si="26"/>
        <v>M</v>
      </c>
      <c r="F158" s="98" t="str">
        <f t="shared" si="27"/>
        <v>DJ</v>
      </c>
      <c r="G158" s="98" t="s">
        <v>56</v>
      </c>
      <c r="H158" s="115" t="s">
        <v>657</v>
      </c>
      <c r="I158" s="98" t="s">
        <v>82</v>
      </c>
      <c r="J158" s="115">
        <f t="shared" si="24"/>
        <v>1</v>
      </c>
      <c r="K158" s="115">
        <v>1</v>
      </c>
      <c r="L158" s="121">
        <v>379000</v>
      </c>
      <c r="M158" s="78" t="s">
        <v>194</v>
      </c>
      <c r="N158" s="98" t="s">
        <v>261</v>
      </c>
      <c r="O158" s="98" t="s">
        <v>485</v>
      </c>
      <c r="P158" s="98">
        <v>100</v>
      </c>
      <c r="Q158" s="32" t="s">
        <v>119</v>
      </c>
      <c r="R158" s="98" t="s">
        <v>262</v>
      </c>
      <c r="S158" s="32" t="s">
        <v>263</v>
      </c>
      <c r="T158" s="98" t="s">
        <v>122</v>
      </c>
      <c r="U158" s="98" t="s">
        <v>658</v>
      </c>
      <c r="V158" s="98"/>
      <c r="W158" s="98"/>
      <c r="X158" s="78" t="s">
        <v>67</v>
      </c>
      <c r="Y158" s="98" t="s">
        <v>68</v>
      </c>
      <c r="Z158" s="32" t="s">
        <v>125</v>
      </c>
      <c r="AA158" s="32" t="s">
        <v>90</v>
      </c>
      <c r="AB158" s="78" t="s">
        <v>71</v>
      </c>
      <c r="AC158" s="98" t="s">
        <v>85</v>
      </c>
      <c r="AD158" s="98" t="s">
        <v>208</v>
      </c>
      <c r="AE158" s="65" t="s">
        <v>73</v>
      </c>
      <c r="AF158" s="39" t="s">
        <v>659</v>
      </c>
      <c r="AG158" s="98" t="s">
        <v>127</v>
      </c>
      <c r="AH158" s="115">
        <v>650</v>
      </c>
      <c r="AI158" s="117" t="s">
        <v>264</v>
      </c>
      <c r="AJ158" s="115" t="s">
        <v>241</v>
      </c>
      <c r="AK158" s="73">
        <v>1162</v>
      </c>
      <c r="AL158" s="116">
        <f t="shared" si="23"/>
        <v>440398000</v>
      </c>
      <c r="AM158" s="116">
        <v>127</v>
      </c>
      <c r="AN158" s="116">
        <v>39856702</v>
      </c>
      <c r="AO158" s="116">
        <v>399</v>
      </c>
      <c r="AP158" s="116">
        <v>136825174</v>
      </c>
      <c r="AQ158" s="116">
        <f t="shared" si="28"/>
        <v>805.69999999999993</v>
      </c>
      <c r="AR158" s="116">
        <f t="shared" si="29"/>
        <v>280931475.99999994</v>
      </c>
      <c r="AS158" s="118">
        <v>0.69337349397590353</v>
      </c>
    </row>
    <row r="159" spans="1:45" s="102" customFormat="1" x14ac:dyDescent="0.3">
      <c r="A159" s="101" t="str">
        <f t="shared" si="22"/>
        <v>DMDJ61056GRD</v>
      </c>
      <c r="B159" s="126" t="s">
        <v>656</v>
      </c>
      <c r="C159" s="98" t="str">
        <f t="shared" si="25"/>
        <v>DJ610</v>
      </c>
      <c r="D159" s="98" t="s">
        <v>55</v>
      </c>
      <c r="E159" s="98" t="str">
        <f t="shared" si="26"/>
        <v>M</v>
      </c>
      <c r="F159" s="98" t="str">
        <f t="shared" si="27"/>
        <v>DJ</v>
      </c>
      <c r="G159" s="98" t="s">
        <v>56</v>
      </c>
      <c r="H159" s="115" t="s">
        <v>657</v>
      </c>
      <c r="I159" s="98" t="s">
        <v>215</v>
      </c>
      <c r="J159" s="115" t="str">
        <f t="shared" si="24"/>
        <v/>
      </c>
      <c r="K159" s="115">
        <v>1</v>
      </c>
      <c r="L159" s="121">
        <v>379000</v>
      </c>
      <c r="M159" s="78" t="s">
        <v>194</v>
      </c>
      <c r="N159" s="98" t="s">
        <v>261</v>
      </c>
      <c r="O159" s="98" t="s">
        <v>485</v>
      </c>
      <c r="P159" s="98">
        <v>100</v>
      </c>
      <c r="Q159" s="32" t="s">
        <v>119</v>
      </c>
      <c r="R159" s="98" t="s">
        <v>262</v>
      </c>
      <c r="S159" s="32" t="s">
        <v>263</v>
      </c>
      <c r="T159" s="98" t="s">
        <v>122</v>
      </c>
      <c r="U159" s="98" t="s">
        <v>658</v>
      </c>
      <c r="V159" s="98"/>
      <c r="W159" s="98"/>
      <c r="X159" s="78" t="s">
        <v>67</v>
      </c>
      <c r="Y159" s="98" t="s">
        <v>68</v>
      </c>
      <c r="Z159" s="32" t="s">
        <v>125</v>
      </c>
      <c r="AA159" s="32" t="s">
        <v>90</v>
      </c>
      <c r="AB159" s="78" t="s">
        <v>71</v>
      </c>
      <c r="AC159" s="98" t="s">
        <v>85</v>
      </c>
      <c r="AD159" s="98" t="s">
        <v>208</v>
      </c>
      <c r="AE159" s="65" t="s">
        <v>73</v>
      </c>
      <c r="AF159" s="39" t="s">
        <v>659</v>
      </c>
      <c r="AG159" s="98" t="s">
        <v>127</v>
      </c>
      <c r="AH159" s="115">
        <v>650</v>
      </c>
      <c r="AI159" s="117" t="s">
        <v>264</v>
      </c>
      <c r="AJ159" s="115" t="s">
        <v>241</v>
      </c>
      <c r="AK159" s="72">
        <f>2135+1500</f>
        <v>3635</v>
      </c>
      <c r="AL159" s="116">
        <f t="shared" si="23"/>
        <v>1377665000</v>
      </c>
      <c r="AM159" s="116">
        <v>333</v>
      </c>
      <c r="AN159" s="116">
        <v>109563390</v>
      </c>
      <c r="AO159" s="116">
        <v>1183</v>
      </c>
      <c r="AP159" s="116">
        <v>419300776</v>
      </c>
      <c r="AQ159" s="116">
        <f t="shared" si="28"/>
        <v>2908</v>
      </c>
      <c r="AR159" s="116">
        <f t="shared" si="29"/>
        <v>1013961440</v>
      </c>
      <c r="AS159" s="70">
        <v>0.8</v>
      </c>
    </row>
    <row r="160" spans="1:45" s="102" customFormat="1" x14ac:dyDescent="0.3">
      <c r="A160" s="101" t="str">
        <f t="shared" si="22"/>
        <v>DMDJ61056BKS</v>
      </c>
      <c r="B160" s="126" t="s">
        <v>656</v>
      </c>
      <c r="C160" s="98" t="str">
        <f t="shared" si="25"/>
        <v>DJ610</v>
      </c>
      <c r="D160" s="98" t="s">
        <v>55</v>
      </c>
      <c r="E160" s="98" t="str">
        <f t="shared" si="26"/>
        <v>M</v>
      </c>
      <c r="F160" s="98" t="str">
        <f t="shared" si="27"/>
        <v>DJ</v>
      </c>
      <c r="G160" s="98" t="s">
        <v>56</v>
      </c>
      <c r="H160" s="115" t="s">
        <v>657</v>
      </c>
      <c r="I160" s="98" t="s">
        <v>78</v>
      </c>
      <c r="J160" s="115" t="str">
        <f t="shared" si="24"/>
        <v/>
      </c>
      <c r="K160" s="115">
        <v>1</v>
      </c>
      <c r="L160" s="121">
        <v>379000</v>
      </c>
      <c r="M160" s="78" t="s">
        <v>194</v>
      </c>
      <c r="N160" s="98" t="s">
        <v>261</v>
      </c>
      <c r="O160" s="98" t="s">
        <v>485</v>
      </c>
      <c r="P160" s="98">
        <v>100</v>
      </c>
      <c r="Q160" s="32" t="s">
        <v>119</v>
      </c>
      <c r="R160" s="98" t="s">
        <v>262</v>
      </c>
      <c r="S160" s="32" t="s">
        <v>263</v>
      </c>
      <c r="T160" s="98" t="s">
        <v>122</v>
      </c>
      <c r="U160" s="98" t="s">
        <v>658</v>
      </c>
      <c r="V160" s="98"/>
      <c r="W160" s="98"/>
      <c r="X160" s="78" t="s">
        <v>67</v>
      </c>
      <c r="Y160" s="98" t="s">
        <v>68</v>
      </c>
      <c r="Z160" s="32" t="s">
        <v>125</v>
      </c>
      <c r="AA160" s="32" t="s">
        <v>90</v>
      </c>
      <c r="AB160" s="78" t="s">
        <v>71</v>
      </c>
      <c r="AC160" s="98" t="s">
        <v>85</v>
      </c>
      <c r="AD160" s="98" t="s">
        <v>208</v>
      </c>
      <c r="AE160" s="65" t="s">
        <v>73</v>
      </c>
      <c r="AF160" s="39" t="s">
        <v>659</v>
      </c>
      <c r="AG160" s="98" t="s">
        <v>127</v>
      </c>
      <c r="AH160" s="115">
        <v>650</v>
      </c>
      <c r="AI160" s="117" t="s">
        <v>264</v>
      </c>
      <c r="AJ160" s="115" t="s">
        <v>241</v>
      </c>
      <c r="AK160" s="73">
        <v>17931</v>
      </c>
      <c r="AL160" s="116">
        <f t="shared" si="23"/>
        <v>6795849000</v>
      </c>
      <c r="AM160" s="116">
        <v>2025</v>
      </c>
      <c r="AN160" s="116">
        <v>677189102</v>
      </c>
      <c r="AO160" s="116">
        <v>6473</v>
      </c>
      <c r="AP160" s="116">
        <v>2280698823</v>
      </c>
      <c r="AQ160" s="116">
        <f t="shared" si="28"/>
        <v>12748.849999999999</v>
      </c>
      <c r="AR160" s="116">
        <f t="shared" si="29"/>
        <v>4445269018</v>
      </c>
      <c r="AS160" s="118">
        <v>0.71099492499024031</v>
      </c>
    </row>
    <row r="161" spans="1:45" s="102" customFormat="1" x14ac:dyDescent="0.3">
      <c r="A161" s="101" t="str">
        <f t="shared" si="22"/>
        <v>DMDJ61056IND</v>
      </c>
      <c r="B161" s="126" t="s">
        <v>656</v>
      </c>
      <c r="C161" s="98" t="str">
        <f t="shared" si="25"/>
        <v>DJ610</v>
      </c>
      <c r="D161" s="98" t="s">
        <v>55</v>
      </c>
      <c r="E161" s="98" t="str">
        <f t="shared" si="26"/>
        <v>M</v>
      </c>
      <c r="F161" s="98" t="str">
        <f t="shared" si="27"/>
        <v>DJ</v>
      </c>
      <c r="G161" s="98" t="s">
        <v>56</v>
      </c>
      <c r="H161" s="115" t="s">
        <v>657</v>
      </c>
      <c r="I161" s="98" t="s">
        <v>660</v>
      </c>
      <c r="J161" s="115" t="str">
        <f t="shared" si="24"/>
        <v/>
      </c>
      <c r="K161" s="115">
        <v>1</v>
      </c>
      <c r="L161" s="121">
        <v>379000</v>
      </c>
      <c r="M161" s="78" t="s">
        <v>194</v>
      </c>
      <c r="N161" s="98" t="s">
        <v>261</v>
      </c>
      <c r="O161" s="98" t="s">
        <v>485</v>
      </c>
      <c r="P161" s="98">
        <v>100</v>
      </c>
      <c r="Q161" s="32" t="s">
        <v>119</v>
      </c>
      <c r="R161" s="98" t="s">
        <v>262</v>
      </c>
      <c r="S161" s="32" t="s">
        <v>263</v>
      </c>
      <c r="T161" s="98" t="s">
        <v>122</v>
      </c>
      <c r="U161" s="98" t="s">
        <v>658</v>
      </c>
      <c r="V161" s="98"/>
      <c r="W161" s="98"/>
      <c r="X161" s="78" t="s">
        <v>67</v>
      </c>
      <c r="Y161" s="98" t="s">
        <v>68</v>
      </c>
      <c r="Z161" s="32" t="s">
        <v>125</v>
      </c>
      <c r="AA161" s="32" t="s">
        <v>90</v>
      </c>
      <c r="AB161" s="78" t="s">
        <v>71</v>
      </c>
      <c r="AC161" s="98" t="s">
        <v>85</v>
      </c>
      <c r="AD161" s="98" t="s">
        <v>208</v>
      </c>
      <c r="AE161" s="65" t="s">
        <v>73</v>
      </c>
      <c r="AF161" s="39" t="s">
        <v>659</v>
      </c>
      <c r="AG161" s="98" t="s">
        <v>127</v>
      </c>
      <c r="AH161" s="115">
        <v>650</v>
      </c>
      <c r="AI161" s="117" t="s">
        <v>264</v>
      </c>
      <c r="AJ161" s="115" t="s">
        <v>241</v>
      </c>
      <c r="AK161" s="73">
        <v>952</v>
      </c>
      <c r="AL161" s="116">
        <f t="shared" si="23"/>
        <v>360808000</v>
      </c>
      <c r="AM161" s="116">
        <v>145</v>
      </c>
      <c r="AN161" s="116">
        <v>43280027</v>
      </c>
      <c r="AO161" s="116">
        <v>609</v>
      </c>
      <c r="AP161" s="116">
        <v>212620042</v>
      </c>
      <c r="AQ161" s="116">
        <f t="shared" si="28"/>
        <v>942.19999999999993</v>
      </c>
      <c r="AR161" s="116">
        <f t="shared" si="29"/>
        <v>328526296</v>
      </c>
      <c r="AS161" s="118">
        <v>0.9897058823529411</v>
      </c>
    </row>
    <row r="162" spans="1:45" s="102" customFormat="1" x14ac:dyDescent="0.3">
      <c r="A162" s="101" t="str">
        <f t="shared" si="22"/>
        <v>DMDJ61056GRL</v>
      </c>
      <c r="B162" s="126" t="s">
        <v>656</v>
      </c>
      <c r="C162" s="98" t="str">
        <f t="shared" si="25"/>
        <v>DJ610</v>
      </c>
      <c r="D162" s="98" t="s">
        <v>55</v>
      </c>
      <c r="E162" s="98" t="str">
        <f t="shared" si="26"/>
        <v>M</v>
      </c>
      <c r="F162" s="98" t="str">
        <f t="shared" si="27"/>
        <v>DJ</v>
      </c>
      <c r="G162" s="98" t="s">
        <v>56</v>
      </c>
      <c r="H162" s="115" t="s">
        <v>657</v>
      </c>
      <c r="I162" s="98" t="s">
        <v>113</v>
      </c>
      <c r="J162" s="115" t="str">
        <f t="shared" si="24"/>
        <v/>
      </c>
      <c r="K162" s="115">
        <v>1</v>
      </c>
      <c r="L162" s="121">
        <v>379000</v>
      </c>
      <c r="M162" s="78" t="s">
        <v>194</v>
      </c>
      <c r="N162" s="98" t="s">
        <v>261</v>
      </c>
      <c r="O162" s="98" t="s">
        <v>485</v>
      </c>
      <c r="P162" s="98">
        <v>100</v>
      </c>
      <c r="Q162" s="32" t="s">
        <v>119</v>
      </c>
      <c r="R162" s="98" t="s">
        <v>262</v>
      </c>
      <c r="S162" s="32" t="s">
        <v>263</v>
      </c>
      <c r="T162" s="98" t="s">
        <v>122</v>
      </c>
      <c r="U162" s="98" t="s">
        <v>658</v>
      </c>
      <c r="V162" s="98"/>
      <c r="W162" s="98"/>
      <c r="X162" s="78" t="s">
        <v>67</v>
      </c>
      <c r="Y162" s="98" t="s">
        <v>68</v>
      </c>
      <c r="Z162" s="32" t="s">
        <v>125</v>
      </c>
      <c r="AA162" s="32" t="s">
        <v>90</v>
      </c>
      <c r="AB162" s="78" t="s">
        <v>71</v>
      </c>
      <c r="AC162" s="98" t="s">
        <v>85</v>
      </c>
      <c r="AD162" s="98" t="s">
        <v>208</v>
      </c>
      <c r="AE162" s="65" t="s">
        <v>73</v>
      </c>
      <c r="AF162" s="39" t="s">
        <v>659</v>
      </c>
      <c r="AG162" s="98" t="s">
        <v>127</v>
      </c>
      <c r="AH162" s="115">
        <v>650</v>
      </c>
      <c r="AI162" s="117" t="s">
        <v>264</v>
      </c>
      <c r="AJ162" s="115" t="s">
        <v>241</v>
      </c>
      <c r="AK162" s="72">
        <f>2011+1500</f>
        <v>3511</v>
      </c>
      <c r="AL162" s="116">
        <f t="shared" si="23"/>
        <v>1330669000</v>
      </c>
      <c r="AM162" s="116">
        <v>239</v>
      </c>
      <c r="AN162" s="116">
        <v>76814404</v>
      </c>
      <c r="AO162" s="116">
        <v>921</v>
      </c>
      <c r="AP162" s="116">
        <v>324198587</v>
      </c>
      <c r="AQ162" s="116">
        <f t="shared" si="28"/>
        <v>2808.8</v>
      </c>
      <c r="AR162" s="116">
        <f t="shared" si="29"/>
        <v>979372384</v>
      </c>
      <c r="AS162" s="70">
        <v>0.8</v>
      </c>
    </row>
    <row r="163" spans="1:45" s="102" customFormat="1" x14ac:dyDescent="0.3">
      <c r="A163" s="101" t="str">
        <f t="shared" si="22"/>
        <v>DWDJ62056IND</v>
      </c>
      <c r="B163" s="126" t="s">
        <v>661</v>
      </c>
      <c r="C163" s="98" t="str">
        <f t="shared" si="25"/>
        <v>DJ620</v>
      </c>
      <c r="D163" s="98" t="s">
        <v>55</v>
      </c>
      <c r="E163" s="98" t="str">
        <f t="shared" si="26"/>
        <v>W</v>
      </c>
      <c r="F163" s="98" t="str">
        <f t="shared" si="27"/>
        <v>DJ</v>
      </c>
      <c r="G163" s="98" t="s">
        <v>56</v>
      </c>
      <c r="H163" s="115" t="s">
        <v>662</v>
      </c>
      <c r="I163" s="98" t="s">
        <v>660</v>
      </c>
      <c r="J163" s="115">
        <f t="shared" si="24"/>
        <v>1</v>
      </c>
      <c r="K163" s="115">
        <v>1</v>
      </c>
      <c r="L163" s="121">
        <v>379000</v>
      </c>
      <c r="M163" s="78" t="s">
        <v>194</v>
      </c>
      <c r="N163" s="98" t="s">
        <v>261</v>
      </c>
      <c r="O163" s="98" t="s">
        <v>485</v>
      </c>
      <c r="P163" s="98">
        <v>100</v>
      </c>
      <c r="Q163" s="32" t="s">
        <v>119</v>
      </c>
      <c r="R163" s="98" t="s">
        <v>262</v>
      </c>
      <c r="S163" s="32" t="s">
        <v>263</v>
      </c>
      <c r="T163" s="98" t="s">
        <v>122</v>
      </c>
      <c r="U163" s="98" t="s">
        <v>658</v>
      </c>
      <c r="V163" s="98"/>
      <c r="W163" s="98"/>
      <c r="X163" s="78" t="s">
        <v>67</v>
      </c>
      <c r="Y163" s="98" t="s">
        <v>68</v>
      </c>
      <c r="Z163" s="32" t="s">
        <v>125</v>
      </c>
      <c r="AA163" s="32" t="s">
        <v>90</v>
      </c>
      <c r="AB163" s="78" t="s">
        <v>71</v>
      </c>
      <c r="AC163" s="98" t="s">
        <v>85</v>
      </c>
      <c r="AD163" s="98" t="s">
        <v>208</v>
      </c>
      <c r="AE163" s="65" t="s">
        <v>73</v>
      </c>
      <c r="AF163" s="39" t="s">
        <v>663</v>
      </c>
      <c r="AG163" s="98" t="s">
        <v>127</v>
      </c>
      <c r="AH163" s="115">
        <v>650</v>
      </c>
      <c r="AI163" s="117" t="s">
        <v>264</v>
      </c>
      <c r="AJ163" s="115" t="s">
        <v>241</v>
      </c>
      <c r="AK163" s="73">
        <v>996</v>
      </c>
      <c r="AL163" s="116">
        <f t="shared" si="23"/>
        <v>377484000</v>
      </c>
      <c r="AM163" s="116">
        <v>49</v>
      </c>
      <c r="AN163" s="116">
        <v>15839999</v>
      </c>
      <c r="AO163" s="116">
        <v>202</v>
      </c>
      <c r="AP163" s="116">
        <v>71459081</v>
      </c>
      <c r="AQ163" s="116">
        <f t="shared" si="28"/>
        <v>550.59999999999991</v>
      </c>
      <c r="AR163" s="116">
        <f t="shared" si="29"/>
        <v>191983207.99999997</v>
      </c>
      <c r="AS163" s="118">
        <v>0.55281124497991962</v>
      </c>
    </row>
    <row r="164" spans="1:45" s="102" customFormat="1" x14ac:dyDescent="0.3">
      <c r="A164" s="101" t="str">
        <f t="shared" si="22"/>
        <v>DWDJ62056GRL</v>
      </c>
      <c r="B164" s="126" t="s">
        <v>661</v>
      </c>
      <c r="C164" s="98" t="str">
        <f t="shared" si="25"/>
        <v>DJ620</v>
      </c>
      <c r="D164" s="98" t="s">
        <v>55</v>
      </c>
      <c r="E164" s="98" t="str">
        <f t="shared" si="26"/>
        <v>W</v>
      </c>
      <c r="F164" s="98" t="str">
        <f t="shared" si="27"/>
        <v>DJ</v>
      </c>
      <c r="G164" s="98" t="s">
        <v>56</v>
      </c>
      <c r="H164" s="115" t="s">
        <v>662</v>
      </c>
      <c r="I164" s="98" t="s">
        <v>113</v>
      </c>
      <c r="J164" s="115" t="str">
        <f t="shared" si="24"/>
        <v/>
      </c>
      <c r="K164" s="115">
        <v>1</v>
      </c>
      <c r="L164" s="121">
        <v>379000</v>
      </c>
      <c r="M164" s="78" t="s">
        <v>194</v>
      </c>
      <c r="N164" s="98" t="s">
        <v>261</v>
      </c>
      <c r="O164" s="98" t="s">
        <v>485</v>
      </c>
      <c r="P164" s="98">
        <v>100</v>
      </c>
      <c r="Q164" s="32" t="s">
        <v>119</v>
      </c>
      <c r="R164" s="98" t="s">
        <v>262</v>
      </c>
      <c r="S164" s="32" t="s">
        <v>263</v>
      </c>
      <c r="T164" s="98" t="s">
        <v>122</v>
      </c>
      <c r="U164" s="98" t="s">
        <v>658</v>
      </c>
      <c r="V164" s="98"/>
      <c r="W164" s="98"/>
      <c r="X164" s="78" t="s">
        <v>67</v>
      </c>
      <c r="Y164" s="98" t="s">
        <v>68</v>
      </c>
      <c r="Z164" s="32" t="s">
        <v>125</v>
      </c>
      <c r="AA164" s="32" t="s">
        <v>90</v>
      </c>
      <c r="AB164" s="78" t="s">
        <v>71</v>
      </c>
      <c r="AC164" s="98" t="s">
        <v>85</v>
      </c>
      <c r="AD164" s="98" t="s">
        <v>208</v>
      </c>
      <c r="AE164" s="65" t="s">
        <v>73</v>
      </c>
      <c r="AF164" s="39" t="s">
        <v>663</v>
      </c>
      <c r="AG164" s="98" t="s">
        <v>127</v>
      </c>
      <c r="AH164" s="115">
        <v>650</v>
      </c>
      <c r="AI164" s="117" t="s">
        <v>264</v>
      </c>
      <c r="AJ164" s="115" t="s">
        <v>241</v>
      </c>
      <c r="AK164" s="72">
        <f>1583+1500</f>
        <v>3083</v>
      </c>
      <c r="AL164" s="116">
        <f t="shared" si="23"/>
        <v>1168457000</v>
      </c>
      <c r="AM164" s="116">
        <v>193</v>
      </c>
      <c r="AN164" s="116">
        <v>60696873</v>
      </c>
      <c r="AO164" s="116">
        <v>1084</v>
      </c>
      <c r="AP164" s="116">
        <v>388492028</v>
      </c>
      <c r="AQ164" s="116">
        <f t="shared" si="28"/>
        <v>2466.4</v>
      </c>
      <c r="AR164" s="116">
        <f t="shared" si="29"/>
        <v>859984352</v>
      </c>
      <c r="AS164" s="70">
        <v>0.8</v>
      </c>
    </row>
    <row r="165" spans="1:45" s="102" customFormat="1" x14ac:dyDescent="0.3">
      <c r="A165" s="101" t="str">
        <f t="shared" si="22"/>
        <v>DWDJ62056BGS</v>
      </c>
      <c r="B165" s="126" t="s">
        <v>661</v>
      </c>
      <c r="C165" s="98" t="str">
        <f t="shared" si="25"/>
        <v>DJ620</v>
      </c>
      <c r="D165" s="98" t="s">
        <v>55</v>
      </c>
      <c r="E165" s="98" t="str">
        <f t="shared" si="26"/>
        <v>W</v>
      </c>
      <c r="F165" s="98" t="str">
        <f t="shared" si="27"/>
        <v>DJ</v>
      </c>
      <c r="G165" s="98" t="s">
        <v>56</v>
      </c>
      <c r="H165" s="115" t="s">
        <v>662</v>
      </c>
      <c r="I165" s="98" t="s">
        <v>82</v>
      </c>
      <c r="J165" s="115" t="str">
        <f t="shared" si="24"/>
        <v/>
      </c>
      <c r="K165" s="115">
        <v>1</v>
      </c>
      <c r="L165" s="121">
        <v>379000</v>
      </c>
      <c r="M165" s="78" t="s">
        <v>194</v>
      </c>
      <c r="N165" s="98" t="s">
        <v>261</v>
      </c>
      <c r="O165" s="98" t="s">
        <v>485</v>
      </c>
      <c r="P165" s="98">
        <v>100</v>
      </c>
      <c r="Q165" s="32" t="s">
        <v>119</v>
      </c>
      <c r="R165" s="98" t="s">
        <v>262</v>
      </c>
      <c r="S165" s="32" t="s">
        <v>263</v>
      </c>
      <c r="T165" s="98" t="s">
        <v>122</v>
      </c>
      <c r="U165" s="98" t="s">
        <v>658</v>
      </c>
      <c r="V165" s="98"/>
      <c r="W165" s="98"/>
      <c r="X165" s="78" t="s">
        <v>67</v>
      </c>
      <c r="Y165" s="98" t="s">
        <v>68</v>
      </c>
      <c r="Z165" s="32" t="s">
        <v>125</v>
      </c>
      <c r="AA165" s="32" t="s">
        <v>90</v>
      </c>
      <c r="AB165" s="78" t="s">
        <v>71</v>
      </c>
      <c r="AC165" s="98" t="s">
        <v>85</v>
      </c>
      <c r="AD165" s="98" t="s">
        <v>208</v>
      </c>
      <c r="AE165" s="65" t="s">
        <v>73</v>
      </c>
      <c r="AF165" s="39" t="s">
        <v>663</v>
      </c>
      <c r="AG165" s="98" t="s">
        <v>127</v>
      </c>
      <c r="AH165" s="115">
        <v>650</v>
      </c>
      <c r="AI165" s="117" t="s">
        <v>264</v>
      </c>
      <c r="AJ165" s="115" t="s">
        <v>241</v>
      </c>
      <c r="AK165" s="73">
        <v>946</v>
      </c>
      <c r="AL165" s="116">
        <f t="shared" si="23"/>
        <v>358534000</v>
      </c>
      <c r="AM165" s="116">
        <v>66</v>
      </c>
      <c r="AN165" s="116">
        <v>20313727</v>
      </c>
      <c r="AO165" s="116">
        <v>275</v>
      </c>
      <c r="AP165" s="116">
        <v>96528591</v>
      </c>
      <c r="AQ165" s="116">
        <f t="shared" si="28"/>
        <v>606.09999999999991</v>
      </c>
      <c r="AR165" s="116">
        <f t="shared" si="29"/>
        <v>211334947.99999997</v>
      </c>
      <c r="AS165" s="118">
        <v>0.64069767441860459</v>
      </c>
    </row>
    <row r="166" spans="1:45" s="102" customFormat="1" x14ac:dyDescent="0.3">
      <c r="A166" s="101" t="str">
        <f t="shared" si="22"/>
        <v>DWDJ62056CRS</v>
      </c>
      <c r="B166" s="126" t="s">
        <v>661</v>
      </c>
      <c r="C166" s="98" t="str">
        <f t="shared" si="25"/>
        <v>DJ620</v>
      </c>
      <c r="D166" s="98" t="s">
        <v>55</v>
      </c>
      <c r="E166" s="98" t="str">
        <f t="shared" si="26"/>
        <v>W</v>
      </c>
      <c r="F166" s="98" t="str">
        <f t="shared" si="27"/>
        <v>DJ</v>
      </c>
      <c r="G166" s="98" t="s">
        <v>56</v>
      </c>
      <c r="H166" s="115" t="s">
        <v>662</v>
      </c>
      <c r="I166" s="98" t="s">
        <v>79</v>
      </c>
      <c r="J166" s="115" t="str">
        <f t="shared" si="24"/>
        <v/>
      </c>
      <c r="K166" s="115">
        <v>1</v>
      </c>
      <c r="L166" s="121">
        <v>379000</v>
      </c>
      <c r="M166" s="78" t="s">
        <v>194</v>
      </c>
      <c r="N166" s="98" t="s">
        <v>261</v>
      </c>
      <c r="O166" s="98" t="s">
        <v>485</v>
      </c>
      <c r="P166" s="98">
        <v>100</v>
      </c>
      <c r="Q166" s="32" t="s">
        <v>119</v>
      </c>
      <c r="R166" s="98" t="s">
        <v>262</v>
      </c>
      <c r="S166" s="32" t="s">
        <v>263</v>
      </c>
      <c r="T166" s="98" t="s">
        <v>122</v>
      </c>
      <c r="U166" s="98" t="s">
        <v>658</v>
      </c>
      <c r="V166" s="98"/>
      <c r="W166" s="98"/>
      <c r="X166" s="78" t="s">
        <v>67</v>
      </c>
      <c r="Y166" s="98" t="s">
        <v>68</v>
      </c>
      <c r="Z166" s="32" t="s">
        <v>125</v>
      </c>
      <c r="AA166" s="32" t="s">
        <v>90</v>
      </c>
      <c r="AB166" s="78" t="s">
        <v>71</v>
      </c>
      <c r="AC166" s="98" t="s">
        <v>85</v>
      </c>
      <c r="AD166" s="98" t="s">
        <v>208</v>
      </c>
      <c r="AE166" s="65" t="s">
        <v>73</v>
      </c>
      <c r="AF166" s="39" t="s">
        <v>663</v>
      </c>
      <c r="AG166" s="98" t="s">
        <v>127</v>
      </c>
      <c r="AH166" s="115">
        <v>650</v>
      </c>
      <c r="AI166" s="117" t="s">
        <v>264</v>
      </c>
      <c r="AJ166" s="115" t="s">
        <v>241</v>
      </c>
      <c r="AK166" s="73">
        <v>2337</v>
      </c>
      <c r="AL166" s="116">
        <f t="shared" si="23"/>
        <v>885723000</v>
      </c>
      <c r="AM166" s="116">
        <v>218</v>
      </c>
      <c r="AN166" s="116">
        <v>65942407</v>
      </c>
      <c r="AO166" s="116">
        <v>747</v>
      </c>
      <c r="AP166" s="116">
        <v>258838939</v>
      </c>
      <c r="AQ166" s="116">
        <f t="shared" si="28"/>
        <v>1564.9499999999998</v>
      </c>
      <c r="AR166" s="116">
        <f t="shared" si="29"/>
        <v>545666766</v>
      </c>
      <c r="AS166" s="118">
        <v>0.66964056482670087</v>
      </c>
    </row>
    <row r="167" spans="1:45" s="102" customFormat="1" x14ac:dyDescent="0.3">
      <c r="A167" s="101" t="str">
        <f t="shared" si="22"/>
        <v>DWDJ62056BKS</v>
      </c>
      <c r="B167" s="126" t="s">
        <v>661</v>
      </c>
      <c r="C167" s="98" t="str">
        <f t="shared" si="25"/>
        <v>DJ620</v>
      </c>
      <c r="D167" s="98" t="s">
        <v>55</v>
      </c>
      <c r="E167" s="98" t="str">
        <f t="shared" si="26"/>
        <v>W</v>
      </c>
      <c r="F167" s="98" t="str">
        <f t="shared" si="27"/>
        <v>DJ</v>
      </c>
      <c r="G167" s="98" t="s">
        <v>56</v>
      </c>
      <c r="H167" s="115" t="s">
        <v>662</v>
      </c>
      <c r="I167" s="98" t="s">
        <v>78</v>
      </c>
      <c r="J167" s="115" t="str">
        <f t="shared" si="24"/>
        <v/>
      </c>
      <c r="K167" s="115">
        <v>1</v>
      </c>
      <c r="L167" s="121">
        <v>379000</v>
      </c>
      <c r="M167" s="78" t="s">
        <v>194</v>
      </c>
      <c r="N167" s="98" t="s">
        <v>261</v>
      </c>
      <c r="O167" s="98" t="s">
        <v>485</v>
      </c>
      <c r="P167" s="98">
        <v>100</v>
      </c>
      <c r="Q167" s="32" t="s">
        <v>119</v>
      </c>
      <c r="R167" s="98" t="s">
        <v>262</v>
      </c>
      <c r="S167" s="32" t="s">
        <v>263</v>
      </c>
      <c r="T167" s="98" t="s">
        <v>122</v>
      </c>
      <c r="U167" s="98" t="s">
        <v>658</v>
      </c>
      <c r="V167" s="98"/>
      <c r="W167" s="98"/>
      <c r="X167" s="78" t="s">
        <v>67</v>
      </c>
      <c r="Y167" s="98" t="s">
        <v>68</v>
      </c>
      <c r="Z167" s="32" t="s">
        <v>125</v>
      </c>
      <c r="AA167" s="32" t="s">
        <v>90</v>
      </c>
      <c r="AB167" s="78" t="s">
        <v>71</v>
      </c>
      <c r="AC167" s="98" t="s">
        <v>85</v>
      </c>
      <c r="AD167" s="98" t="s">
        <v>208</v>
      </c>
      <c r="AE167" s="65" t="s">
        <v>73</v>
      </c>
      <c r="AF167" s="39" t="s">
        <v>663</v>
      </c>
      <c r="AG167" s="98" t="s">
        <v>127</v>
      </c>
      <c r="AH167" s="115">
        <v>650</v>
      </c>
      <c r="AI167" s="117" t="s">
        <v>264</v>
      </c>
      <c r="AJ167" s="115" t="s">
        <v>241</v>
      </c>
      <c r="AK167" s="73">
        <v>10969</v>
      </c>
      <c r="AL167" s="116">
        <f t="shared" si="23"/>
        <v>4157251000</v>
      </c>
      <c r="AM167" s="116">
        <v>1010</v>
      </c>
      <c r="AN167" s="116">
        <v>340999192</v>
      </c>
      <c r="AO167" s="116">
        <v>3803</v>
      </c>
      <c r="AP167" s="116">
        <v>1362161802</v>
      </c>
      <c r="AQ167" s="116">
        <f t="shared" si="28"/>
        <v>7642.15</v>
      </c>
      <c r="AR167" s="116">
        <f t="shared" si="29"/>
        <v>2664664862</v>
      </c>
      <c r="AS167" s="118">
        <v>0.6967043486188349</v>
      </c>
    </row>
    <row r="168" spans="1:45" x14ac:dyDescent="0.3">
      <c r="A168" s="1" t="str">
        <f t="shared" si="22"/>
        <v>DMDJ63056BKS</v>
      </c>
      <c r="B168" s="126" t="s">
        <v>664</v>
      </c>
      <c r="C168" s="98" t="str">
        <f t="shared" si="25"/>
        <v>DJ630</v>
      </c>
      <c r="D168" s="98" t="s">
        <v>55</v>
      </c>
      <c r="E168" s="98" t="str">
        <f t="shared" si="26"/>
        <v>M</v>
      </c>
      <c r="F168" s="98" t="str">
        <f t="shared" si="27"/>
        <v>DJ</v>
      </c>
      <c r="G168" s="98" t="s">
        <v>56</v>
      </c>
      <c r="H168" s="115" t="s">
        <v>665</v>
      </c>
      <c r="I168" s="98" t="s">
        <v>78</v>
      </c>
      <c r="J168" s="115">
        <f t="shared" si="24"/>
        <v>1</v>
      </c>
      <c r="K168" s="115">
        <v>1</v>
      </c>
      <c r="L168" s="121">
        <v>369000</v>
      </c>
      <c r="M168" s="78" t="s">
        <v>194</v>
      </c>
      <c r="N168" s="98" t="s">
        <v>261</v>
      </c>
      <c r="O168" s="98" t="s">
        <v>485</v>
      </c>
      <c r="P168" s="98">
        <v>100</v>
      </c>
      <c r="Q168" s="32" t="s">
        <v>119</v>
      </c>
      <c r="R168" s="98" t="s">
        <v>262</v>
      </c>
      <c r="S168" s="32" t="s">
        <v>263</v>
      </c>
      <c r="T168" s="98" t="s">
        <v>122</v>
      </c>
      <c r="U168" s="98" t="s">
        <v>207</v>
      </c>
      <c r="V168" s="98"/>
      <c r="W168" s="98"/>
      <c r="X168" s="78" t="s">
        <v>67</v>
      </c>
      <c r="Y168" s="98" t="s">
        <v>68</v>
      </c>
      <c r="Z168" s="32" t="s">
        <v>125</v>
      </c>
      <c r="AA168" s="32" t="s">
        <v>90</v>
      </c>
      <c r="AB168" s="78" t="s">
        <v>71</v>
      </c>
      <c r="AC168" s="98" t="s">
        <v>85</v>
      </c>
      <c r="AD168" s="98" t="s">
        <v>208</v>
      </c>
      <c r="AE168" s="65" t="s">
        <v>73</v>
      </c>
      <c r="AF168" s="39" t="s">
        <v>557</v>
      </c>
      <c r="AG168" s="98" t="s">
        <v>127</v>
      </c>
      <c r="AH168" s="115">
        <v>650</v>
      </c>
      <c r="AI168" s="117" t="s">
        <v>264</v>
      </c>
      <c r="AJ168" s="115" t="s">
        <v>241</v>
      </c>
      <c r="AK168" s="73">
        <v>13451</v>
      </c>
      <c r="AL168" s="116">
        <f t="shared" si="23"/>
        <v>4963419000</v>
      </c>
      <c r="AM168" s="116">
        <v>565</v>
      </c>
      <c r="AN168" s="116">
        <v>191975429</v>
      </c>
      <c r="AO168" s="116">
        <v>2113</v>
      </c>
      <c r="AP168" s="116">
        <v>727827041</v>
      </c>
      <c r="AQ168" s="116">
        <f t="shared" si="28"/>
        <v>6820.8499999999995</v>
      </c>
      <c r="AR168" s="116">
        <f t="shared" si="29"/>
        <v>2315542158</v>
      </c>
      <c r="AS168" s="118">
        <v>0.50708869229053599</v>
      </c>
    </row>
    <row r="169" spans="1:45" x14ac:dyDescent="0.3">
      <c r="A169" s="1" t="str">
        <f t="shared" si="22"/>
        <v>DMDJ63056LKS</v>
      </c>
      <c r="B169" s="126" t="s">
        <v>664</v>
      </c>
      <c r="C169" s="98" t="str">
        <f t="shared" si="25"/>
        <v>DJ630</v>
      </c>
      <c r="D169" s="98" t="s">
        <v>55</v>
      </c>
      <c r="E169" s="98" t="str">
        <f t="shared" si="26"/>
        <v>M</v>
      </c>
      <c r="F169" s="98" t="str">
        <f t="shared" si="27"/>
        <v>DJ</v>
      </c>
      <c r="G169" s="98" t="s">
        <v>56</v>
      </c>
      <c r="H169" s="115" t="s">
        <v>665</v>
      </c>
      <c r="I169" s="98" t="s">
        <v>179</v>
      </c>
      <c r="J169" s="115" t="str">
        <f t="shared" si="24"/>
        <v/>
      </c>
      <c r="K169" s="115">
        <v>1</v>
      </c>
      <c r="L169" s="121">
        <v>369000</v>
      </c>
      <c r="M169" s="78" t="s">
        <v>194</v>
      </c>
      <c r="N169" s="98" t="s">
        <v>261</v>
      </c>
      <c r="O169" s="98" t="s">
        <v>485</v>
      </c>
      <c r="P169" s="98">
        <v>100</v>
      </c>
      <c r="Q169" s="32" t="s">
        <v>119</v>
      </c>
      <c r="R169" s="98" t="s">
        <v>262</v>
      </c>
      <c r="S169" s="32" t="s">
        <v>263</v>
      </c>
      <c r="T169" s="98" t="s">
        <v>122</v>
      </c>
      <c r="U169" s="98" t="s">
        <v>207</v>
      </c>
      <c r="V169" s="98"/>
      <c r="W169" s="98"/>
      <c r="X169" s="78" t="s">
        <v>67</v>
      </c>
      <c r="Y169" s="98" t="s">
        <v>68</v>
      </c>
      <c r="Z169" s="32" t="s">
        <v>125</v>
      </c>
      <c r="AA169" s="32" t="s">
        <v>90</v>
      </c>
      <c r="AB169" s="78" t="s">
        <v>71</v>
      </c>
      <c r="AC169" s="98" t="s">
        <v>85</v>
      </c>
      <c r="AD169" s="98" t="s">
        <v>208</v>
      </c>
      <c r="AE169" s="65" t="s">
        <v>73</v>
      </c>
      <c r="AF169" s="39" t="s">
        <v>557</v>
      </c>
      <c r="AG169" s="98" t="s">
        <v>127</v>
      </c>
      <c r="AH169" s="115">
        <v>650</v>
      </c>
      <c r="AI169" s="117" t="s">
        <v>264</v>
      </c>
      <c r="AJ169" s="115" t="s">
        <v>241</v>
      </c>
      <c r="AK169" s="73">
        <v>1011</v>
      </c>
      <c r="AL169" s="116">
        <f t="shared" si="23"/>
        <v>373059000</v>
      </c>
      <c r="AM169" s="116">
        <v>47</v>
      </c>
      <c r="AN169" s="116">
        <v>16130283</v>
      </c>
      <c r="AO169" s="116">
        <v>230</v>
      </c>
      <c r="AP169" s="116">
        <v>79783120</v>
      </c>
      <c r="AQ169" s="116">
        <f t="shared" si="28"/>
        <v>583.85</v>
      </c>
      <c r="AR169" s="116">
        <f t="shared" si="29"/>
        <v>198205398</v>
      </c>
      <c r="AS169" s="118">
        <v>0.57749752720079128</v>
      </c>
    </row>
    <row r="170" spans="1:45" x14ac:dyDescent="0.3">
      <c r="A170" s="1" t="str">
        <f t="shared" si="22"/>
        <v>DMDJ63056GRL</v>
      </c>
      <c r="B170" s="126" t="s">
        <v>664</v>
      </c>
      <c r="C170" s="98" t="str">
        <f t="shared" si="25"/>
        <v>DJ630</v>
      </c>
      <c r="D170" s="98" t="s">
        <v>55</v>
      </c>
      <c r="E170" s="98" t="str">
        <f t="shared" si="26"/>
        <v>M</v>
      </c>
      <c r="F170" s="98" t="str">
        <f t="shared" si="27"/>
        <v>DJ</v>
      </c>
      <c r="G170" s="98" t="s">
        <v>56</v>
      </c>
      <c r="H170" s="115" t="s">
        <v>665</v>
      </c>
      <c r="I170" s="98" t="s">
        <v>113</v>
      </c>
      <c r="J170" s="115" t="str">
        <f t="shared" si="24"/>
        <v/>
      </c>
      <c r="K170" s="115">
        <v>1</v>
      </c>
      <c r="L170" s="121">
        <v>369000</v>
      </c>
      <c r="M170" s="78" t="s">
        <v>194</v>
      </c>
      <c r="N170" s="98" t="s">
        <v>261</v>
      </c>
      <c r="O170" s="98" t="s">
        <v>485</v>
      </c>
      <c r="P170" s="98">
        <v>100</v>
      </c>
      <c r="Q170" s="32" t="s">
        <v>119</v>
      </c>
      <c r="R170" s="98" t="s">
        <v>262</v>
      </c>
      <c r="S170" s="32" t="s">
        <v>263</v>
      </c>
      <c r="T170" s="98" t="s">
        <v>122</v>
      </c>
      <c r="U170" s="98" t="s">
        <v>207</v>
      </c>
      <c r="V170" s="98"/>
      <c r="W170" s="98"/>
      <c r="X170" s="78" t="s">
        <v>67</v>
      </c>
      <c r="Y170" s="98" t="s">
        <v>68</v>
      </c>
      <c r="Z170" s="32" t="s">
        <v>125</v>
      </c>
      <c r="AA170" s="32" t="s">
        <v>90</v>
      </c>
      <c r="AB170" s="78" t="s">
        <v>71</v>
      </c>
      <c r="AC170" s="98" t="s">
        <v>85</v>
      </c>
      <c r="AD170" s="98" t="s">
        <v>208</v>
      </c>
      <c r="AE170" s="65" t="s">
        <v>73</v>
      </c>
      <c r="AF170" s="39" t="s">
        <v>557</v>
      </c>
      <c r="AG170" s="98" t="s">
        <v>127</v>
      </c>
      <c r="AH170" s="115">
        <v>650</v>
      </c>
      <c r="AI170" s="117" t="s">
        <v>264</v>
      </c>
      <c r="AJ170" s="115" t="s">
        <v>241</v>
      </c>
      <c r="AK170" s="73">
        <v>1916</v>
      </c>
      <c r="AL170" s="116">
        <f t="shared" si="23"/>
        <v>707004000</v>
      </c>
      <c r="AM170" s="116">
        <v>157</v>
      </c>
      <c r="AN170" s="116">
        <v>53326326</v>
      </c>
      <c r="AO170" s="116">
        <v>515</v>
      </c>
      <c r="AP170" s="116">
        <v>179871547</v>
      </c>
      <c r="AQ170" s="116">
        <f t="shared" si="28"/>
        <v>1185.5999999999999</v>
      </c>
      <c r="AR170" s="116">
        <f t="shared" si="29"/>
        <v>402487487.99999994</v>
      </c>
      <c r="AS170" s="118">
        <v>0.61878914405010432</v>
      </c>
    </row>
    <row r="171" spans="1:45" x14ac:dyDescent="0.3">
      <c r="A171" s="1" t="str">
        <f t="shared" si="22"/>
        <v>DMDJ63056BRD</v>
      </c>
      <c r="B171" s="126" t="s">
        <v>664</v>
      </c>
      <c r="C171" s="98" t="str">
        <f t="shared" si="25"/>
        <v>DJ630</v>
      </c>
      <c r="D171" s="98" t="s">
        <v>55</v>
      </c>
      <c r="E171" s="98" t="str">
        <f t="shared" si="26"/>
        <v>M</v>
      </c>
      <c r="F171" s="98" t="str">
        <f t="shared" si="27"/>
        <v>DJ</v>
      </c>
      <c r="G171" s="98" t="s">
        <v>56</v>
      </c>
      <c r="H171" s="115" t="s">
        <v>665</v>
      </c>
      <c r="I171" s="98" t="s">
        <v>159</v>
      </c>
      <c r="J171" s="115" t="str">
        <f t="shared" si="24"/>
        <v/>
      </c>
      <c r="K171" s="115">
        <v>1</v>
      </c>
      <c r="L171" s="121">
        <v>369000</v>
      </c>
      <c r="M171" s="78" t="s">
        <v>194</v>
      </c>
      <c r="N171" s="98" t="s">
        <v>261</v>
      </c>
      <c r="O171" s="98" t="s">
        <v>485</v>
      </c>
      <c r="P171" s="98">
        <v>100</v>
      </c>
      <c r="Q171" s="32" t="s">
        <v>119</v>
      </c>
      <c r="R171" s="98" t="s">
        <v>262</v>
      </c>
      <c r="S171" s="32" t="s">
        <v>263</v>
      </c>
      <c r="T171" s="98" t="s">
        <v>122</v>
      </c>
      <c r="U171" s="98" t="s">
        <v>207</v>
      </c>
      <c r="V171" s="98"/>
      <c r="W171" s="98"/>
      <c r="X171" s="78" t="s">
        <v>67</v>
      </c>
      <c r="Y171" s="98" t="s">
        <v>68</v>
      </c>
      <c r="Z171" s="32" t="s">
        <v>125</v>
      </c>
      <c r="AA171" s="32" t="s">
        <v>90</v>
      </c>
      <c r="AB171" s="78" t="s">
        <v>71</v>
      </c>
      <c r="AC171" s="98" t="s">
        <v>85</v>
      </c>
      <c r="AD171" s="98" t="s">
        <v>208</v>
      </c>
      <c r="AE171" s="65" t="s">
        <v>73</v>
      </c>
      <c r="AF171" s="39" t="s">
        <v>557</v>
      </c>
      <c r="AG171" s="98" t="s">
        <v>127</v>
      </c>
      <c r="AH171" s="115">
        <v>650</v>
      </c>
      <c r="AI171" s="117" t="s">
        <v>264</v>
      </c>
      <c r="AJ171" s="115" t="s">
        <v>241</v>
      </c>
      <c r="AK171" s="73">
        <v>1105</v>
      </c>
      <c r="AL171" s="116">
        <f t="shared" si="23"/>
        <v>407745000</v>
      </c>
      <c r="AM171" s="116">
        <v>68</v>
      </c>
      <c r="AN171" s="116">
        <v>23161867</v>
      </c>
      <c r="AO171" s="116">
        <v>256</v>
      </c>
      <c r="AP171" s="116">
        <v>89121415</v>
      </c>
      <c r="AQ171" s="116">
        <f t="shared" si="28"/>
        <v>642.74999999999989</v>
      </c>
      <c r="AR171" s="116">
        <f t="shared" si="29"/>
        <v>218200769.99999997</v>
      </c>
      <c r="AS171" s="118">
        <v>0.58167420814479631</v>
      </c>
    </row>
    <row r="172" spans="1:45" x14ac:dyDescent="0.3">
      <c r="A172" s="1" t="str">
        <f t="shared" si="22"/>
        <v>DWDJ64056BRD</v>
      </c>
      <c r="B172" s="126" t="s">
        <v>666</v>
      </c>
      <c r="C172" s="98" t="str">
        <f t="shared" si="25"/>
        <v>DJ640</v>
      </c>
      <c r="D172" s="98" t="s">
        <v>55</v>
      </c>
      <c r="E172" s="98" t="str">
        <f t="shared" si="26"/>
        <v>W</v>
      </c>
      <c r="F172" s="98" t="str">
        <f t="shared" si="27"/>
        <v>DJ</v>
      </c>
      <c r="G172" s="98" t="s">
        <v>56</v>
      </c>
      <c r="H172" s="115" t="s">
        <v>667</v>
      </c>
      <c r="I172" s="98" t="s">
        <v>159</v>
      </c>
      <c r="J172" s="115">
        <f t="shared" si="24"/>
        <v>1</v>
      </c>
      <c r="K172" s="115">
        <v>1</v>
      </c>
      <c r="L172" s="121">
        <v>369000</v>
      </c>
      <c r="M172" s="78" t="s">
        <v>194</v>
      </c>
      <c r="N172" s="98" t="s">
        <v>261</v>
      </c>
      <c r="O172" s="98" t="s">
        <v>485</v>
      </c>
      <c r="P172" s="98">
        <v>100</v>
      </c>
      <c r="Q172" s="32" t="s">
        <v>119</v>
      </c>
      <c r="R172" s="98" t="s">
        <v>262</v>
      </c>
      <c r="S172" s="32" t="s">
        <v>263</v>
      </c>
      <c r="T172" s="98" t="s">
        <v>122</v>
      </c>
      <c r="U172" s="98" t="s">
        <v>207</v>
      </c>
      <c r="V172" s="98"/>
      <c r="W172" s="98"/>
      <c r="X172" s="78" t="s">
        <v>67</v>
      </c>
      <c r="Y172" s="98" t="s">
        <v>68</v>
      </c>
      <c r="Z172" s="32" t="s">
        <v>125</v>
      </c>
      <c r="AA172" s="32" t="s">
        <v>90</v>
      </c>
      <c r="AB172" s="78" t="s">
        <v>71</v>
      </c>
      <c r="AC172" s="98" t="s">
        <v>85</v>
      </c>
      <c r="AD172" s="98" t="s">
        <v>208</v>
      </c>
      <c r="AE172" s="65" t="s">
        <v>73</v>
      </c>
      <c r="AF172" s="39" t="s">
        <v>301</v>
      </c>
      <c r="AG172" s="98" t="s">
        <v>127</v>
      </c>
      <c r="AH172" s="115">
        <v>650</v>
      </c>
      <c r="AI172" s="117" t="s">
        <v>264</v>
      </c>
      <c r="AJ172" s="115" t="s">
        <v>241</v>
      </c>
      <c r="AK172" s="73">
        <v>606</v>
      </c>
      <c r="AL172" s="116">
        <f t="shared" si="23"/>
        <v>223614000</v>
      </c>
      <c r="AM172" s="116">
        <v>40</v>
      </c>
      <c r="AN172" s="116">
        <v>13929247</v>
      </c>
      <c r="AO172" s="116">
        <v>185</v>
      </c>
      <c r="AP172" s="116">
        <v>65342822</v>
      </c>
      <c r="AQ172" s="116">
        <f t="shared" si="28"/>
        <v>397.09999999999997</v>
      </c>
      <c r="AR172" s="116">
        <f t="shared" si="29"/>
        <v>134807508</v>
      </c>
      <c r="AS172" s="118">
        <v>0.65528052805280523</v>
      </c>
    </row>
    <row r="173" spans="1:45" x14ac:dyDescent="0.3">
      <c r="A173" s="1" t="str">
        <f t="shared" si="22"/>
        <v>DWDJ64056CRS</v>
      </c>
      <c r="B173" s="126" t="s">
        <v>666</v>
      </c>
      <c r="C173" s="98" t="str">
        <f t="shared" si="25"/>
        <v>DJ640</v>
      </c>
      <c r="D173" s="98" t="s">
        <v>55</v>
      </c>
      <c r="E173" s="98" t="str">
        <f t="shared" si="26"/>
        <v>W</v>
      </c>
      <c r="F173" s="98" t="str">
        <f t="shared" si="27"/>
        <v>DJ</v>
      </c>
      <c r="G173" s="98" t="s">
        <v>56</v>
      </c>
      <c r="H173" s="115" t="s">
        <v>667</v>
      </c>
      <c r="I173" s="98" t="s">
        <v>79</v>
      </c>
      <c r="J173" s="115" t="str">
        <f t="shared" si="24"/>
        <v/>
      </c>
      <c r="K173" s="115">
        <v>1</v>
      </c>
      <c r="L173" s="121">
        <v>369000</v>
      </c>
      <c r="M173" s="78" t="s">
        <v>194</v>
      </c>
      <c r="N173" s="98" t="s">
        <v>261</v>
      </c>
      <c r="O173" s="98" t="s">
        <v>485</v>
      </c>
      <c r="P173" s="98">
        <v>100</v>
      </c>
      <c r="Q173" s="32" t="s">
        <v>119</v>
      </c>
      <c r="R173" s="98" t="s">
        <v>262</v>
      </c>
      <c r="S173" s="32" t="s">
        <v>263</v>
      </c>
      <c r="T173" s="98" t="s">
        <v>122</v>
      </c>
      <c r="U173" s="98" t="s">
        <v>207</v>
      </c>
      <c r="V173" s="98"/>
      <c r="W173" s="98"/>
      <c r="X173" s="78" t="s">
        <v>67</v>
      </c>
      <c r="Y173" s="98" t="s">
        <v>68</v>
      </c>
      <c r="Z173" s="32" t="s">
        <v>125</v>
      </c>
      <c r="AA173" s="32" t="s">
        <v>90</v>
      </c>
      <c r="AB173" s="78" t="s">
        <v>71</v>
      </c>
      <c r="AC173" s="98" t="s">
        <v>85</v>
      </c>
      <c r="AD173" s="98" t="s">
        <v>208</v>
      </c>
      <c r="AE173" s="65" t="s">
        <v>73</v>
      </c>
      <c r="AF173" s="39" t="s">
        <v>301</v>
      </c>
      <c r="AG173" s="98" t="s">
        <v>127</v>
      </c>
      <c r="AH173" s="115">
        <v>650</v>
      </c>
      <c r="AI173" s="117" t="s">
        <v>264</v>
      </c>
      <c r="AJ173" s="115" t="s">
        <v>241</v>
      </c>
      <c r="AK173" s="73">
        <v>1004</v>
      </c>
      <c r="AL173" s="116">
        <f t="shared" si="23"/>
        <v>370476000</v>
      </c>
      <c r="AM173" s="116">
        <v>63</v>
      </c>
      <c r="AN173" s="116">
        <v>21495401</v>
      </c>
      <c r="AO173" s="116">
        <v>294</v>
      </c>
      <c r="AP173" s="116">
        <v>103583451</v>
      </c>
      <c r="AQ173" s="116">
        <f t="shared" si="28"/>
        <v>645.40000000000009</v>
      </c>
      <c r="AR173" s="116">
        <f t="shared" si="29"/>
        <v>219100392.00000003</v>
      </c>
      <c r="AS173" s="118">
        <v>0.64282868525896419</v>
      </c>
    </row>
    <row r="174" spans="1:45" x14ac:dyDescent="0.3">
      <c r="A174" s="1" t="str">
        <f t="shared" si="22"/>
        <v>DWDJ64056BKS</v>
      </c>
      <c r="B174" s="126" t="s">
        <v>666</v>
      </c>
      <c r="C174" s="98" t="str">
        <f t="shared" si="25"/>
        <v>DJ640</v>
      </c>
      <c r="D174" s="98" t="s">
        <v>55</v>
      </c>
      <c r="E174" s="98" t="str">
        <f t="shared" si="26"/>
        <v>W</v>
      </c>
      <c r="F174" s="98" t="str">
        <f t="shared" si="27"/>
        <v>DJ</v>
      </c>
      <c r="G174" s="98" t="s">
        <v>56</v>
      </c>
      <c r="H174" s="115" t="s">
        <v>667</v>
      </c>
      <c r="I174" s="98" t="s">
        <v>78</v>
      </c>
      <c r="J174" s="115" t="str">
        <f t="shared" si="24"/>
        <v/>
      </c>
      <c r="K174" s="115">
        <v>1</v>
      </c>
      <c r="L174" s="121">
        <v>369000</v>
      </c>
      <c r="M174" s="78" t="s">
        <v>194</v>
      </c>
      <c r="N174" s="98" t="s">
        <v>261</v>
      </c>
      <c r="O174" s="98" t="s">
        <v>485</v>
      </c>
      <c r="P174" s="98">
        <v>100</v>
      </c>
      <c r="Q174" s="32" t="s">
        <v>119</v>
      </c>
      <c r="R174" s="98" t="s">
        <v>262</v>
      </c>
      <c r="S174" s="32" t="s">
        <v>263</v>
      </c>
      <c r="T174" s="98" t="s">
        <v>122</v>
      </c>
      <c r="U174" s="98" t="s">
        <v>207</v>
      </c>
      <c r="V174" s="98"/>
      <c r="W174" s="98"/>
      <c r="X174" s="78" t="s">
        <v>67</v>
      </c>
      <c r="Y174" s="98" t="s">
        <v>68</v>
      </c>
      <c r="Z174" s="32" t="s">
        <v>125</v>
      </c>
      <c r="AA174" s="32" t="s">
        <v>90</v>
      </c>
      <c r="AB174" s="78" t="s">
        <v>71</v>
      </c>
      <c r="AC174" s="98" t="s">
        <v>85</v>
      </c>
      <c r="AD174" s="98" t="s">
        <v>208</v>
      </c>
      <c r="AE174" s="65" t="s">
        <v>73</v>
      </c>
      <c r="AF174" s="39" t="s">
        <v>301</v>
      </c>
      <c r="AG174" s="98" t="s">
        <v>127</v>
      </c>
      <c r="AH174" s="115">
        <v>650</v>
      </c>
      <c r="AI174" s="117" t="s">
        <v>264</v>
      </c>
      <c r="AJ174" s="115" t="s">
        <v>241</v>
      </c>
      <c r="AK174" s="73">
        <v>6216</v>
      </c>
      <c r="AL174" s="116">
        <f t="shared" si="23"/>
        <v>2293704000</v>
      </c>
      <c r="AM174" s="116">
        <v>305</v>
      </c>
      <c r="AN174" s="116">
        <v>103376268</v>
      </c>
      <c r="AO174" s="116">
        <v>1367</v>
      </c>
      <c r="AP174" s="116">
        <v>480470914</v>
      </c>
      <c r="AQ174" s="116">
        <f t="shared" si="28"/>
        <v>3542.6</v>
      </c>
      <c r="AR174" s="116">
        <f t="shared" si="29"/>
        <v>1202641848</v>
      </c>
      <c r="AS174" s="118">
        <v>0.56991634491634491</v>
      </c>
    </row>
    <row r="175" spans="1:45" x14ac:dyDescent="0.3">
      <c r="A175" s="1" t="str">
        <f t="shared" si="22"/>
        <v>DWDJ64056BGS</v>
      </c>
      <c r="B175" s="126" t="s">
        <v>666</v>
      </c>
      <c r="C175" s="98" t="str">
        <f t="shared" si="25"/>
        <v>DJ640</v>
      </c>
      <c r="D175" s="98" t="s">
        <v>55</v>
      </c>
      <c r="E175" s="98" t="str">
        <f t="shared" si="26"/>
        <v>W</v>
      </c>
      <c r="F175" s="98" t="str">
        <f t="shared" si="27"/>
        <v>DJ</v>
      </c>
      <c r="G175" s="98" t="s">
        <v>56</v>
      </c>
      <c r="H175" s="115" t="s">
        <v>667</v>
      </c>
      <c r="I175" s="98" t="s">
        <v>82</v>
      </c>
      <c r="J175" s="115" t="str">
        <f t="shared" si="24"/>
        <v/>
      </c>
      <c r="K175" s="115">
        <v>1</v>
      </c>
      <c r="L175" s="121">
        <v>369000</v>
      </c>
      <c r="M175" s="78" t="s">
        <v>194</v>
      </c>
      <c r="N175" s="98" t="s">
        <v>261</v>
      </c>
      <c r="O175" s="98" t="s">
        <v>485</v>
      </c>
      <c r="P175" s="98">
        <v>100</v>
      </c>
      <c r="Q175" s="32" t="s">
        <v>119</v>
      </c>
      <c r="R175" s="98" t="s">
        <v>262</v>
      </c>
      <c r="S175" s="32" t="s">
        <v>263</v>
      </c>
      <c r="T175" s="98" t="s">
        <v>122</v>
      </c>
      <c r="U175" s="98" t="s">
        <v>207</v>
      </c>
      <c r="V175" s="98"/>
      <c r="W175" s="98"/>
      <c r="X175" s="78" t="s">
        <v>67</v>
      </c>
      <c r="Y175" s="98" t="s">
        <v>68</v>
      </c>
      <c r="Z175" s="32" t="s">
        <v>125</v>
      </c>
      <c r="AA175" s="32" t="s">
        <v>90</v>
      </c>
      <c r="AB175" s="78" t="s">
        <v>71</v>
      </c>
      <c r="AC175" s="98" t="s">
        <v>85</v>
      </c>
      <c r="AD175" s="98" t="s">
        <v>208</v>
      </c>
      <c r="AE175" s="65" t="s">
        <v>73</v>
      </c>
      <c r="AF175" s="39" t="s">
        <v>301</v>
      </c>
      <c r="AG175" s="98" t="s">
        <v>127</v>
      </c>
      <c r="AH175" s="115">
        <v>650</v>
      </c>
      <c r="AI175" s="117" t="s">
        <v>264</v>
      </c>
      <c r="AJ175" s="115" t="s">
        <v>241</v>
      </c>
      <c r="AK175" s="73">
        <v>703</v>
      </c>
      <c r="AL175" s="116">
        <f t="shared" si="23"/>
        <v>259407000</v>
      </c>
      <c r="AM175" s="116">
        <v>4</v>
      </c>
      <c r="AN175" s="116">
        <v>1391470</v>
      </c>
      <c r="AO175" s="116">
        <v>40</v>
      </c>
      <c r="AP175" s="116">
        <v>13971192</v>
      </c>
      <c r="AQ175" s="116">
        <f t="shared" si="28"/>
        <v>286.05</v>
      </c>
      <c r="AR175" s="116">
        <f t="shared" si="29"/>
        <v>97108254</v>
      </c>
      <c r="AS175" s="118">
        <v>0.40689900426742531</v>
      </c>
    </row>
    <row r="176" spans="1:45" s="105" customFormat="1" x14ac:dyDescent="0.3">
      <c r="A176" s="104" t="str">
        <f t="shared" si="22"/>
        <v>DMDJ67056DGS</v>
      </c>
      <c r="B176" s="126" t="s">
        <v>668</v>
      </c>
      <c r="C176" s="98" t="str">
        <f t="shared" si="25"/>
        <v>DJ670</v>
      </c>
      <c r="D176" s="98" t="s">
        <v>55</v>
      </c>
      <c r="E176" s="98" t="str">
        <f t="shared" si="26"/>
        <v>M</v>
      </c>
      <c r="F176" s="98" t="str">
        <f t="shared" si="27"/>
        <v>DJ</v>
      </c>
      <c r="G176" s="98" t="s">
        <v>56</v>
      </c>
      <c r="H176" s="115" t="s">
        <v>669</v>
      </c>
      <c r="I176" s="98" t="s">
        <v>435</v>
      </c>
      <c r="J176" s="115">
        <f t="shared" si="24"/>
        <v>1</v>
      </c>
      <c r="K176" s="115">
        <v>1</v>
      </c>
      <c r="L176" s="121">
        <v>439000</v>
      </c>
      <c r="M176" s="78" t="s">
        <v>194</v>
      </c>
      <c r="N176" s="98" t="s">
        <v>261</v>
      </c>
      <c r="O176" s="98" t="s">
        <v>485</v>
      </c>
      <c r="P176" s="98">
        <v>100</v>
      </c>
      <c r="Q176" s="32" t="s">
        <v>119</v>
      </c>
      <c r="R176" s="98" t="s">
        <v>262</v>
      </c>
      <c r="S176" s="32" t="s">
        <v>263</v>
      </c>
      <c r="T176" s="98" t="s">
        <v>122</v>
      </c>
      <c r="U176" s="98" t="s">
        <v>670</v>
      </c>
      <c r="V176" s="98"/>
      <c r="W176" s="98"/>
      <c r="X176" s="78" t="s">
        <v>67</v>
      </c>
      <c r="Y176" s="98" t="s">
        <v>68</v>
      </c>
      <c r="Z176" s="32" t="s">
        <v>125</v>
      </c>
      <c r="AA176" s="32" t="s">
        <v>90</v>
      </c>
      <c r="AB176" s="78" t="s">
        <v>71</v>
      </c>
      <c r="AC176" s="98" t="s">
        <v>144</v>
      </c>
      <c r="AD176" s="98" t="s">
        <v>279</v>
      </c>
      <c r="AE176" s="65" t="s">
        <v>73</v>
      </c>
      <c r="AF176" s="39" t="s">
        <v>671</v>
      </c>
      <c r="AG176" s="98" t="s">
        <v>127</v>
      </c>
      <c r="AH176" s="115">
        <v>650</v>
      </c>
      <c r="AI176" s="117" t="s">
        <v>107</v>
      </c>
      <c r="AJ176" s="115" t="s">
        <v>108</v>
      </c>
      <c r="AK176" s="73">
        <v>2122</v>
      </c>
      <c r="AL176" s="116">
        <f t="shared" si="23"/>
        <v>931558000</v>
      </c>
      <c r="AM176" s="116">
        <v>174</v>
      </c>
      <c r="AN176" s="116">
        <v>71300567</v>
      </c>
      <c r="AO176" s="116">
        <v>557</v>
      </c>
      <c r="AP176" s="116">
        <v>232170802</v>
      </c>
      <c r="AQ176" s="116">
        <f t="shared" si="28"/>
        <v>1193.6000000000001</v>
      </c>
      <c r="AR176" s="116">
        <f t="shared" si="29"/>
        <v>482071168.00000006</v>
      </c>
      <c r="AS176" s="118">
        <v>0.56248821866164</v>
      </c>
    </row>
    <row r="177" spans="1:45" s="105" customFormat="1" x14ac:dyDescent="0.3">
      <c r="A177" s="104" t="str">
        <f t="shared" si="22"/>
        <v>DMDJ67056BKS</v>
      </c>
      <c r="B177" s="126" t="s">
        <v>668</v>
      </c>
      <c r="C177" s="98" t="str">
        <f t="shared" si="25"/>
        <v>DJ670</v>
      </c>
      <c r="D177" s="98" t="s">
        <v>55</v>
      </c>
      <c r="E177" s="98" t="str">
        <f t="shared" si="26"/>
        <v>M</v>
      </c>
      <c r="F177" s="98" t="str">
        <f t="shared" si="27"/>
        <v>DJ</v>
      </c>
      <c r="G177" s="98" t="s">
        <v>56</v>
      </c>
      <c r="H177" s="115" t="s">
        <v>669</v>
      </c>
      <c r="I177" s="98" t="s">
        <v>78</v>
      </c>
      <c r="J177" s="115" t="str">
        <f t="shared" si="24"/>
        <v/>
      </c>
      <c r="K177" s="115">
        <v>1</v>
      </c>
      <c r="L177" s="121">
        <v>439000</v>
      </c>
      <c r="M177" s="78" t="s">
        <v>194</v>
      </c>
      <c r="N177" s="98" t="s">
        <v>261</v>
      </c>
      <c r="O177" s="98" t="s">
        <v>485</v>
      </c>
      <c r="P177" s="98">
        <v>100</v>
      </c>
      <c r="Q177" s="32" t="s">
        <v>119</v>
      </c>
      <c r="R177" s="98" t="s">
        <v>262</v>
      </c>
      <c r="S177" s="32" t="s">
        <v>263</v>
      </c>
      <c r="T177" s="98" t="s">
        <v>122</v>
      </c>
      <c r="U177" s="98" t="s">
        <v>670</v>
      </c>
      <c r="V177" s="98"/>
      <c r="W177" s="98"/>
      <c r="X177" s="78" t="s">
        <v>67</v>
      </c>
      <c r="Y177" s="98" t="s">
        <v>68</v>
      </c>
      <c r="Z177" s="32" t="s">
        <v>125</v>
      </c>
      <c r="AA177" s="32" t="s">
        <v>90</v>
      </c>
      <c r="AB177" s="78" t="s">
        <v>71</v>
      </c>
      <c r="AC177" s="98" t="s">
        <v>144</v>
      </c>
      <c r="AD177" s="98" t="s">
        <v>279</v>
      </c>
      <c r="AE177" s="65" t="s">
        <v>73</v>
      </c>
      <c r="AF177" s="39" t="s">
        <v>671</v>
      </c>
      <c r="AG177" s="98" t="s">
        <v>127</v>
      </c>
      <c r="AH177" s="115">
        <v>650</v>
      </c>
      <c r="AI177" s="117" t="s">
        <v>107</v>
      </c>
      <c r="AJ177" s="115" t="s">
        <v>108</v>
      </c>
      <c r="AK177" s="73">
        <v>14962</v>
      </c>
      <c r="AL177" s="116">
        <f t="shared" si="23"/>
        <v>6568318000</v>
      </c>
      <c r="AM177" s="116">
        <v>910</v>
      </c>
      <c r="AN177" s="116">
        <v>370280649</v>
      </c>
      <c r="AO177" s="116">
        <v>2805</v>
      </c>
      <c r="AP177" s="116">
        <v>1132824462</v>
      </c>
      <c r="AQ177" s="116">
        <f t="shared" si="28"/>
        <v>7293.6</v>
      </c>
      <c r="AR177" s="116">
        <f t="shared" si="29"/>
        <v>2945739168</v>
      </c>
      <c r="AS177" s="118">
        <v>0.48747493650581475</v>
      </c>
    </row>
    <row r="178" spans="1:45" s="105" customFormat="1" x14ac:dyDescent="0.3">
      <c r="A178" s="104" t="str">
        <f t="shared" si="22"/>
        <v>DMDJ67056BGL</v>
      </c>
      <c r="B178" s="126" t="s">
        <v>668</v>
      </c>
      <c r="C178" s="98" t="str">
        <f t="shared" si="25"/>
        <v>DJ670</v>
      </c>
      <c r="D178" s="98" t="s">
        <v>55</v>
      </c>
      <c r="E178" s="98" t="str">
        <f t="shared" si="26"/>
        <v>M</v>
      </c>
      <c r="F178" s="98" t="str">
        <f t="shared" si="27"/>
        <v>DJ</v>
      </c>
      <c r="G178" s="98" t="s">
        <v>56</v>
      </c>
      <c r="H178" s="115" t="s">
        <v>669</v>
      </c>
      <c r="I178" s="98" t="s">
        <v>163</v>
      </c>
      <c r="J178" s="115" t="str">
        <f t="shared" si="24"/>
        <v/>
      </c>
      <c r="K178" s="115">
        <v>1</v>
      </c>
      <c r="L178" s="121">
        <v>439000</v>
      </c>
      <c r="M178" s="78" t="s">
        <v>194</v>
      </c>
      <c r="N178" s="98" t="s">
        <v>261</v>
      </c>
      <c r="O178" s="98" t="s">
        <v>485</v>
      </c>
      <c r="P178" s="98">
        <v>100</v>
      </c>
      <c r="Q178" s="32" t="s">
        <v>119</v>
      </c>
      <c r="R178" s="98" t="s">
        <v>262</v>
      </c>
      <c r="S178" s="32" t="s">
        <v>263</v>
      </c>
      <c r="T178" s="98" t="s">
        <v>122</v>
      </c>
      <c r="U178" s="98" t="s">
        <v>670</v>
      </c>
      <c r="V178" s="98"/>
      <c r="W178" s="98"/>
      <c r="X178" s="78" t="s">
        <v>67</v>
      </c>
      <c r="Y178" s="98" t="s">
        <v>68</v>
      </c>
      <c r="Z178" s="32" t="s">
        <v>125</v>
      </c>
      <c r="AA178" s="32" t="s">
        <v>90</v>
      </c>
      <c r="AB178" s="78" t="s">
        <v>71</v>
      </c>
      <c r="AC178" s="98" t="s">
        <v>144</v>
      </c>
      <c r="AD178" s="98" t="s">
        <v>279</v>
      </c>
      <c r="AE178" s="65" t="s">
        <v>73</v>
      </c>
      <c r="AF178" s="39" t="s">
        <v>671</v>
      </c>
      <c r="AG178" s="98" t="s">
        <v>127</v>
      </c>
      <c r="AH178" s="115">
        <v>650</v>
      </c>
      <c r="AI178" s="117" t="s">
        <v>107</v>
      </c>
      <c r="AJ178" s="115" t="s">
        <v>108</v>
      </c>
      <c r="AK178" s="73">
        <v>988</v>
      </c>
      <c r="AL178" s="116">
        <f t="shared" si="23"/>
        <v>433732000</v>
      </c>
      <c r="AM178" s="116">
        <v>19</v>
      </c>
      <c r="AN178" s="116">
        <v>7598773</v>
      </c>
      <c r="AO178" s="116">
        <v>62</v>
      </c>
      <c r="AP178" s="116">
        <v>25844832</v>
      </c>
      <c r="AQ178" s="116">
        <f t="shared" si="28"/>
        <v>358.4</v>
      </c>
      <c r="AR178" s="116">
        <f t="shared" si="29"/>
        <v>144750592</v>
      </c>
      <c r="AS178" s="118">
        <v>0.36275303643724693</v>
      </c>
    </row>
    <row r="179" spans="1:45" s="105" customFormat="1" x14ac:dyDescent="0.3">
      <c r="A179" s="104" t="str">
        <f t="shared" si="22"/>
        <v>DMDJ67056DKS</v>
      </c>
      <c r="B179" s="126" t="s">
        <v>668</v>
      </c>
      <c r="C179" s="98" t="str">
        <f t="shared" si="25"/>
        <v>DJ670</v>
      </c>
      <c r="D179" s="98" t="s">
        <v>55</v>
      </c>
      <c r="E179" s="98" t="str">
        <f t="shared" si="26"/>
        <v>M</v>
      </c>
      <c r="F179" s="98" t="str">
        <f t="shared" si="27"/>
        <v>DJ</v>
      </c>
      <c r="G179" s="98" t="s">
        <v>56</v>
      </c>
      <c r="H179" s="115" t="s">
        <v>669</v>
      </c>
      <c r="I179" s="98" t="s">
        <v>570</v>
      </c>
      <c r="J179" s="115" t="str">
        <f t="shared" si="24"/>
        <v/>
      </c>
      <c r="K179" s="115">
        <v>1</v>
      </c>
      <c r="L179" s="121">
        <v>439000</v>
      </c>
      <c r="M179" s="78" t="s">
        <v>194</v>
      </c>
      <c r="N179" s="98" t="s">
        <v>261</v>
      </c>
      <c r="O179" s="98" t="s">
        <v>485</v>
      </c>
      <c r="P179" s="98">
        <v>100</v>
      </c>
      <c r="Q179" s="32" t="s">
        <v>119</v>
      </c>
      <c r="R179" s="98" t="s">
        <v>262</v>
      </c>
      <c r="S179" s="32" t="s">
        <v>263</v>
      </c>
      <c r="T179" s="98" t="s">
        <v>122</v>
      </c>
      <c r="U179" s="98" t="s">
        <v>670</v>
      </c>
      <c r="V179" s="98"/>
      <c r="W179" s="98"/>
      <c r="X179" s="78" t="s">
        <v>67</v>
      </c>
      <c r="Y179" s="98" t="s">
        <v>68</v>
      </c>
      <c r="Z179" s="32" t="s">
        <v>125</v>
      </c>
      <c r="AA179" s="32" t="s">
        <v>90</v>
      </c>
      <c r="AB179" s="78" t="s">
        <v>71</v>
      </c>
      <c r="AC179" s="98" t="s">
        <v>144</v>
      </c>
      <c r="AD179" s="98" t="s">
        <v>279</v>
      </c>
      <c r="AE179" s="65" t="s">
        <v>73</v>
      </c>
      <c r="AF179" s="39" t="s">
        <v>671</v>
      </c>
      <c r="AG179" s="98" t="s">
        <v>127</v>
      </c>
      <c r="AH179" s="115">
        <v>650</v>
      </c>
      <c r="AI179" s="117" t="s">
        <v>107</v>
      </c>
      <c r="AJ179" s="115" t="s">
        <v>108</v>
      </c>
      <c r="AK179" s="73">
        <v>1463</v>
      </c>
      <c r="AL179" s="116">
        <f t="shared" si="23"/>
        <v>642257000</v>
      </c>
      <c r="AM179" s="116">
        <v>49</v>
      </c>
      <c r="AN179" s="116">
        <v>19944217</v>
      </c>
      <c r="AO179" s="116">
        <v>154</v>
      </c>
      <c r="AP179" s="116">
        <v>62669372</v>
      </c>
      <c r="AQ179" s="116">
        <f t="shared" si="28"/>
        <v>592.9</v>
      </c>
      <c r="AR179" s="116">
        <f t="shared" si="29"/>
        <v>239460452</v>
      </c>
      <c r="AS179" s="118">
        <v>0.40526315789473683</v>
      </c>
    </row>
    <row r="180" spans="1:45" s="105" customFormat="1" x14ac:dyDescent="0.3">
      <c r="A180" s="104" t="str">
        <f t="shared" si="22"/>
        <v>DWDJ68056DKS</v>
      </c>
      <c r="B180" s="126" t="s">
        <v>672</v>
      </c>
      <c r="C180" s="98" t="str">
        <f t="shared" si="25"/>
        <v>DJ680</v>
      </c>
      <c r="D180" s="98" t="s">
        <v>55</v>
      </c>
      <c r="E180" s="98" t="str">
        <f t="shared" si="26"/>
        <v>W</v>
      </c>
      <c r="F180" s="98" t="str">
        <f t="shared" si="27"/>
        <v>DJ</v>
      </c>
      <c r="G180" s="98" t="s">
        <v>56</v>
      </c>
      <c r="H180" s="115" t="s">
        <v>673</v>
      </c>
      <c r="I180" s="98" t="s">
        <v>570</v>
      </c>
      <c r="J180" s="115">
        <f t="shared" si="24"/>
        <v>1</v>
      </c>
      <c r="K180" s="115">
        <v>1</v>
      </c>
      <c r="L180" s="121">
        <v>439000</v>
      </c>
      <c r="M180" s="78" t="s">
        <v>194</v>
      </c>
      <c r="N180" s="98" t="s">
        <v>261</v>
      </c>
      <c r="O180" s="98" t="s">
        <v>485</v>
      </c>
      <c r="P180" s="98">
        <v>100</v>
      </c>
      <c r="Q180" s="32" t="s">
        <v>119</v>
      </c>
      <c r="R180" s="98" t="s">
        <v>262</v>
      </c>
      <c r="S180" s="32" t="s">
        <v>263</v>
      </c>
      <c r="T180" s="98" t="s">
        <v>122</v>
      </c>
      <c r="U180" s="98" t="s">
        <v>670</v>
      </c>
      <c r="V180" s="98"/>
      <c r="W180" s="98"/>
      <c r="X180" s="78" t="s">
        <v>67</v>
      </c>
      <c r="Y180" s="98" t="s">
        <v>68</v>
      </c>
      <c r="Z180" s="32" t="s">
        <v>125</v>
      </c>
      <c r="AA180" s="32" t="s">
        <v>90</v>
      </c>
      <c r="AB180" s="78" t="s">
        <v>71</v>
      </c>
      <c r="AC180" s="98" t="s">
        <v>144</v>
      </c>
      <c r="AD180" s="98" t="s">
        <v>279</v>
      </c>
      <c r="AE180" s="65" t="s">
        <v>73</v>
      </c>
      <c r="AF180" s="39" t="s">
        <v>674</v>
      </c>
      <c r="AG180" s="98" t="s">
        <v>127</v>
      </c>
      <c r="AH180" s="115">
        <v>650</v>
      </c>
      <c r="AI180" s="117" t="s">
        <v>107</v>
      </c>
      <c r="AJ180" s="115" t="s">
        <v>108</v>
      </c>
      <c r="AK180" s="73">
        <v>2205</v>
      </c>
      <c r="AL180" s="116">
        <f t="shared" si="23"/>
        <v>967995000</v>
      </c>
      <c r="AM180" s="116">
        <v>43</v>
      </c>
      <c r="AN180" s="116">
        <v>17770531</v>
      </c>
      <c r="AO180" s="116">
        <v>132</v>
      </c>
      <c r="AP180" s="116">
        <v>55285059</v>
      </c>
      <c r="AQ180" s="116">
        <f t="shared" si="28"/>
        <v>793.49999999999989</v>
      </c>
      <c r="AR180" s="116">
        <f t="shared" si="29"/>
        <v>320478779.99999994</v>
      </c>
      <c r="AS180" s="118">
        <v>0.35986394557823126</v>
      </c>
    </row>
    <row r="181" spans="1:45" s="105" customFormat="1" x14ac:dyDescent="0.3">
      <c r="A181" s="104" t="str">
        <f t="shared" si="22"/>
        <v>DWDJ68056BGL</v>
      </c>
      <c r="B181" s="126" t="s">
        <v>672</v>
      </c>
      <c r="C181" s="98" t="str">
        <f t="shared" si="25"/>
        <v>DJ680</v>
      </c>
      <c r="D181" s="98" t="s">
        <v>55</v>
      </c>
      <c r="E181" s="98" t="str">
        <f t="shared" si="26"/>
        <v>W</v>
      </c>
      <c r="F181" s="98" t="str">
        <f t="shared" si="27"/>
        <v>DJ</v>
      </c>
      <c r="G181" s="98" t="s">
        <v>56</v>
      </c>
      <c r="H181" s="115" t="s">
        <v>673</v>
      </c>
      <c r="I181" s="98" t="s">
        <v>163</v>
      </c>
      <c r="J181" s="115" t="str">
        <f t="shared" si="24"/>
        <v/>
      </c>
      <c r="K181" s="115">
        <v>1</v>
      </c>
      <c r="L181" s="121">
        <v>439000</v>
      </c>
      <c r="M181" s="78" t="s">
        <v>194</v>
      </c>
      <c r="N181" s="98" t="s">
        <v>261</v>
      </c>
      <c r="O181" s="98" t="s">
        <v>485</v>
      </c>
      <c r="P181" s="98">
        <v>100</v>
      </c>
      <c r="Q181" s="32" t="s">
        <v>119</v>
      </c>
      <c r="R181" s="98" t="s">
        <v>262</v>
      </c>
      <c r="S181" s="32" t="s">
        <v>263</v>
      </c>
      <c r="T181" s="98" t="s">
        <v>122</v>
      </c>
      <c r="U181" s="98" t="s">
        <v>670</v>
      </c>
      <c r="V181" s="98"/>
      <c r="W181" s="98"/>
      <c r="X181" s="78" t="s">
        <v>67</v>
      </c>
      <c r="Y181" s="98" t="s">
        <v>68</v>
      </c>
      <c r="Z181" s="32" t="s">
        <v>125</v>
      </c>
      <c r="AA181" s="32" t="s">
        <v>90</v>
      </c>
      <c r="AB181" s="78" t="s">
        <v>71</v>
      </c>
      <c r="AC181" s="98" t="s">
        <v>144</v>
      </c>
      <c r="AD181" s="98" t="s">
        <v>279</v>
      </c>
      <c r="AE181" s="65" t="s">
        <v>73</v>
      </c>
      <c r="AF181" s="39" t="s">
        <v>674</v>
      </c>
      <c r="AG181" s="98" t="s">
        <v>127</v>
      </c>
      <c r="AH181" s="115">
        <v>650</v>
      </c>
      <c r="AI181" s="117" t="s">
        <v>107</v>
      </c>
      <c r="AJ181" s="115" t="s">
        <v>108</v>
      </c>
      <c r="AK181" s="73">
        <v>2340</v>
      </c>
      <c r="AL181" s="116">
        <f t="shared" si="23"/>
        <v>1027260000</v>
      </c>
      <c r="AM181" s="116">
        <v>46</v>
      </c>
      <c r="AN181" s="116">
        <v>18991473</v>
      </c>
      <c r="AO181" s="116">
        <v>177</v>
      </c>
      <c r="AP181" s="116">
        <v>74757673</v>
      </c>
      <c r="AQ181" s="116">
        <f t="shared" si="28"/>
        <v>879</v>
      </c>
      <c r="AR181" s="116">
        <f t="shared" si="29"/>
        <v>355010520</v>
      </c>
      <c r="AS181" s="118">
        <v>0.37564102564102564</v>
      </c>
    </row>
    <row r="182" spans="1:45" s="105" customFormat="1" x14ac:dyDescent="0.3">
      <c r="A182" s="104" t="str">
        <f t="shared" si="22"/>
        <v>DWDJ68056DGS</v>
      </c>
      <c r="B182" s="126" t="s">
        <v>672</v>
      </c>
      <c r="C182" s="98" t="str">
        <f t="shared" si="25"/>
        <v>DJ680</v>
      </c>
      <c r="D182" s="98" t="s">
        <v>55</v>
      </c>
      <c r="E182" s="98" t="str">
        <f t="shared" si="26"/>
        <v>W</v>
      </c>
      <c r="F182" s="98" t="str">
        <f t="shared" si="27"/>
        <v>DJ</v>
      </c>
      <c r="G182" s="98" t="s">
        <v>56</v>
      </c>
      <c r="H182" s="115" t="s">
        <v>673</v>
      </c>
      <c r="I182" s="98" t="s">
        <v>435</v>
      </c>
      <c r="J182" s="115" t="str">
        <f t="shared" si="24"/>
        <v/>
      </c>
      <c r="K182" s="115">
        <v>1</v>
      </c>
      <c r="L182" s="121">
        <v>439000</v>
      </c>
      <c r="M182" s="78" t="s">
        <v>194</v>
      </c>
      <c r="N182" s="98" t="s">
        <v>261</v>
      </c>
      <c r="O182" s="98" t="s">
        <v>485</v>
      </c>
      <c r="P182" s="98">
        <v>100</v>
      </c>
      <c r="Q182" s="32" t="s">
        <v>119</v>
      </c>
      <c r="R182" s="98" t="s">
        <v>262</v>
      </c>
      <c r="S182" s="32" t="s">
        <v>263</v>
      </c>
      <c r="T182" s="98" t="s">
        <v>122</v>
      </c>
      <c r="U182" s="98" t="s">
        <v>670</v>
      </c>
      <c r="V182" s="98"/>
      <c r="W182" s="98"/>
      <c r="X182" s="78" t="s">
        <v>67</v>
      </c>
      <c r="Y182" s="98" t="s">
        <v>68</v>
      </c>
      <c r="Z182" s="32" t="s">
        <v>125</v>
      </c>
      <c r="AA182" s="32" t="s">
        <v>90</v>
      </c>
      <c r="AB182" s="78" t="s">
        <v>71</v>
      </c>
      <c r="AC182" s="98" t="s">
        <v>144</v>
      </c>
      <c r="AD182" s="98" t="s">
        <v>279</v>
      </c>
      <c r="AE182" s="65" t="s">
        <v>73</v>
      </c>
      <c r="AF182" s="39" t="s">
        <v>674</v>
      </c>
      <c r="AG182" s="98" t="s">
        <v>127</v>
      </c>
      <c r="AH182" s="115">
        <v>650</v>
      </c>
      <c r="AI182" s="117" t="s">
        <v>107</v>
      </c>
      <c r="AJ182" s="115" t="s">
        <v>108</v>
      </c>
      <c r="AK182" s="73">
        <v>3082</v>
      </c>
      <c r="AL182" s="116">
        <f t="shared" si="23"/>
        <v>1352998000</v>
      </c>
      <c r="AM182" s="116">
        <v>199</v>
      </c>
      <c r="AN182" s="116">
        <v>83815932</v>
      </c>
      <c r="AO182" s="116">
        <v>1014</v>
      </c>
      <c r="AP182" s="116">
        <v>436016439</v>
      </c>
      <c r="AQ182" s="116">
        <f t="shared" si="28"/>
        <v>1938.6</v>
      </c>
      <c r="AR182" s="116">
        <f t="shared" si="29"/>
        <v>782961768</v>
      </c>
      <c r="AS182" s="118">
        <v>0.62900713822193377</v>
      </c>
    </row>
    <row r="183" spans="1:45" s="105" customFormat="1" x14ac:dyDescent="0.3">
      <c r="A183" s="104" t="str">
        <f t="shared" si="22"/>
        <v>DWDJ68056CRS</v>
      </c>
      <c r="B183" s="126" t="s">
        <v>672</v>
      </c>
      <c r="C183" s="98" t="str">
        <f t="shared" si="25"/>
        <v>DJ680</v>
      </c>
      <c r="D183" s="98" t="s">
        <v>55</v>
      </c>
      <c r="E183" s="98" t="str">
        <f t="shared" si="26"/>
        <v>W</v>
      </c>
      <c r="F183" s="98" t="str">
        <f t="shared" si="27"/>
        <v>DJ</v>
      </c>
      <c r="G183" s="98" t="s">
        <v>56</v>
      </c>
      <c r="H183" s="115" t="s">
        <v>673</v>
      </c>
      <c r="I183" s="98" t="s">
        <v>79</v>
      </c>
      <c r="J183" s="115" t="str">
        <f t="shared" si="24"/>
        <v/>
      </c>
      <c r="K183" s="115">
        <v>1</v>
      </c>
      <c r="L183" s="121">
        <v>439000</v>
      </c>
      <c r="M183" s="78" t="s">
        <v>194</v>
      </c>
      <c r="N183" s="98" t="s">
        <v>261</v>
      </c>
      <c r="O183" s="98" t="s">
        <v>485</v>
      </c>
      <c r="P183" s="98">
        <v>100</v>
      </c>
      <c r="Q183" s="32" t="s">
        <v>119</v>
      </c>
      <c r="R183" s="98" t="s">
        <v>262</v>
      </c>
      <c r="S183" s="32" t="s">
        <v>263</v>
      </c>
      <c r="T183" s="98" t="s">
        <v>122</v>
      </c>
      <c r="U183" s="98" t="s">
        <v>670</v>
      </c>
      <c r="V183" s="98"/>
      <c r="W183" s="98"/>
      <c r="X183" s="78" t="s">
        <v>67</v>
      </c>
      <c r="Y183" s="98" t="s">
        <v>68</v>
      </c>
      <c r="Z183" s="32" t="s">
        <v>125</v>
      </c>
      <c r="AA183" s="32" t="s">
        <v>90</v>
      </c>
      <c r="AB183" s="78" t="s">
        <v>71</v>
      </c>
      <c r="AC183" s="98" t="s">
        <v>144</v>
      </c>
      <c r="AD183" s="98" t="s">
        <v>279</v>
      </c>
      <c r="AE183" s="65" t="s">
        <v>73</v>
      </c>
      <c r="AF183" s="39" t="s">
        <v>674</v>
      </c>
      <c r="AG183" s="98" t="s">
        <v>127</v>
      </c>
      <c r="AH183" s="115">
        <v>650</v>
      </c>
      <c r="AI183" s="117" t="s">
        <v>107</v>
      </c>
      <c r="AJ183" s="115" t="s">
        <v>108</v>
      </c>
      <c r="AK183" s="73">
        <v>4433</v>
      </c>
      <c r="AL183" s="116">
        <f t="shared" si="23"/>
        <v>1946087000</v>
      </c>
      <c r="AM183" s="116">
        <v>338</v>
      </c>
      <c r="AN183" s="116">
        <v>138530655</v>
      </c>
      <c r="AO183" s="116">
        <v>1071</v>
      </c>
      <c r="AP183" s="116">
        <v>452961119</v>
      </c>
      <c r="AQ183" s="116">
        <f t="shared" si="28"/>
        <v>2400.8999999999996</v>
      </c>
      <c r="AR183" s="116">
        <f t="shared" si="29"/>
        <v>969675491.99999988</v>
      </c>
      <c r="AS183" s="118">
        <v>0.54159711256485443</v>
      </c>
    </row>
    <row r="184" spans="1:45" s="105" customFormat="1" x14ac:dyDescent="0.3">
      <c r="A184" s="104" t="str">
        <f t="shared" si="22"/>
        <v>DWDJ68056BKS</v>
      </c>
      <c r="B184" s="126" t="s">
        <v>672</v>
      </c>
      <c r="C184" s="98" t="str">
        <f t="shared" si="25"/>
        <v>DJ680</v>
      </c>
      <c r="D184" s="98" t="s">
        <v>55</v>
      </c>
      <c r="E184" s="98" t="str">
        <f t="shared" si="26"/>
        <v>W</v>
      </c>
      <c r="F184" s="98" t="str">
        <f t="shared" si="27"/>
        <v>DJ</v>
      </c>
      <c r="G184" s="98" t="s">
        <v>56</v>
      </c>
      <c r="H184" s="115" t="s">
        <v>673</v>
      </c>
      <c r="I184" s="98" t="s">
        <v>78</v>
      </c>
      <c r="J184" s="115" t="str">
        <f t="shared" si="24"/>
        <v/>
      </c>
      <c r="K184" s="115">
        <v>1</v>
      </c>
      <c r="L184" s="121">
        <v>439000</v>
      </c>
      <c r="M184" s="78" t="s">
        <v>194</v>
      </c>
      <c r="N184" s="98" t="s">
        <v>261</v>
      </c>
      <c r="O184" s="98" t="s">
        <v>485</v>
      </c>
      <c r="P184" s="98">
        <v>100</v>
      </c>
      <c r="Q184" s="32" t="s">
        <v>119</v>
      </c>
      <c r="R184" s="98" t="s">
        <v>262</v>
      </c>
      <c r="S184" s="32" t="s">
        <v>263</v>
      </c>
      <c r="T184" s="98" t="s">
        <v>122</v>
      </c>
      <c r="U184" s="98" t="s">
        <v>670</v>
      </c>
      <c r="V184" s="98"/>
      <c r="W184" s="98"/>
      <c r="X184" s="78" t="s">
        <v>67</v>
      </c>
      <c r="Y184" s="98" t="s">
        <v>68</v>
      </c>
      <c r="Z184" s="32" t="s">
        <v>125</v>
      </c>
      <c r="AA184" s="32" t="s">
        <v>90</v>
      </c>
      <c r="AB184" s="78" t="s">
        <v>71</v>
      </c>
      <c r="AC184" s="98" t="s">
        <v>144</v>
      </c>
      <c r="AD184" s="98" t="s">
        <v>279</v>
      </c>
      <c r="AE184" s="65" t="s">
        <v>73</v>
      </c>
      <c r="AF184" s="39" t="s">
        <v>674</v>
      </c>
      <c r="AG184" s="98" t="s">
        <v>127</v>
      </c>
      <c r="AH184" s="115">
        <v>650</v>
      </c>
      <c r="AI184" s="117" t="s">
        <v>107</v>
      </c>
      <c r="AJ184" s="115" t="s">
        <v>108</v>
      </c>
      <c r="AK184" s="73">
        <v>29054</v>
      </c>
      <c r="AL184" s="116">
        <f t="shared" si="23"/>
        <v>12754706000</v>
      </c>
      <c r="AM184" s="116">
        <v>1578</v>
      </c>
      <c r="AN184" s="116">
        <v>644439046</v>
      </c>
      <c r="AO184" s="116">
        <v>4813</v>
      </c>
      <c r="AP184" s="116">
        <v>2009957459</v>
      </c>
      <c r="AQ184" s="116">
        <f t="shared" si="28"/>
        <v>13529.199999999999</v>
      </c>
      <c r="AR184" s="116">
        <f t="shared" si="29"/>
        <v>5464173296</v>
      </c>
      <c r="AS184" s="118">
        <v>0.46565705238521371</v>
      </c>
    </row>
    <row r="185" spans="1:45" s="105" customFormat="1" x14ac:dyDescent="0.3">
      <c r="A185" s="104" t="str">
        <f t="shared" si="22"/>
        <v>DXDJ8C056DGN</v>
      </c>
      <c r="B185" s="126" t="s">
        <v>675</v>
      </c>
      <c r="C185" s="98" t="str">
        <f t="shared" si="25"/>
        <v>DJ8C0</v>
      </c>
      <c r="D185" s="98" t="s">
        <v>55</v>
      </c>
      <c r="E185" s="98" t="str">
        <f t="shared" si="26"/>
        <v>X</v>
      </c>
      <c r="F185" s="98" t="str">
        <f t="shared" si="27"/>
        <v>DJ</v>
      </c>
      <c r="G185" s="98" t="s">
        <v>56</v>
      </c>
      <c r="H185" s="115" t="s">
        <v>676</v>
      </c>
      <c r="I185" s="98" t="s">
        <v>677</v>
      </c>
      <c r="J185" s="115">
        <f t="shared" si="24"/>
        <v>1</v>
      </c>
      <c r="K185" s="115">
        <v>1</v>
      </c>
      <c r="L185" s="121">
        <v>299000</v>
      </c>
      <c r="M185" s="78" t="s">
        <v>217</v>
      </c>
      <c r="N185" s="98" t="s">
        <v>218</v>
      </c>
      <c r="O185" s="98" t="s">
        <v>485</v>
      </c>
      <c r="P185" s="98">
        <v>100</v>
      </c>
      <c r="Q185" s="32" t="s">
        <v>219</v>
      </c>
      <c r="R185" s="98" t="s">
        <v>220</v>
      </c>
      <c r="S185" s="32" t="s">
        <v>221</v>
      </c>
      <c r="T185" s="98" t="s">
        <v>65</v>
      </c>
      <c r="U185" s="98"/>
      <c r="V185" s="98" t="s">
        <v>520</v>
      </c>
      <c r="W185" s="98"/>
      <c r="X185" s="78" t="s">
        <v>67</v>
      </c>
      <c r="Y185" s="98" t="s">
        <v>68</v>
      </c>
      <c r="Z185" s="32" t="s">
        <v>69</v>
      </c>
      <c r="AA185" s="32" t="s">
        <v>70</v>
      </c>
      <c r="AB185" s="78" t="s">
        <v>71</v>
      </c>
      <c r="AC185" s="98" t="s">
        <v>85</v>
      </c>
      <c r="AD185" s="98" t="s">
        <v>208</v>
      </c>
      <c r="AE185" s="65" t="s">
        <v>137</v>
      </c>
      <c r="AF185" s="39" t="s">
        <v>442</v>
      </c>
      <c r="AG185" s="98" t="s">
        <v>127</v>
      </c>
      <c r="AH185" s="115">
        <v>650</v>
      </c>
      <c r="AI185" s="117" t="s">
        <v>264</v>
      </c>
      <c r="AJ185" s="112" t="s">
        <v>384</v>
      </c>
      <c r="AK185" s="73">
        <v>2984</v>
      </c>
      <c r="AL185" s="116">
        <f t="shared" si="23"/>
        <v>892216000</v>
      </c>
      <c r="AM185" s="116">
        <v>57</v>
      </c>
      <c r="AN185" s="116">
        <v>15944814</v>
      </c>
      <c r="AO185" s="116">
        <v>269</v>
      </c>
      <c r="AP185" s="116">
        <v>76289172</v>
      </c>
      <c r="AQ185" s="116">
        <f t="shared" si="28"/>
        <v>1313.3999999999999</v>
      </c>
      <c r="AR185" s="116">
        <f t="shared" si="29"/>
        <v>361290071.99999994</v>
      </c>
      <c r="AS185" s="118">
        <v>0.44014745308310987</v>
      </c>
    </row>
    <row r="186" spans="1:45" s="105" customFormat="1" x14ac:dyDescent="0.3">
      <c r="A186" s="104" t="str">
        <f t="shared" si="22"/>
        <v>DXDJ8C056BKL</v>
      </c>
      <c r="B186" s="126" t="s">
        <v>675</v>
      </c>
      <c r="C186" s="98" t="str">
        <f t="shared" si="25"/>
        <v>DJ8C0</v>
      </c>
      <c r="D186" s="98" t="s">
        <v>55</v>
      </c>
      <c r="E186" s="98" t="str">
        <f t="shared" si="26"/>
        <v>X</v>
      </c>
      <c r="F186" s="98" t="str">
        <f t="shared" si="27"/>
        <v>DJ</v>
      </c>
      <c r="G186" s="98" t="s">
        <v>56</v>
      </c>
      <c r="H186" s="115" t="s">
        <v>676</v>
      </c>
      <c r="I186" s="98" t="s">
        <v>633</v>
      </c>
      <c r="J186" s="115" t="str">
        <f t="shared" si="24"/>
        <v/>
      </c>
      <c r="K186" s="115">
        <v>1</v>
      </c>
      <c r="L186" s="121">
        <v>299000</v>
      </c>
      <c r="M186" s="78" t="s">
        <v>225</v>
      </c>
      <c r="N186" s="98" t="s">
        <v>517</v>
      </c>
      <c r="O186" s="98" t="s">
        <v>143</v>
      </c>
      <c r="P186" s="98">
        <v>100</v>
      </c>
      <c r="Q186" s="32" t="s">
        <v>144</v>
      </c>
      <c r="R186" s="98" t="s">
        <v>518</v>
      </c>
      <c r="S186" s="32" t="s">
        <v>519</v>
      </c>
      <c r="T186" s="98" t="s">
        <v>122</v>
      </c>
      <c r="U186" s="98" t="s">
        <v>332</v>
      </c>
      <c r="V186" s="98" t="s">
        <v>66</v>
      </c>
      <c r="W186" s="98"/>
      <c r="X186" s="78" t="s">
        <v>67</v>
      </c>
      <c r="Y186" s="98" t="s">
        <v>68</v>
      </c>
      <c r="Z186" s="32" t="s">
        <v>441</v>
      </c>
      <c r="AA186" s="32" t="s">
        <v>353</v>
      </c>
      <c r="AB186" s="78" t="s">
        <v>71</v>
      </c>
      <c r="AC186" s="98" t="s">
        <v>85</v>
      </c>
      <c r="AD186" s="98" t="s">
        <v>208</v>
      </c>
      <c r="AE186" s="65" t="s">
        <v>137</v>
      </c>
      <c r="AF186" s="39" t="s">
        <v>442</v>
      </c>
      <c r="AG186" s="98" t="s">
        <v>127</v>
      </c>
      <c r="AH186" s="115">
        <v>650</v>
      </c>
      <c r="AI186" s="117" t="s">
        <v>264</v>
      </c>
      <c r="AJ186" s="112" t="s">
        <v>384</v>
      </c>
      <c r="AK186" s="73">
        <v>4000</v>
      </c>
      <c r="AL186" s="116">
        <f t="shared" si="23"/>
        <v>1196000000</v>
      </c>
      <c r="AM186" s="116">
        <v>242</v>
      </c>
      <c r="AN186" s="116">
        <v>67773067</v>
      </c>
      <c r="AO186" s="116">
        <v>881</v>
      </c>
      <c r="AP186" s="116">
        <v>250840141</v>
      </c>
      <c r="AQ186" s="116">
        <f t="shared" si="28"/>
        <v>2280.9999999999995</v>
      </c>
      <c r="AR186" s="116">
        <f t="shared" si="29"/>
        <v>627457479.99999988</v>
      </c>
      <c r="AS186" s="118">
        <v>0.57024999999999992</v>
      </c>
    </row>
    <row r="187" spans="1:45" s="105" customFormat="1" x14ac:dyDescent="0.3">
      <c r="A187" s="104" t="str">
        <f t="shared" si="22"/>
        <v>DXDJ8C056BKN</v>
      </c>
      <c r="B187" s="126" t="s">
        <v>675</v>
      </c>
      <c r="C187" s="98" t="str">
        <f t="shared" si="25"/>
        <v>DJ8C0</v>
      </c>
      <c r="D187" s="98" t="s">
        <v>55</v>
      </c>
      <c r="E187" s="98" t="str">
        <f t="shared" si="26"/>
        <v>X</v>
      </c>
      <c r="F187" s="98" t="str">
        <f t="shared" si="27"/>
        <v>DJ</v>
      </c>
      <c r="G187" s="98" t="s">
        <v>56</v>
      </c>
      <c r="H187" s="115" t="s">
        <v>676</v>
      </c>
      <c r="I187" s="98" t="s">
        <v>140</v>
      </c>
      <c r="J187" s="115" t="str">
        <f t="shared" si="24"/>
        <v/>
      </c>
      <c r="K187" s="115">
        <v>1</v>
      </c>
      <c r="L187" s="121">
        <v>299000</v>
      </c>
      <c r="M187" s="78" t="s">
        <v>217</v>
      </c>
      <c r="N187" s="98" t="s">
        <v>218</v>
      </c>
      <c r="O187" s="98" t="s">
        <v>485</v>
      </c>
      <c r="P187" s="98">
        <v>100</v>
      </c>
      <c r="Q187" s="32" t="s">
        <v>219</v>
      </c>
      <c r="R187" s="98" t="s">
        <v>220</v>
      </c>
      <c r="S187" s="32" t="s">
        <v>221</v>
      </c>
      <c r="T187" s="98" t="s">
        <v>65</v>
      </c>
      <c r="U187" s="98"/>
      <c r="V187" s="98" t="s">
        <v>520</v>
      </c>
      <c r="W187" s="98"/>
      <c r="X187" s="78" t="s">
        <v>67</v>
      </c>
      <c r="Y187" s="98" t="s">
        <v>68</v>
      </c>
      <c r="Z187" s="32" t="s">
        <v>69</v>
      </c>
      <c r="AA187" s="32" t="s">
        <v>70</v>
      </c>
      <c r="AB187" s="78" t="s">
        <v>71</v>
      </c>
      <c r="AC187" s="98" t="s">
        <v>85</v>
      </c>
      <c r="AD187" s="98" t="s">
        <v>208</v>
      </c>
      <c r="AE187" s="65" t="s">
        <v>137</v>
      </c>
      <c r="AF187" s="39" t="s">
        <v>442</v>
      </c>
      <c r="AG187" s="98" t="s">
        <v>127</v>
      </c>
      <c r="AH187" s="115">
        <v>650</v>
      </c>
      <c r="AI187" s="117" t="s">
        <v>264</v>
      </c>
      <c r="AJ187" s="112" t="s">
        <v>384</v>
      </c>
      <c r="AK187" s="73">
        <v>5782</v>
      </c>
      <c r="AL187" s="116">
        <f t="shared" si="23"/>
        <v>1728818000</v>
      </c>
      <c r="AM187" s="116">
        <v>349</v>
      </c>
      <c r="AN187" s="116">
        <v>98878009</v>
      </c>
      <c r="AO187" s="116">
        <v>1372</v>
      </c>
      <c r="AP187" s="116">
        <v>392434078</v>
      </c>
      <c r="AQ187" s="116">
        <f t="shared" si="28"/>
        <v>3395.7000000000003</v>
      </c>
      <c r="AR187" s="116">
        <f t="shared" si="29"/>
        <v>934089156</v>
      </c>
      <c r="AS187" s="118">
        <v>0.58728813559322035</v>
      </c>
    </row>
    <row r="188" spans="1:45" s="105" customFormat="1" x14ac:dyDescent="0.3">
      <c r="A188" s="104" t="str">
        <f t="shared" si="22"/>
        <v>DXDJ8C056GRP</v>
      </c>
      <c r="B188" s="126" t="s">
        <v>675</v>
      </c>
      <c r="C188" s="98" t="str">
        <f t="shared" si="25"/>
        <v>DJ8C0</v>
      </c>
      <c r="D188" s="98" t="s">
        <v>55</v>
      </c>
      <c r="E188" s="98" t="str">
        <f t="shared" si="26"/>
        <v>X</v>
      </c>
      <c r="F188" s="98" t="str">
        <f t="shared" si="27"/>
        <v>DJ</v>
      </c>
      <c r="G188" s="98" t="s">
        <v>56</v>
      </c>
      <c r="H188" s="115" t="s">
        <v>676</v>
      </c>
      <c r="I188" s="98" t="s">
        <v>388</v>
      </c>
      <c r="J188" s="115" t="str">
        <f t="shared" si="24"/>
        <v/>
      </c>
      <c r="K188" s="115">
        <v>1</v>
      </c>
      <c r="L188" s="121">
        <v>299000</v>
      </c>
      <c r="M188" s="78" t="s">
        <v>509</v>
      </c>
      <c r="N188" s="98" t="s">
        <v>678</v>
      </c>
      <c r="O188" s="98" t="s">
        <v>485</v>
      </c>
      <c r="P188" s="98">
        <v>100</v>
      </c>
      <c r="Q188" s="32" t="s">
        <v>119</v>
      </c>
      <c r="R188" s="98" t="s">
        <v>246</v>
      </c>
      <c r="S188" s="32" t="s">
        <v>331</v>
      </c>
      <c r="T188" s="98" t="s">
        <v>122</v>
      </c>
      <c r="U188" s="98" t="s">
        <v>207</v>
      </c>
      <c r="V188" s="98" t="s">
        <v>66</v>
      </c>
      <c r="W188" s="98"/>
      <c r="X188" s="78" t="s">
        <v>67</v>
      </c>
      <c r="Y188" s="98" t="s">
        <v>68</v>
      </c>
      <c r="Z188" s="32" t="s">
        <v>125</v>
      </c>
      <c r="AA188" s="32" t="s">
        <v>90</v>
      </c>
      <c r="AB188" s="78" t="s">
        <v>71</v>
      </c>
      <c r="AC188" s="98" t="s">
        <v>85</v>
      </c>
      <c r="AD188" s="98" t="s">
        <v>208</v>
      </c>
      <c r="AE188" s="65" t="s">
        <v>137</v>
      </c>
      <c r="AF188" s="39" t="s">
        <v>442</v>
      </c>
      <c r="AG188" s="98" t="s">
        <v>127</v>
      </c>
      <c r="AH188" s="115">
        <v>650</v>
      </c>
      <c r="AI188" s="117" t="s">
        <v>264</v>
      </c>
      <c r="AJ188" s="112" t="s">
        <v>384</v>
      </c>
      <c r="AK188" s="73">
        <v>497</v>
      </c>
      <c r="AL188" s="116">
        <f t="shared" si="23"/>
        <v>148603000</v>
      </c>
      <c r="AM188" s="116">
        <v>18</v>
      </c>
      <c r="AN188" s="116">
        <v>5033027</v>
      </c>
      <c r="AO188" s="116">
        <v>98</v>
      </c>
      <c r="AP188" s="116">
        <v>27920463</v>
      </c>
      <c r="AQ188" s="116">
        <f t="shared" si="28"/>
        <v>271.95</v>
      </c>
      <c r="AR188" s="116">
        <f t="shared" si="29"/>
        <v>74808005.999999985</v>
      </c>
      <c r="AS188" s="118">
        <v>0.54718309859154923</v>
      </c>
    </row>
    <row r="189" spans="1:45" s="105" customFormat="1" x14ac:dyDescent="0.3">
      <c r="A189" s="104" t="str">
        <f t="shared" si="22"/>
        <v>DXDJ8C056DKS</v>
      </c>
      <c r="B189" s="126" t="s">
        <v>675</v>
      </c>
      <c r="C189" s="98" t="str">
        <f t="shared" si="25"/>
        <v>DJ8C0</v>
      </c>
      <c r="D189" s="98" t="s">
        <v>55</v>
      </c>
      <c r="E189" s="98" t="str">
        <f t="shared" si="26"/>
        <v>X</v>
      </c>
      <c r="F189" s="98" t="str">
        <f t="shared" si="27"/>
        <v>DJ</v>
      </c>
      <c r="G189" s="98" t="s">
        <v>56</v>
      </c>
      <c r="H189" s="115" t="s">
        <v>676</v>
      </c>
      <c r="I189" s="98" t="s">
        <v>570</v>
      </c>
      <c r="J189" s="115" t="str">
        <f t="shared" si="24"/>
        <v/>
      </c>
      <c r="K189" s="115">
        <v>1</v>
      </c>
      <c r="L189" s="121">
        <v>299000</v>
      </c>
      <c r="M189" s="78" t="s">
        <v>509</v>
      </c>
      <c r="N189" s="98" t="s">
        <v>678</v>
      </c>
      <c r="O189" s="98" t="s">
        <v>485</v>
      </c>
      <c r="P189" s="98">
        <v>100</v>
      </c>
      <c r="Q189" s="32" t="s">
        <v>119</v>
      </c>
      <c r="R189" s="98" t="s">
        <v>246</v>
      </c>
      <c r="S189" s="32" t="s">
        <v>331</v>
      </c>
      <c r="T189" s="98" t="s">
        <v>122</v>
      </c>
      <c r="U189" s="98" t="s">
        <v>207</v>
      </c>
      <c r="V189" s="98" t="s">
        <v>66</v>
      </c>
      <c r="W189" s="98"/>
      <c r="X189" s="78" t="s">
        <v>67</v>
      </c>
      <c r="Y189" s="98" t="s">
        <v>68</v>
      </c>
      <c r="Z189" s="32" t="s">
        <v>125</v>
      </c>
      <c r="AA189" s="32" t="s">
        <v>90</v>
      </c>
      <c r="AB189" s="78" t="s">
        <v>71</v>
      </c>
      <c r="AC189" s="98" t="s">
        <v>85</v>
      </c>
      <c r="AD189" s="98" t="s">
        <v>208</v>
      </c>
      <c r="AE189" s="65" t="s">
        <v>137</v>
      </c>
      <c r="AF189" s="39" t="s">
        <v>442</v>
      </c>
      <c r="AG189" s="98" t="s">
        <v>127</v>
      </c>
      <c r="AH189" s="115">
        <v>650</v>
      </c>
      <c r="AI189" s="117" t="s">
        <v>264</v>
      </c>
      <c r="AJ189" s="112" t="s">
        <v>384</v>
      </c>
      <c r="AK189" s="73">
        <v>1288</v>
      </c>
      <c r="AL189" s="116">
        <f t="shared" si="23"/>
        <v>385112000</v>
      </c>
      <c r="AM189" s="116">
        <v>74</v>
      </c>
      <c r="AN189" s="116">
        <v>20445203</v>
      </c>
      <c r="AO189" s="116">
        <v>315</v>
      </c>
      <c r="AP189" s="116">
        <v>88980790</v>
      </c>
      <c r="AQ189" s="116">
        <f t="shared" si="28"/>
        <v>765.8</v>
      </c>
      <c r="AR189" s="116">
        <f t="shared" si="29"/>
        <v>210656263.99999997</v>
      </c>
      <c r="AS189" s="118">
        <v>0.5945652173913043</v>
      </c>
    </row>
    <row r="190" spans="1:45" s="105" customFormat="1" x14ac:dyDescent="0.3">
      <c r="A190" s="104" t="str">
        <f t="shared" si="22"/>
        <v>DXDJ8C056BKS</v>
      </c>
      <c r="B190" s="126" t="s">
        <v>675</v>
      </c>
      <c r="C190" s="98" t="str">
        <f t="shared" si="25"/>
        <v>DJ8C0</v>
      </c>
      <c r="D190" s="98" t="s">
        <v>55</v>
      </c>
      <c r="E190" s="98" t="str">
        <f t="shared" si="26"/>
        <v>X</v>
      </c>
      <c r="F190" s="98" t="str">
        <f t="shared" si="27"/>
        <v>DJ</v>
      </c>
      <c r="G190" s="98" t="s">
        <v>56</v>
      </c>
      <c r="H190" s="115" t="s">
        <v>676</v>
      </c>
      <c r="I190" s="98" t="s">
        <v>78</v>
      </c>
      <c r="J190" s="115" t="str">
        <f t="shared" si="24"/>
        <v/>
      </c>
      <c r="K190" s="115">
        <v>1</v>
      </c>
      <c r="L190" s="121">
        <v>299000</v>
      </c>
      <c r="M190" s="78" t="s">
        <v>509</v>
      </c>
      <c r="N190" s="98" t="s">
        <v>678</v>
      </c>
      <c r="O190" s="98" t="s">
        <v>485</v>
      </c>
      <c r="P190" s="98">
        <v>100</v>
      </c>
      <c r="Q190" s="32" t="s">
        <v>119</v>
      </c>
      <c r="R190" s="98" t="s">
        <v>246</v>
      </c>
      <c r="S190" s="32" t="s">
        <v>331</v>
      </c>
      <c r="T190" s="98" t="s">
        <v>122</v>
      </c>
      <c r="U190" s="98" t="s">
        <v>207</v>
      </c>
      <c r="V190" s="98" t="s">
        <v>66</v>
      </c>
      <c r="W190" s="98"/>
      <c r="X190" s="78" t="s">
        <v>67</v>
      </c>
      <c r="Y190" s="98" t="s">
        <v>68</v>
      </c>
      <c r="Z190" s="32" t="s">
        <v>125</v>
      </c>
      <c r="AA190" s="32" t="s">
        <v>90</v>
      </c>
      <c r="AB190" s="78" t="s">
        <v>71</v>
      </c>
      <c r="AC190" s="98" t="s">
        <v>85</v>
      </c>
      <c r="AD190" s="98" t="s">
        <v>208</v>
      </c>
      <c r="AE190" s="65" t="s">
        <v>137</v>
      </c>
      <c r="AF190" s="39" t="s">
        <v>442</v>
      </c>
      <c r="AG190" s="98" t="s">
        <v>127</v>
      </c>
      <c r="AH190" s="115">
        <v>650</v>
      </c>
      <c r="AI190" s="117" t="s">
        <v>264</v>
      </c>
      <c r="AJ190" s="112" t="s">
        <v>384</v>
      </c>
      <c r="AK190" s="73">
        <v>13896</v>
      </c>
      <c r="AL190" s="116">
        <f t="shared" si="23"/>
        <v>4154904000</v>
      </c>
      <c r="AM190" s="116">
        <v>1162</v>
      </c>
      <c r="AN190" s="116">
        <v>322726231</v>
      </c>
      <c r="AO190" s="116">
        <v>4326</v>
      </c>
      <c r="AP190" s="116">
        <v>1227071101</v>
      </c>
      <c r="AQ190" s="116">
        <f t="shared" si="28"/>
        <v>9189.5999999999985</v>
      </c>
      <c r="AR190" s="116">
        <f t="shared" si="29"/>
        <v>2527875167.9999995</v>
      </c>
      <c r="AS190" s="118">
        <v>0.66131260794473223</v>
      </c>
    </row>
    <row r="191" spans="1:45" s="105" customFormat="1" x14ac:dyDescent="0.3">
      <c r="A191" s="104" t="str">
        <f t="shared" si="22"/>
        <v>DXDJ8C056GRS</v>
      </c>
      <c r="B191" s="126" t="s">
        <v>675</v>
      </c>
      <c r="C191" s="98" t="str">
        <f t="shared" si="25"/>
        <v>DJ8C0</v>
      </c>
      <c r="D191" s="98" t="s">
        <v>55</v>
      </c>
      <c r="E191" s="98" t="str">
        <f t="shared" si="26"/>
        <v>X</v>
      </c>
      <c r="F191" s="98" t="str">
        <f t="shared" si="27"/>
        <v>DJ</v>
      </c>
      <c r="G191" s="98" t="s">
        <v>56</v>
      </c>
      <c r="H191" s="115" t="s">
        <v>676</v>
      </c>
      <c r="I191" s="98" t="s">
        <v>233</v>
      </c>
      <c r="J191" s="115" t="str">
        <f t="shared" si="24"/>
        <v/>
      </c>
      <c r="K191" s="115">
        <v>1</v>
      </c>
      <c r="L191" s="121">
        <v>299000</v>
      </c>
      <c r="M191" s="78" t="s">
        <v>509</v>
      </c>
      <c r="N191" s="98" t="s">
        <v>678</v>
      </c>
      <c r="O191" s="98" t="s">
        <v>485</v>
      </c>
      <c r="P191" s="98">
        <v>100</v>
      </c>
      <c r="Q191" s="32" t="s">
        <v>119</v>
      </c>
      <c r="R191" s="98" t="s">
        <v>246</v>
      </c>
      <c r="S191" s="32" t="s">
        <v>331</v>
      </c>
      <c r="T191" s="98" t="s">
        <v>122</v>
      </c>
      <c r="U191" s="98" t="s">
        <v>207</v>
      </c>
      <c r="V191" s="98" t="s">
        <v>66</v>
      </c>
      <c r="W191" s="98"/>
      <c r="X191" s="78" t="s">
        <v>67</v>
      </c>
      <c r="Y191" s="98" t="s">
        <v>68</v>
      </c>
      <c r="Z191" s="32" t="s">
        <v>125</v>
      </c>
      <c r="AA191" s="32" t="s">
        <v>90</v>
      </c>
      <c r="AB191" s="78" t="s">
        <v>71</v>
      </c>
      <c r="AC191" s="98" t="s">
        <v>85</v>
      </c>
      <c r="AD191" s="98" t="s">
        <v>208</v>
      </c>
      <c r="AE191" s="65" t="s">
        <v>137</v>
      </c>
      <c r="AF191" s="39" t="s">
        <v>442</v>
      </c>
      <c r="AG191" s="98" t="s">
        <v>127</v>
      </c>
      <c r="AH191" s="115">
        <v>650</v>
      </c>
      <c r="AI191" s="117" t="s">
        <v>264</v>
      </c>
      <c r="AJ191" s="112" t="s">
        <v>384</v>
      </c>
      <c r="AK191" s="73">
        <v>1788</v>
      </c>
      <c r="AL191" s="116">
        <f t="shared" si="23"/>
        <v>534612000</v>
      </c>
      <c r="AM191" s="116">
        <v>100</v>
      </c>
      <c r="AN191" s="116">
        <v>27617731</v>
      </c>
      <c r="AO191" s="116">
        <v>394</v>
      </c>
      <c r="AP191" s="116">
        <v>110738708</v>
      </c>
      <c r="AQ191" s="116">
        <f t="shared" si="28"/>
        <v>1019.8</v>
      </c>
      <c r="AR191" s="116">
        <f t="shared" si="29"/>
        <v>280526584</v>
      </c>
      <c r="AS191" s="118">
        <v>0.57035794183445188</v>
      </c>
    </row>
    <row r="192" spans="1:45" s="105" customFormat="1" x14ac:dyDescent="0.3">
      <c r="A192" s="104" t="str">
        <f t="shared" si="22"/>
        <v>DXDJ8C056TQN</v>
      </c>
      <c r="B192" s="126" t="s">
        <v>675</v>
      </c>
      <c r="C192" s="98" t="str">
        <f t="shared" si="25"/>
        <v>DJ8C0</v>
      </c>
      <c r="D192" s="98" t="s">
        <v>55</v>
      </c>
      <c r="E192" s="98" t="str">
        <f t="shared" si="26"/>
        <v>X</v>
      </c>
      <c r="F192" s="98" t="str">
        <f t="shared" si="27"/>
        <v>DJ</v>
      </c>
      <c r="G192" s="98" t="s">
        <v>56</v>
      </c>
      <c r="H192" s="115" t="s">
        <v>676</v>
      </c>
      <c r="I192" s="98" t="s">
        <v>542</v>
      </c>
      <c r="J192" s="115" t="str">
        <f t="shared" si="24"/>
        <v/>
      </c>
      <c r="K192" s="115">
        <v>1</v>
      </c>
      <c r="L192" s="121">
        <v>299000</v>
      </c>
      <c r="M192" s="78" t="s">
        <v>217</v>
      </c>
      <c r="N192" s="98" t="s">
        <v>218</v>
      </c>
      <c r="O192" s="98" t="s">
        <v>485</v>
      </c>
      <c r="P192" s="98">
        <v>100</v>
      </c>
      <c r="Q192" s="32" t="s">
        <v>219</v>
      </c>
      <c r="R192" s="98" t="s">
        <v>220</v>
      </c>
      <c r="S192" s="32" t="s">
        <v>221</v>
      </c>
      <c r="T192" s="98" t="s">
        <v>65</v>
      </c>
      <c r="U192" s="98"/>
      <c r="V192" s="98" t="s">
        <v>520</v>
      </c>
      <c r="W192" s="98"/>
      <c r="X192" s="78" t="s">
        <v>67</v>
      </c>
      <c r="Y192" s="98" t="s">
        <v>68</v>
      </c>
      <c r="Z192" s="32" t="s">
        <v>69</v>
      </c>
      <c r="AA192" s="32" t="s">
        <v>70</v>
      </c>
      <c r="AB192" s="78" t="s">
        <v>71</v>
      </c>
      <c r="AC192" s="98" t="s">
        <v>85</v>
      </c>
      <c r="AD192" s="98" t="s">
        <v>208</v>
      </c>
      <c r="AE192" s="65" t="s">
        <v>137</v>
      </c>
      <c r="AF192" s="39" t="s">
        <v>442</v>
      </c>
      <c r="AG192" s="98" t="s">
        <v>127</v>
      </c>
      <c r="AH192" s="115">
        <v>650</v>
      </c>
      <c r="AI192" s="117" t="s">
        <v>264</v>
      </c>
      <c r="AJ192" s="112" t="s">
        <v>384</v>
      </c>
      <c r="AK192" s="73">
        <v>1458</v>
      </c>
      <c r="AL192" s="116">
        <f t="shared" si="23"/>
        <v>435942000</v>
      </c>
      <c r="AM192" s="116">
        <v>14</v>
      </c>
      <c r="AN192" s="116">
        <v>3925961</v>
      </c>
      <c r="AO192" s="116">
        <v>71</v>
      </c>
      <c r="AP192" s="116">
        <v>20281214</v>
      </c>
      <c r="AQ192" s="116">
        <f t="shared" si="28"/>
        <v>581.29999999999995</v>
      </c>
      <c r="AR192" s="116">
        <f t="shared" si="29"/>
        <v>159904004</v>
      </c>
      <c r="AS192" s="118">
        <v>0.39869684499314129</v>
      </c>
    </row>
    <row r="193" spans="1:45" s="105" customFormat="1" x14ac:dyDescent="0.3">
      <c r="A193" s="104" t="str">
        <f t="shared" si="22"/>
        <v>DXDJ8C056PPS</v>
      </c>
      <c r="B193" s="126" t="s">
        <v>675</v>
      </c>
      <c r="C193" s="98" t="str">
        <f t="shared" si="25"/>
        <v>DJ8C0</v>
      </c>
      <c r="D193" s="98" t="s">
        <v>55</v>
      </c>
      <c r="E193" s="98" t="str">
        <f t="shared" si="26"/>
        <v>X</v>
      </c>
      <c r="F193" s="98" t="str">
        <f t="shared" si="27"/>
        <v>DJ</v>
      </c>
      <c r="G193" s="98" t="s">
        <v>56</v>
      </c>
      <c r="H193" s="115" t="s">
        <v>676</v>
      </c>
      <c r="I193" s="98" t="s">
        <v>177</v>
      </c>
      <c r="J193" s="115" t="str">
        <f t="shared" si="24"/>
        <v/>
      </c>
      <c r="K193" s="115">
        <v>1</v>
      </c>
      <c r="L193" s="121">
        <v>299000</v>
      </c>
      <c r="M193" s="78" t="s">
        <v>225</v>
      </c>
      <c r="N193" s="98" t="s">
        <v>517</v>
      </c>
      <c r="O193" s="98" t="s">
        <v>143</v>
      </c>
      <c r="P193" s="98">
        <v>100</v>
      </c>
      <c r="Q193" s="32" t="s">
        <v>144</v>
      </c>
      <c r="R193" s="98" t="s">
        <v>518</v>
      </c>
      <c r="S193" s="32" t="s">
        <v>519</v>
      </c>
      <c r="T193" s="98" t="s">
        <v>122</v>
      </c>
      <c r="U193" s="98" t="s">
        <v>332</v>
      </c>
      <c r="V193" s="98" t="s">
        <v>66</v>
      </c>
      <c r="W193" s="98"/>
      <c r="X193" s="78" t="s">
        <v>67</v>
      </c>
      <c r="Y193" s="98" t="s">
        <v>68</v>
      </c>
      <c r="Z193" s="32" t="s">
        <v>441</v>
      </c>
      <c r="AA193" s="32" t="s">
        <v>353</v>
      </c>
      <c r="AB193" s="78" t="s">
        <v>71</v>
      </c>
      <c r="AC193" s="98" t="s">
        <v>85</v>
      </c>
      <c r="AD193" s="98" t="s">
        <v>208</v>
      </c>
      <c r="AE193" s="65" t="s">
        <v>137</v>
      </c>
      <c r="AF193" s="39" t="s">
        <v>442</v>
      </c>
      <c r="AG193" s="98" t="s">
        <v>127</v>
      </c>
      <c r="AH193" s="115">
        <v>650</v>
      </c>
      <c r="AI193" s="117" t="s">
        <v>264</v>
      </c>
      <c r="AJ193" s="112" t="s">
        <v>384</v>
      </c>
      <c r="AK193" s="73">
        <v>804</v>
      </c>
      <c r="AL193" s="116">
        <f t="shared" si="23"/>
        <v>240396000</v>
      </c>
      <c r="AM193" s="116">
        <v>0</v>
      </c>
      <c r="AN193" s="116">
        <v>0</v>
      </c>
      <c r="AO193" s="116">
        <v>4</v>
      </c>
      <c r="AP193" s="116">
        <v>1160000</v>
      </c>
      <c r="AQ193" s="116">
        <f t="shared" si="28"/>
        <v>285.39999999999998</v>
      </c>
      <c r="AR193" s="116">
        <f t="shared" si="29"/>
        <v>78507831.999999985</v>
      </c>
      <c r="AS193" s="118">
        <v>0.35497512437810941</v>
      </c>
    </row>
    <row r="194" spans="1:45" s="105" customFormat="1" x14ac:dyDescent="0.3">
      <c r="A194" s="104" t="str">
        <f t="shared" si="22"/>
        <v>DXDJ8C056OLL</v>
      </c>
      <c r="B194" s="126" t="s">
        <v>675</v>
      </c>
      <c r="C194" s="98" t="str">
        <f t="shared" si="25"/>
        <v>DJ8C0</v>
      </c>
      <c r="D194" s="98" t="s">
        <v>55</v>
      </c>
      <c r="E194" s="98" t="str">
        <f t="shared" si="26"/>
        <v>X</v>
      </c>
      <c r="F194" s="98" t="str">
        <f t="shared" si="27"/>
        <v>DJ</v>
      </c>
      <c r="G194" s="98" t="s">
        <v>56</v>
      </c>
      <c r="H194" s="115" t="s">
        <v>676</v>
      </c>
      <c r="I194" s="98" t="s">
        <v>596</v>
      </c>
      <c r="J194" s="115" t="str">
        <f t="shared" si="24"/>
        <v/>
      </c>
      <c r="K194" s="115">
        <v>1</v>
      </c>
      <c r="L194" s="121">
        <v>299000</v>
      </c>
      <c r="M194" s="78" t="s">
        <v>225</v>
      </c>
      <c r="N194" s="98" t="s">
        <v>517</v>
      </c>
      <c r="O194" s="98" t="s">
        <v>143</v>
      </c>
      <c r="P194" s="98">
        <v>100</v>
      </c>
      <c r="Q194" s="32" t="s">
        <v>144</v>
      </c>
      <c r="R194" s="98" t="s">
        <v>518</v>
      </c>
      <c r="S194" s="32" t="s">
        <v>519</v>
      </c>
      <c r="T194" s="98" t="s">
        <v>122</v>
      </c>
      <c r="U194" s="98" t="s">
        <v>332</v>
      </c>
      <c r="V194" s="98" t="s">
        <v>66</v>
      </c>
      <c r="W194" s="98"/>
      <c r="X194" s="78" t="s">
        <v>67</v>
      </c>
      <c r="Y194" s="98" t="s">
        <v>68</v>
      </c>
      <c r="Z194" s="32" t="s">
        <v>441</v>
      </c>
      <c r="AA194" s="32" t="s">
        <v>353</v>
      </c>
      <c r="AB194" s="78" t="s">
        <v>71</v>
      </c>
      <c r="AC194" s="98" t="s">
        <v>85</v>
      </c>
      <c r="AD194" s="98" t="s">
        <v>208</v>
      </c>
      <c r="AE194" s="65" t="s">
        <v>137</v>
      </c>
      <c r="AF194" s="39" t="s">
        <v>442</v>
      </c>
      <c r="AG194" s="98" t="s">
        <v>127</v>
      </c>
      <c r="AH194" s="115">
        <v>650</v>
      </c>
      <c r="AI194" s="117" t="s">
        <v>264</v>
      </c>
      <c r="AJ194" s="112" t="s">
        <v>384</v>
      </c>
      <c r="AK194" s="73">
        <v>803</v>
      </c>
      <c r="AL194" s="116">
        <f t="shared" si="23"/>
        <v>240097000</v>
      </c>
      <c r="AM194" s="116">
        <v>1</v>
      </c>
      <c r="AN194" s="116">
        <v>279000</v>
      </c>
      <c r="AO194" s="116">
        <v>8</v>
      </c>
      <c r="AP194" s="116">
        <v>2306300</v>
      </c>
      <c r="AQ194" s="116">
        <f t="shared" si="28"/>
        <v>289.04999999999995</v>
      </c>
      <c r="AR194" s="116">
        <f t="shared" si="29"/>
        <v>79511873.999999985</v>
      </c>
      <c r="AS194" s="118">
        <v>0.35996264009962636</v>
      </c>
    </row>
    <row r="195" spans="1:45" s="105" customFormat="1" x14ac:dyDescent="0.3">
      <c r="A195" s="104" t="str">
        <f t="shared" si="22"/>
        <v>DXDJ8C056BES</v>
      </c>
      <c r="B195" s="126" t="s">
        <v>675</v>
      </c>
      <c r="C195" s="98" t="str">
        <f t="shared" si="25"/>
        <v>DJ8C0</v>
      </c>
      <c r="D195" s="98" t="s">
        <v>148</v>
      </c>
      <c r="E195" s="98" t="str">
        <f t="shared" si="26"/>
        <v>X</v>
      </c>
      <c r="F195" s="98" t="str">
        <f t="shared" si="27"/>
        <v>DJ</v>
      </c>
      <c r="G195" s="98" t="s">
        <v>56</v>
      </c>
      <c r="H195" s="115" t="s">
        <v>676</v>
      </c>
      <c r="I195" s="98" t="s">
        <v>385</v>
      </c>
      <c r="J195" s="115" t="str">
        <f t="shared" si="24"/>
        <v/>
      </c>
      <c r="K195" s="115">
        <v>1</v>
      </c>
      <c r="L195" s="121">
        <v>299000</v>
      </c>
      <c r="M195" s="78" t="s">
        <v>509</v>
      </c>
      <c r="N195" s="98" t="s">
        <v>678</v>
      </c>
      <c r="O195" s="98" t="s">
        <v>485</v>
      </c>
      <c r="P195" s="98">
        <v>100</v>
      </c>
      <c r="Q195" s="32" t="s">
        <v>119</v>
      </c>
      <c r="R195" s="98" t="s">
        <v>246</v>
      </c>
      <c r="S195" s="32" t="s">
        <v>331</v>
      </c>
      <c r="T195" s="98" t="s">
        <v>122</v>
      </c>
      <c r="U195" s="98" t="s">
        <v>207</v>
      </c>
      <c r="V195" s="98" t="s">
        <v>66</v>
      </c>
      <c r="W195" s="98"/>
      <c r="X195" s="78" t="s">
        <v>67</v>
      </c>
      <c r="Y195" s="98" t="s">
        <v>68</v>
      </c>
      <c r="Z195" s="32" t="s">
        <v>125</v>
      </c>
      <c r="AA195" s="32" t="s">
        <v>90</v>
      </c>
      <c r="AB195" s="78" t="s">
        <v>71</v>
      </c>
      <c r="AC195" s="98" t="s">
        <v>85</v>
      </c>
      <c r="AD195" s="98" t="s">
        <v>208</v>
      </c>
      <c r="AE195" s="65" t="s">
        <v>137</v>
      </c>
      <c r="AF195" s="39" t="s">
        <v>442</v>
      </c>
      <c r="AG195" s="98" t="s">
        <v>127</v>
      </c>
      <c r="AH195" s="115">
        <v>650</v>
      </c>
      <c r="AI195" s="117" t="s">
        <v>264</v>
      </c>
      <c r="AJ195" s="112" t="s">
        <v>384</v>
      </c>
      <c r="AK195" s="73">
        <v>2022</v>
      </c>
      <c r="AL195" s="116">
        <f t="shared" si="23"/>
        <v>604578000</v>
      </c>
      <c r="AM195" s="116">
        <v>80</v>
      </c>
      <c r="AN195" s="116">
        <v>21992570</v>
      </c>
      <c r="AO195" s="116">
        <v>326</v>
      </c>
      <c r="AP195" s="116">
        <v>91340194</v>
      </c>
      <c r="AQ195" s="116">
        <f t="shared" si="28"/>
        <v>1033.6999999999998</v>
      </c>
      <c r="AR195" s="116">
        <f t="shared" si="29"/>
        <v>284350196</v>
      </c>
      <c r="AS195" s="118">
        <v>0.51122650840751727</v>
      </c>
    </row>
    <row r="196" spans="1:45" s="105" customFormat="1" x14ac:dyDescent="0.3">
      <c r="A196" s="104" t="str">
        <f t="shared" si="22"/>
        <v>DWDJ8D056BRD</v>
      </c>
      <c r="B196" s="126" t="s">
        <v>679</v>
      </c>
      <c r="C196" s="98" t="str">
        <f t="shared" si="25"/>
        <v>DJ8D0</v>
      </c>
      <c r="D196" s="98" t="s">
        <v>55</v>
      </c>
      <c r="E196" s="98" t="str">
        <f t="shared" si="26"/>
        <v>W</v>
      </c>
      <c r="F196" s="98" t="str">
        <f t="shared" si="27"/>
        <v>DJ</v>
      </c>
      <c r="G196" s="98" t="s">
        <v>56</v>
      </c>
      <c r="H196" s="115" t="s">
        <v>680</v>
      </c>
      <c r="I196" s="98" t="s">
        <v>159</v>
      </c>
      <c r="J196" s="115">
        <f t="shared" si="24"/>
        <v>1</v>
      </c>
      <c r="K196" s="115">
        <v>1</v>
      </c>
      <c r="L196" s="121">
        <v>299000</v>
      </c>
      <c r="M196" s="78" t="s">
        <v>509</v>
      </c>
      <c r="N196" s="98" t="s">
        <v>678</v>
      </c>
      <c r="O196" s="98" t="s">
        <v>485</v>
      </c>
      <c r="P196" s="98">
        <v>100</v>
      </c>
      <c r="Q196" s="32" t="s">
        <v>119</v>
      </c>
      <c r="R196" s="98" t="s">
        <v>246</v>
      </c>
      <c r="S196" s="32" t="s">
        <v>331</v>
      </c>
      <c r="T196" s="98" t="s">
        <v>122</v>
      </c>
      <c r="U196" s="98" t="s">
        <v>207</v>
      </c>
      <c r="V196" s="98" t="s">
        <v>66</v>
      </c>
      <c r="W196" s="98"/>
      <c r="X196" s="78" t="s">
        <v>67</v>
      </c>
      <c r="Y196" s="98" t="s">
        <v>68</v>
      </c>
      <c r="Z196" s="32" t="s">
        <v>125</v>
      </c>
      <c r="AA196" s="32" t="s">
        <v>90</v>
      </c>
      <c r="AB196" s="78" t="s">
        <v>71</v>
      </c>
      <c r="AC196" s="98" t="s">
        <v>85</v>
      </c>
      <c r="AD196" s="98" t="s">
        <v>208</v>
      </c>
      <c r="AE196" s="65" t="s">
        <v>137</v>
      </c>
      <c r="AF196" s="39" t="s">
        <v>199</v>
      </c>
      <c r="AG196" s="98" t="s">
        <v>127</v>
      </c>
      <c r="AH196" s="115">
        <v>650</v>
      </c>
      <c r="AI196" s="117" t="s">
        <v>128</v>
      </c>
      <c r="AJ196" s="115" t="s">
        <v>77</v>
      </c>
      <c r="AK196" s="73">
        <v>1598</v>
      </c>
      <c r="AL196" s="116">
        <f t="shared" si="23"/>
        <v>477802000</v>
      </c>
      <c r="AM196" s="116">
        <v>69</v>
      </c>
      <c r="AN196" s="116">
        <v>19291673</v>
      </c>
      <c r="AO196" s="116">
        <v>342</v>
      </c>
      <c r="AP196" s="116">
        <v>98165636</v>
      </c>
      <c r="AQ196" s="116">
        <f t="shared" si="28"/>
        <v>821.4</v>
      </c>
      <c r="AR196" s="116">
        <f t="shared" si="29"/>
        <v>225950711.99999997</v>
      </c>
      <c r="AS196" s="118">
        <v>0.51401752190237793</v>
      </c>
    </row>
    <row r="197" spans="1:45" s="105" customFormat="1" x14ac:dyDescent="0.3">
      <c r="A197" s="104" t="str">
        <f t="shared" ref="A197:A260" si="30">B197&amp;I197</f>
        <v>DWDJ8D056BKS</v>
      </c>
      <c r="B197" s="126" t="s">
        <v>679</v>
      </c>
      <c r="C197" s="98" t="str">
        <f t="shared" si="25"/>
        <v>DJ8D0</v>
      </c>
      <c r="D197" s="98" t="s">
        <v>55</v>
      </c>
      <c r="E197" s="98" t="str">
        <f t="shared" si="26"/>
        <v>W</v>
      </c>
      <c r="F197" s="98" t="str">
        <f t="shared" si="27"/>
        <v>DJ</v>
      </c>
      <c r="G197" s="98" t="s">
        <v>56</v>
      </c>
      <c r="H197" s="115" t="s">
        <v>680</v>
      </c>
      <c r="I197" s="98" t="s">
        <v>78</v>
      </c>
      <c r="J197" s="115" t="str">
        <f t="shared" si="24"/>
        <v/>
      </c>
      <c r="K197" s="115">
        <v>1</v>
      </c>
      <c r="L197" s="121">
        <v>299000</v>
      </c>
      <c r="M197" s="78" t="s">
        <v>509</v>
      </c>
      <c r="N197" s="98" t="s">
        <v>678</v>
      </c>
      <c r="O197" s="98" t="s">
        <v>485</v>
      </c>
      <c r="P197" s="98">
        <v>100</v>
      </c>
      <c r="Q197" s="32" t="s">
        <v>119</v>
      </c>
      <c r="R197" s="98" t="s">
        <v>246</v>
      </c>
      <c r="S197" s="32" t="s">
        <v>331</v>
      </c>
      <c r="T197" s="98" t="s">
        <v>122</v>
      </c>
      <c r="U197" s="98" t="s">
        <v>207</v>
      </c>
      <c r="V197" s="98" t="s">
        <v>66</v>
      </c>
      <c r="W197" s="98"/>
      <c r="X197" s="78" t="s">
        <v>67</v>
      </c>
      <c r="Y197" s="98" t="s">
        <v>68</v>
      </c>
      <c r="Z197" s="32" t="s">
        <v>125</v>
      </c>
      <c r="AA197" s="32" t="s">
        <v>90</v>
      </c>
      <c r="AB197" s="78" t="s">
        <v>71</v>
      </c>
      <c r="AC197" s="98" t="s">
        <v>85</v>
      </c>
      <c r="AD197" s="98" t="s">
        <v>208</v>
      </c>
      <c r="AE197" s="65" t="s">
        <v>137</v>
      </c>
      <c r="AF197" s="39" t="s">
        <v>199</v>
      </c>
      <c r="AG197" s="98" t="s">
        <v>127</v>
      </c>
      <c r="AH197" s="115">
        <v>650</v>
      </c>
      <c r="AI197" s="117" t="s">
        <v>128</v>
      </c>
      <c r="AJ197" s="115" t="s">
        <v>77</v>
      </c>
      <c r="AK197" s="73">
        <v>3772</v>
      </c>
      <c r="AL197" s="116">
        <f t="shared" ref="AL197:AL260" si="31">AK197*L197</f>
        <v>1127828000</v>
      </c>
      <c r="AM197" s="116">
        <v>227</v>
      </c>
      <c r="AN197" s="116">
        <v>64037543</v>
      </c>
      <c r="AO197" s="116">
        <v>881</v>
      </c>
      <c r="AP197" s="116">
        <v>252871888</v>
      </c>
      <c r="AQ197" s="116">
        <f t="shared" si="28"/>
        <v>2012.6000000000001</v>
      </c>
      <c r="AR197" s="116">
        <f t="shared" si="29"/>
        <v>553626008</v>
      </c>
      <c r="AS197" s="118">
        <v>0.53356309650053024</v>
      </c>
    </row>
    <row r="198" spans="1:45" s="105" customFormat="1" x14ac:dyDescent="0.3">
      <c r="A198" s="104" t="str">
        <f t="shared" si="30"/>
        <v>DWDJ8D056CRS</v>
      </c>
      <c r="B198" s="126" t="s">
        <v>679</v>
      </c>
      <c r="C198" s="98" t="str">
        <f t="shared" si="25"/>
        <v>DJ8D0</v>
      </c>
      <c r="D198" s="98" t="s">
        <v>55</v>
      </c>
      <c r="E198" s="98" t="str">
        <f t="shared" si="26"/>
        <v>W</v>
      </c>
      <c r="F198" s="98" t="str">
        <f t="shared" si="27"/>
        <v>DJ</v>
      </c>
      <c r="G198" s="98" t="s">
        <v>56</v>
      </c>
      <c r="H198" s="115" t="s">
        <v>680</v>
      </c>
      <c r="I198" s="98" t="s">
        <v>79</v>
      </c>
      <c r="J198" s="115" t="str">
        <f t="shared" ref="J198:J263" si="32">IF(B198=B197,"",1)</f>
        <v/>
      </c>
      <c r="K198" s="115">
        <v>1</v>
      </c>
      <c r="L198" s="121">
        <v>299000</v>
      </c>
      <c r="M198" s="78" t="s">
        <v>509</v>
      </c>
      <c r="N198" s="98" t="s">
        <v>678</v>
      </c>
      <c r="O198" s="98" t="s">
        <v>485</v>
      </c>
      <c r="P198" s="98">
        <v>100</v>
      </c>
      <c r="Q198" s="32" t="s">
        <v>119</v>
      </c>
      <c r="R198" s="98" t="s">
        <v>246</v>
      </c>
      <c r="S198" s="32" t="s">
        <v>331</v>
      </c>
      <c r="T198" s="98" t="s">
        <v>122</v>
      </c>
      <c r="U198" s="98" t="s">
        <v>207</v>
      </c>
      <c r="V198" s="98" t="s">
        <v>66</v>
      </c>
      <c r="W198" s="98"/>
      <c r="X198" s="78" t="s">
        <v>67</v>
      </c>
      <c r="Y198" s="98" t="s">
        <v>68</v>
      </c>
      <c r="Z198" s="32" t="s">
        <v>125</v>
      </c>
      <c r="AA198" s="32" t="s">
        <v>90</v>
      </c>
      <c r="AB198" s="78" t="s">
        <v>71</v>
      </c>
      <c r="AC198" s="98" t="s">
        <v>85</v>
      </c>
      <c r="AD198" s="98" t="s">
        <v>208</v>
      </c>
      <c r="AE198" s="65" t="s">
        <v>137</v>
      </c>
      <c r="AF198" s="39" t="s">
        <v>199</v>
      </c>
      <c r="AG198" s="98" t="s">
        <v>127</v>
      </c>
      <c r="AH198" s="115">
        <v>650</v>
      </c>
      <c r="AI198" s="117" t="s">
        <v>128</v>
      </c>
      <c r="AJ198" s="115" t="s">
        <v>77</v>
      </c>
      <c r="AK198" s="73">
        <v>2207</v>
      </c>
      <c r="AL198" s="116">
        <f t="shared" si="31"/>
        <v>659893000</v>
      </c>
      <c r="AM198" s="116">
        <v>82</v>
      </c>
      <c r="AN198" s="116">
        <v>23238063</v>
      </c>
      <c r="AO198" s="116">
        <v>442</v>
      </c>
      <c r="AP198" s="116">
        <v>127858974</v>
      </c>
      <c r="AQ198" s="116">
        <f t="shared" si="28"/>
        <v>1104.0999999999999</v>
      </c>
      <c r="AR198" s="116">
        <f t="shared" si="29"/>
        <v>303715828</v>
      </c>
      <c r="AS198" s="118">
        <v>0.5002718622564567</v>
      </c>
    </row>
    <row r="199" spans="1:45" s="105" customFormat="1" x14ac:dyDescent="0.3">
      <c r="A199" s="104" t="str">
        <f t="shared" si="30"/>
        <v>DWDJ8D056TQN</v>
      </c>
      <c r="B199" s="126" t="s">
        <v>679</v>
      </c>
      <c r="C199" s="98" t="str">
        <f t="shared" si="25"/>
        <v>DJ8D0</v>
      </c>
      <c r="D199" s="98" t="s">
        <v>55</v>
      </c>
      <c r="E199" s="98" t="str">
        <f t="shared" si="26"/>
        <v>W</v>
      </c>
      <c r="F199" s="98" t="str">
        <f t="shared" si="27"/>
        <v>DJ</v>
      </c>
      <c r="G199" s="98" t="s">
        <v>56</v>
      </c>
      <c r="H199" s="115" t="s">
        <v>680</v>
      </c>
      <c r="I199" s="98" t="s">
        <v>542</v>
      </c>
      <c r="J199" s="115" t="str">
        <f t="shared" si="32"/>
        <v/>
      </c>
      <c r="K199" s="115">
        <v>1</v>
      </c>
      <c r="L199" s="121">
        <v>299000</v>
      </c>
      <c r="M199" s="78" t="s">
        <v>217</v>
      </c>
      <c r="N199" s="98" t="s">
        <v>218</v>
      </c>
      <c r="O199" s="98" t="s">
        <v>485</v>
      </c>
      <c r="P199" s="98">
        <v>100</v>
      </c>
      <c r="Q199" s="32" t="s">
        <v>219</v>
      </c>
      <c r="R199" s="98" t="s">
        <v>220</v>
      </c>
      <c r="S199" s="32" t="s">
        <v>221</v>
      </c>
      <c r="T199" s="98" t="s">
        <v>65</v>
      </c>
      <c r="U199" s="98"/>
      <c r="V199" s="98" t="s">
        <v>520</v>
      </c>
      <c r="W199" s="98"/>
      <c r="X199" s="78" t="s">
        <v>67</v>
      </c>
      <c r="Y199" s="98" t="s">
        <v>68</v>
      </c>
      <c r="Z199" s="32" t="s">
        <v>69</v>
      </c>
      <c r="AA199" s="32" t="s">
        <v>70</v>
      </c>
      <c r="AB199" s="78" t="s">
        <v>71</v>
      </c>
      <c r="AC199" s="98" t="s">
        <v>85</v>
      </c>
      <c r="AD199" s="98" t="s">
        <v>208</v>
      </c>
      <c r="AE199" s="65" t="s">
        <v>137</v>
      </c>
      <c r="AF199" s="39" t="s">
        <v>199</v>
      </c>
      <c r="AG199" s="98" t="s">
        <v>127</v>
      </c>
      <c r="AH199" s="115">
        <v>650</v>
      </c>
      <c r="AI199" s="117" t="s">
        <v>128</v>
      </c>
      <c r="AJ199" s="115" t="s">
        <v>77</v>
      </c>
      <c r="AK199" s="73">
        <v>2491</v>
      </c>
      <c r="AL199" s="116">
        <f t="shared" si="31"/>
        <v>744809000</v>
      </c>
      <c r="AM199" s="116">
        <v>1</v>
      </c>
      <c r="AN199" s="116">
        <v>279000</v>
      </c>
      <c r="AO199" s="116">
        <v>17</v>
      </c>
      <c r="AP199" s="116">
        <v>4960745</v>
      </c>
      <c r="AQ199" s="116">
        <f t="shared" si="28"/>
        <v>764.3</v>
      </c>
      <c r="AR199" s="116">
        <f t="shared" si="29"/>
        <v>210243643.99999997</v>
      </c>
      <c r="AS199" s="118">
        <v>0.30682456844640704</v>
      </c>
    </row>
    <row r="200" spans="1:45" s="105" customFormat="1" x14ac:dyDescent="0.3">
      <c r="A200" s="104" t="str">
        <f t="shared" si="30"/>
        <v>DWDJ8D056BKN</v>
      </c>
      <c r="B200" s="126" t="s">
        <v>679</v>
      </c>
      <c r="C200" s="98" t="str">
        <f t="shared" si="25"/>
        <v>DJ8D0</v>
      </c>
      <c r="D200" s="98" t="s">
        <v>55</v>
      </c>
      <c r="E200" s="98" t="str">
        <f t="shared" si="26"/>
        <v>W</v>
      </c>
      <c r="F200" s="98" t="str">
        <f t="shared" si="27"/>
        <v>DJ</v>
      </c>
      <c r="G200" s="98" t="s">
        <v>56</v>
      </c>
      <c r="H200" s="115" t="s">
        <v>680</v>
      </c>
      <c r="I200" s="98" t="s">
        <v>140</v>
      </c>
      <c r="J200" s="115" t="str">
        <f t="shared" si="32"/>
        <v/>
      </c>
      <c r="K200" s="115">
        <v>1</v>
      </c>
      <c r="L200" s="121">
        <v>299000</v>
      </c>
      <c r="M200" s="78" t="s">
        <v>217</v>
      </c>
      <c r="N200" s="98" t="s">
        <v>218</v>
      </c>
      <c r="O200" s="98" t="s">
        <v>485</v>
      </c>
      <c r="P200" s="98">
        <v>100</v>
      </c>
      <c r="Q200" s="32" t="s">
        <v>219</v>
      </c>
      <c r="R200" s="98" t="s">
        <v>220</v>
      </c>
      <c r="S200" s="32" t="s">
        <v>221</v>
      </c>
      <c r="T200" s="98" t="s">
        <v>65</v>
      </c>
      <c r="U200" s="98"/>
      <c r="V200" s="98" t="s">
        <v>520</v>
      </c>
      <c r="W200" s="98"/>
      <c r="X200" s="78" t="s">
        <v>67</v>
      </c>
      <c r="Y200" s="98" t="s">
        <v>68</v>
      </c>
      <c r="Z200" s="32" t="s">
        <v>69</v>
      </c>
      <c r="AA200" s="32" t="s">
        <v>70</v>
      </c>
      <c r="AB200" s="78" t="s">
        <v>71</v>
      </c>
      <c r="AC200" s="98" t="s">
        <v>85</v>
      </c>
      <c r="AD200" s="98" t="s">
        <v>208</v>
      </c>
      <c r="AE200" s="65" t="s">
        <v>137</v>
      </c>
      <c r="AF200" s="39" t="s">
        <v>199</v>
      </c>
      <c r="AG200" s="98" t="s">
        <v>127</v>
      </c>
      <c r="AH200" s="115">
        <v>650</v>
      </c>
      <c r="AI200" s="117" t="s">
        <v>128</v>
      </c>
      <c r="AJ200" s="115" t="s">
        <v>77</v>
      </c>
      <c r="AK200" s="73">
        <v>3978</v>
      </c>
      <c r="AL200" s="116">
        <f t="shared" si="31"/>
        <v>1189422000</v>
      </c>
      <c r="AM200" s="116">
        <v>87</v>
      </c>
      <c r="AN200" s="116">
        <v>24520155</v>
      </c>
      <c r="AO200" s="116">
        <v>418</v>
      </c>
      <c r="AP200" s="116">
        <v>120248809</v>
      </c>
      <c r="AQ200" s="116">
        <f t="shared" si="28"/>
        <v>1611.4</v>
      </c>
      <c r="AR200" s="116">
        <f t="shared" si="29"/>
        <v>443263912</v>
      </c>
      <c r="AS200" s="118">
        <v>0.40507792860734038</v>
      </c>
    </row>
    <row r="201" spans="1:45" s="105" customFormat="1" x14ac:dyDescent="0.3">
      <c r="A201" s="104" t="str">
        <f t="shared" si="30"/>
        <v>DWDJ8D056BKL</v>
      </c>
      <c r="B201" s="126" t="s">
        <v>679</v>
      </c>
      <c r="C201" s="98" t="str">
        <f t="shared" si="25"/>
        <v>DJ8D0</v>
      </c>
      <c r="D201" s="98" t="s">
        <v>55</v>
      </c>
      <c r="E201" s="98" t="str">
        <f t="shared" si="26"/>
        <v>W</v>
      </c>
      <c r="F201" s="98" t="str">
        <f t="shared" si="27"/>
        <v>DJ</v>
      </c>
      <c r="G201" s="98" t="s">
        <v>56</v>
      </c>
      <c r="H201" s="115" t="s">
        <v>680</v>
      </c>
      <c r="I201" s="98" t="s">
        <v>633</v>
      </c>
      <c r="J201" s="115" t="str">
        <f t="shared" si="32"/>
        <v/>
      </c>
      <c r="K201" s="115">
        <v>1</v>
      </c>
      <c r="L201" s="121">
        <v>299000</v>
      </c>
      <c r="M201" s="78" t="s">
        <v>225</v>
      </c>
      <c r="N201" s="98" t="s">
        <v>517</v>
      </c>
      <c r="O201" s="98" t="s">
        <v>143</v>
      </c>
      <c r="P201" s="98">
        <v>100</v>
      </c>
      <c r="Q201" s="32" t="s">
        <v>144</v>
      </c>
      <c r="R201" s="98" t="s">
        <v>518</v>
      </c>
      <c r="S201" s="32" t="s">
        <v>519</v>
      </c>
      <c r="T201" s="98" t="s">
        <v>122</v>
      </c>
      <c r="U201" s="98" t="s">
        <v>332</v>
      </c>
      <c r="V201" s="98" t="s">
        <v>66</v>
      </c>
      <c r="W201" s="98"/>
      <c r="X201" s="78" t="s">
        <v>67</v>
      </c>
      <c r="Y201" s="98" t="s">
        <v>68</v>
      </c>
      <c r="Z201" s="32" t="s">
        <v>441</v>
      </c>
      <c r="AA201" s="32" t="s">
        <v>353</v>
      </c>
      <c r="AB201" s="78" t="s">
        <v>71</v>
      </c>
      <c r="AC201" s="98" t="s">
        <v>85</v>
      </c>
      <c r="AD201" s="98" t="s">
        <v>208</v>
      </c>
      <c r="AE201" s="65" t="s">
        <v>137</v>
      </c>
      <c r="AF201" s="39" t="s">
        <v>199</v>
      </c>
      <c r="AG201" s="98" t="s">
        <v>127</v>
      </c>
      <c r="AH201" s="115">
        <v>650</v>
      </c>
      <c r="AI201" s="117" t="s">
        <v>128</v>
      </c>
      <c r="AJ201" s="115" t="s">
        <v>77</v>
      </c>
      <c r="AK201" s="73">
        <v>2495</v>
      </c>
      <c r="AL201" s="116">
        <f t="shared" si="31"/>
        <v>746005000</v>
      </c>
      <c r="AM201" s="116">
        <v>39</v>
      </c>
      <c r="AN201" s="116">
        <v>11184149</v>
      </c>
      <c r="AO201" s="116">
        <v>249</v>
      </c>
      <c r="AP201" s="116">
        <v>72077056</v>
      </c>
      <c r="AQ201" s="116">
        <f t="shared" si="28"/>
        <v>997.5</v>
      </c>
      <c r="AR201" s="116">
        <f t="shared" si="29"/>
        <v>274392300</v>
      </c>
      <c r="AS201" s="118">
        <v>0.3997995991983968</v>
      </c>
    </row>
    <row r="202" spans="1:45" s="105" customFormat="1" x14ac:dyDescent="0.3">
      <c r="A202" s="104" t="str">
        <f t="shared" si="30"/>
        <v>DWDJ8D056PPS</v>
      </c>
      <c r="B202" s="126" t="s">
        <v>679</v>
      </c>
      <c r="C202" s="98" t="str">
        <f t="shared" si="25"/>
        <v>DJ8D0</v>
      </c>
      <c r="D202" s="98" t="s">
        <v>55</v>
      </c>
      <c r="E202" s="98" t="str">
        <f t="shared" si="26"/>
        <v>W</v>
      </c>
      <c r="F202" s="98" t="str">
        <f t="shared" si="27"/>
        <v>DJ</v>
      </c>
      <c r="G202" s="98" t="s">
        <v>56</v>
      </c>
      <c r="H202" s="115" t="s">
        <v>680</v>
      </c>
      <c r="I202" s="98" t="s">
        <v>177</v>
      </c>
      <c r="J202" s="115" t="str">
        <f t="shared" si="32"/>
        <v/>
      </c>
      <c r="K202" s="115">
        <v>1</v>
      </c>
      <c r="L202" s="121">
        <v>299000</v>
      </c>
      <c r="M202" s="78" t="s">
        <v>509</v>
      </c>
      <c r="N202" s="98" t="s">
        <v>678</v>
      </c>
      <c r="O202" s="98" t="s">
        <v>485</v>
      </c>
      <c r="P202" s="98">
        <v>100</v>
      </c>
      <c r="Q202" s="32" t="s">
        <v>119</v>
      </c>
      <c r="R202" s="98" t="s">
        <v>246</v>
      </c>
      <c r="S202" s="32" t="s">
        <v>331</v>
      </c>
      <c r="T202" s="98" t="s">
        <v>122</v>
      </c>
      <c r="U202" s="98" t="s">
        <v>207</v>
      </c>
      <c r="V202" s="98" t="s">
        <v>66</v>
      </c>
      <c r="W202" s="98"/>
      <c r="X202" s="78" t="s">
        <v>67</v>
      </c>
      <c r="Y202" s="98" t="s">
        <v>68</v>
      </c>
      <c r="Z202" s="32" t="s">
        <v>125</v>
      </c>
      <c r="AA202" s="32" t="s">
        <v>90</v>
      </c>
      <c r="AB202" s="78" t="s">
        <v>71</v>
      </c>
      <c r="AC202" s="98" t="s">
        <v>85</v>
      </c>
      <c r="AD202" s="98" t="s">
        <v>208</v>
      </c>
      <c r="AE202" s="65" t="s">
        <v>137</v>
      </c>
      <c r="AF202" s="39" t="s">
        <v>199</v>
      </c>
      <c r="AG202" s="98" t="s">
        <v>127</v>
      </c>
      <c r="AH202" s="115">
        <v>650</v>
      </c>
      <c r="AI202" s="117" t="s">
        <v>128</v>
      </c>
      <c r="AJ202" s="115" t="s">
        <v>77</v>
      </c>
      <c r="AK202" s="73">
        <v>599</v>
      </c>
      <c r="AL202" s="116">
        <f t="shared" si="31"/>
        <v>179101000</v>
      </c>
      <c r="AM202" s="116">
        <v>2</v>
      </c>
      <c r="AN202" s="116">
        <v>548440</v>
      </c>
      <c r="AO202" s="116">
        <v>3</v>
      </c>
      <c r="AP202" s="116">
        <v>837440</v>
      </c>
      <c r="AQ202" s="116">
        <f t="shared" si="28"/>
        <v>182.7</v>
      </c>
      <c r="AR202" s="116">
        <f t="shared" si="29"/>
        <v>50257115.999999993</v>
      </c>
      <c r="AS202" s="118">
        <v>0.30500834724540898</v>
      </c>
    </row>
    <row r="203" spans="1:45" s="105" customFormat="1" x14ac:dyDescent="0.3">
      <c r="A203" s="104" t="str">
        <f t="shared" si="30"/>
        <v>DWDJ8D056OLL</v>
      </c>
      <c r="B203" s="126" t="s">
        <v>679</v>
      </c>
      <c r="C203" s="98" t="str">
        <f t="shared" ref="C203:C261" si="33">MID(B203,3,5)</f>
        <v>DJ8D0</v>
      </c>
      <c r="D203" s="98" t="s">
        <v>55</v>
      </c>
      <c r="E203" s="98" t="str">
        <f t="shared" ref="E203:E261" si="34">MID($B203,2,1)</f>
        <v>W</v>
      </c>
      <c r="F203" s="98" t="str">
        <f t="shared" ref="F203:F261" si="35">MID($B203,3,2)</f>
        <v>DJ</v>
      </c>
      <c r="G203" s="98" t="s">
        <v>56</v>
      </c>
      <c r="H203" s="115" t="s">
        <v>680</v>
      </c>
      <c r="I203" s="98" t="s">
        <v>596</v>
      </c>
      <c r="J203" s="115" t="str">
        <f t="shared" si="32"/>
        <v/>
      </c>
      <c r="K203" s="115">
        <v>1</v>
      </c>
      <c r="L203" s="121">
        <v>299000</v>
      </c>
      <c r="M203" s="78" t="s">
        <v>225</v>
      </c>
      <c r="N203" s="98" t="s">
        <v>517</v>
      </c>
      <c r="O203" s="98" t="s">
        <v>143</v>
      </c>
      <c r="P203" s="98">
        <v>100</v>
      </c>
      <c r="Q203" s="32" t="s">
        <v>144</v>
      </c>
      <c r="R203" s="98" t="s">
        <v>518</v>
      </c>
      <c r="S203" s="32" t="s">
        <v>519</v>
      </c>
      <c r="T203" s="98" t="s">
        <v>122</v>
      </c>
      <c r="U203" s="98" t="s">
        <v>332</v>
      </c>
      <c r="V203" s="98" t="s">
        <v>66</v>
      </c>
      <c r="W203" s="98"/>
      <c r="X203" s="78" t="s">
        <v>67</v>
      </c>
      <c r="Y203" s="98" t="s">
        <v>68</v>
      </c>
      <c r="Z203" s="32" t="s">
        <v>441</v>
      </c>
      <c r="AA203" s="32" t="s">
        <v>353</v>
      </c>
      <c r="AB203" s="78" t="s">
        <v>71</v>
      </c>
      <c r="AC203" s="98" t="s">
        <v>85</v>
      </c>
      <c r="AD203" s="98" t="s">
        <v>208</v>
      </c>
      <c r="AE203" s="65" t="s">
        <v>137</v>
      </c>
      <c r="AF203" s="39" t="s">
        <v>199</v>
      </c>
      <c r="AG203" s="98" t="s">
        <v>127</v>
      </c>
      <c r="AH203" s="115">
        <v>650</v>
      </c>
      <c r="AI203" s="117" t="s">
        <v>128</v>
      </c>
      <c r="AJ203" s="115" t="s">
        <v>77</v>
      </c>
      <c r="AK203" s="73">
        <v>597</v>
      </c>
      <c r="AL203" s="116">
        <f t="shared" si="31"/>
        <v>178503000</v>
      </c>
      <c r="AM203" s="116">
        <v>0</v>
      </c>
      <c r="AN203" s="116">
        <v>0</v>
      </c>
      <c r="AO203" s="116">
        <v>1</v>
      </c>
      <c r="AP203" s="116">
        <v>299000</v>
      </c>
      <c r="AQ203" s="116">
        <f t="shared" ref="AQ203:AQ261" si="36">AK203*AS203</f>
        <v>180.1</v>
      </c>
      <c r="AR203" s="116">
        <f t="shared" ref="AR203:AR261" si="37">(AL203*AS203)*0.92</f>
        <v>49541907.999999993</v>
      </c>
      <c r="AS203" s="118">
        <v>0.30167504187604688</v>
      </c>
    </row>
    <row r="204" spans="1:45" s="105" customFormat="1" x14ac:dyDescent="0.3">
      <c r="A204" s="104" t="str">
        <f t="shared" si="30"/>
        <v>DWDJ8D056PKL</v>
      </c>
      <c r="B204" s="126" t="s">
        <v>679</v>
      </c>
      <c r="C204" s="98" t="str">
        <f t="shared" si="33"/>
        <v>DJ8D0</v>
      </c>
      <c r="D204" s="98" t="s">
        <v>148</v>
      </c>
      <c r="E204" s="98" t="str">
        <f t="shared" si="34"/>
        <v>W</v>
      </c>
      <c r="F204" s="98" t="str">
        <f t="shared" si="35"/>
        <v>DJ</v>
      </c>
      <c r="G204" s="98" t="s">
        <v>56</v>
      </c>
      <c r="H204" s="115" t="s">
        <v>680</v>
      </c>
      <c r="I204" s="98" t="s">
        <v>523</v>
      </c>
      <c r="J204" s="115" t="str">
        <f t="shared" si="32"/>
        <v/>
      </c>
      <c r="K204" s="115">
        <v>1</v>
      </c>
      <c r="L204" s="121">
        <v>299000</v>
      </c>
      <c r="M204" s="78" t="s">
        <v>509</v>
      </c>
      <c r="N204" s="98" t="s">
        <v>678</v>
      </c>
      <c r="O204" s="98" t="s">
        <v>485</v>
      </c>
      <c r="P204" s="98">
        <v>100</v>
      </c>
      <c r="Q204" s="32" t="s">
        <v>119</v>
      </c>
      <c r="R204" s="98" t="s">
        <v>246</v>
      </c>
      <c r="S204" s="32" t="s">
        <v>331</v>
      </c>
      <c r="T204" s="98" t="s">
        <v>122</v>
      </c>
      <c r="U204" s="98" t="s">
        <v>207</v>
      </c>
      <c r="V204" s="98" t="s">
        <v>66</v>
      </c>
      <c r="W204" s="98"/>
      <c r="X204" s="78" t="s">
        <v>67</v>
      </c>
      <c r="Y204" s="98" t="s">
        <v>68</v>
      </c>
      <c r="Z204" s="32" t="s">
        <v>125</v>
      </c>
      <c r="AA204" s="32" t="s">
        <v>90</v>
      </c>
      <c r="AB204" s="78" t="s">
        <v>71</v>
      </c>
      <c r="AC204" s="98" t="s">
        <v>85</v>
      </c>
      <c r="AD204" s="98" t="s">
        <v>208</v>
      </c>
      <c r="AE204" s="65" t="s">
        <v>137</v>
      </c>
      <c r="AF204" s="39" t="s">
        <v>199</v>
      </c>
      <c r="AG204" s="98" t="s">
        <v>127</v>
      </c>
      <c r="AH204" s="115">
        <v>650</v>
      </c>
      <c r="AI204" s="117" t="s">
        <v>128</v>
      </c>
      <c r="AJ204" s="115" t="s">
        <v>77</v>
      </c>
      <c r="AK204" s="73">
        <v>805</v>
      </c>
      <c r="AL204" s="116">
        <f t="shared" si="31"/>
        <v>240695000</v>
      </c>
      <c r="AM204" s="116">
        <v>11</v>
      </c>
      <c r="AN204" s="116">
        <v>3105604</v>
      </c>
      <c r="AO204" s="116">
        <v>39</v>
      </c>
      <c r="AP204" s="116">
        <v>11196268</v>
      </c>
      <c r="AQ204" s="116">
        <f t="shared" si="36"/>
        <v>280.5</v>
      </c>
      <c r="AR204" s="116">
        <f t="shared" si="37"/>
        <v>77159940</v>
      </c>
      <c r="AS204" s="118">
        <v>0.3484472049689441</v>
      </c>
    </row>
    <row r="205" spans="1:45" x14ac:dyDescent="0.3">
      <c r="A205" s="1" t="str">
        <f t="shared" si="30"/>
        <v>DMDJ8E056BKL</v>
      </c>
      <c r="B205" s="126" t="s">
        <v>681</v>
      </c>
      <c r="C205" s="98" t="str">
        <f t="shared" si="33"/>
        <v>DJ8E0</v>
      </c>
      <c r="D205" s="98" t="s">
        <v>55</v>
      </c>
      <c r="E205" s="98" t="str">
        <f t="shared" si="34"/>
        <v>M</v>
      </c>
      <c r="F205" s="98" t="str">
        <f t="shared" si="35"/>
        <v>DJ</v>
      </c>
      <c r="G205" s="98" t="s">
        <v>56</v>
      </c>
      <c r="H205" s="115" t="s">
        <v>401</v>
      </c>
      <c r="I205" s="98" t="s">
        <v>633</v>
      </c>
      <c r="J205" s="115">
        <f t="shared" si="32"/>
        <v>1</v>
      </c>
      <c r="K205" s="115">
        <v>1</v>
      </c>
      <c r="L205" s="121">
        <v>359000</v>
      </c>
      <c r="M205" s="78" t="s">
        <v>225</v>
      </c>
      <c r="N205" s="98" t="s">
        <v>517</v>
      </c>
      <c r="O205" s="98" t="s">
        <v>143</v>
      </c>
      <c r="P205" s="98">
        <v>100</v>
      </c>
      <c r="Q205" s="32" t="s">
        <v>144</v>
      </c>
      <c r="R205" s="98" t="s">
        <v>518</v>
      </c>
      <c r="S205" s="32" t="s">
        <v>519</v>
      </c>
      <c r="T205" s="98" t="s">
        <v>122</v>
      </c>
      <c r="U205" s="98" t="s">
        <v>332</v>
      </c>
      <c r="V205" s="98" t="s">
        <v>66</v>
      </c>
      <c r="W205" s="98"/>
      <c r="X205" s="78" t="s">
        <v>67</v>
      </c>
      <c r="Y205" s="98" t="s">
        <v>68</v>
      </c>
      <c r="Z205" s="32" t="s">
        <v>441</v>
      </c>
      <c r="AA205" s="32" t="s">
        <v>353</v>
      </c>
      <c r="AB205" s="78" t="s">
        <v>71</v>
      </c>
      <c r="AC205" s="98" t="s">
        <v>85</v>
      </c>
      <c r="AD205" s="98" t="s">
        <v>208</v>
      </c>
      <c r="AE205" s="65" t="s">
        <v>137</v>
      </c>
      <c r="AF205" s="39" t="s">
        <v>402</v>
      </c>
      <c r="AG205" s="98" t="s">
        <v>127</v>
      </c>
      <c r="AH205" s="115">
        <v>650</v>
      </c>
      <c r="AI205" s="117" t="s">
        <v>107</v>
      </c>
      <c r="AJ205" s="115" t="s">
        <v>108</v>
      </c>
      <c r="AK205" s="73">
        <v>968</v>
      </c>
      <c r="AL205" s="116">
        <f t="shared" si="31"/>
        <v>347512000</v>
      </c>
      <c r="AM205" s="116">
        <v>44</v>
      </c>
      <c r="AN205" s="116">
        <v>15016508</v>
      </c>
      <c r="AO205" s="116">
        <v>127</v>
      </c>
      <c r="AP205" s="116">
        <v>43941964</v>
      </c>
      <c r="AQ205" s="116">
        <f t="shared" si="36"/>
        <v>417.4</v>
      </c>
      <c r="AR205" s="116">
        <f t="shared" si="37"/>
        <v>137858872</v>
      </c>
      <c r="AS205" s="118">
        <v>0.43119834710743798</v>
      </c>
    </row>
    <row r="206" spans="1:45" x14ac:dyDescent="0.3">
      <c r="A206" s="1" t="str">
        <f t="shared" si="30"/>
        <v>DMDJ8E056BKS</v>
      </c>
      <c r="B206" s="126" t="s">
        <v>681</v>
      </c>
      <c r="C206" s="98" t="str">
        <f t="shared" si="33"/>
        <v>DJ8E0</v>
      </c>
      <c r="D206" s="98" t="s">
        <v>55</v>
      </c>
      <c r="E206" s="98" t="str">
        <f t="shared" si="34"/>
        <v>M</v>
      </c>
      <c r="F206" s="98" t="str">
        <f t="shared" si="35"/>
        <v>DJ</v>
      </c>
      <c r="G206" s="98" t="s">
        <v>56</v>
      </c>
      <c r="H206" s="115" t="s">
        <v>401</v>
      </c>
      <c r="I206" s="98" t="s">
        <v>78</v>
      </c>
      <c r="J206" s="115" t="str">
        <f t="shared" si="32"/>
        <v/>
      </c>
      <c r="K206" s="115">
        <v>1</v>
      </c>
      <c r="L206" s="121">
        <v>359000</v>
      </c>
      <c r="M206" s="78" t="s">
        <v>509</v>
      </c>
      <c r="N206" s="98" t="s">
        <v>678</v>
      </c>
      <c r="O206" s="98" t="s">
        <v>485</v>
      </c>
      <c r="P206" s="98">
        <v>100</v>
      </c>
      <c r="Q206" s="32" t="s">
        <v>119</v>
      </c>
      <c r="R206" s="98" t="s">
        <v>246</v>
      </c>
      <c r="S206" s="32" t="s">
        <v>331</v>
      </c>
      <c r="T206" s="98" t="s">
        <v>122</v>
      </c>
      <c r="U206" s="98" t="s">
        <v>207</v>
      </c>
      <c r="V206" s="98" t="s">
        <v>66</v>
      </c>
      <c r="W206" s="98"/>
      <c r="X206" s="78" t="s">
        <v>67</v>
      </c>
      <c r="Y206" s="98" t="s">
        <v>68</v>
      </c>
      <c r="Z206" s="32" t="s">
        <v>125</v>
      </c>
      <c r="AA206" s="32" t="s">
        <v>90</v>
      </c>
      <c r="AB206" s="78" t="s">
        <v>71</v>
      </c>
      <c r="AC206" s="98" t="s">
        <v>85</v>
      </c>
      <c r="AD206" s="98" t="s">
        <v>208</v>
      </c>
      <c r="AE206" s="65" t="s">
        <v>137</v>
      </c>
      <c r="AF206" s="39" t="s">
        <v>402</v>
      </c>
      <c r="AG206" s="98" t="s">
        <v>127</v>
      </c>
      <c r="AH206" s="115">
        <v>650</v>
      </c>
      <c r="AI206" s="117" t="s">
        <v>107</v>
      </c>
      <c r="AJ206" s="115" t="s">
        <v>108</v>
      </c>
      <c r="AK206" s="73">
        <v>4130</v>
      </c>
      <c r="AL206" s="116">
        <f t="shared" si="31"/>
        <v>1482670000</v>
      </c>
      <c r="AM206" s="116">
        <v>258</v>
      </c>
      <c r="AN206" s="116">
        <v>87384346</v>
      </c>
      <c r="AO206" s="116">
        <v>669</v>
      </c>
      <c r="AP206" s="116">
        <v>230980619</v>
      </c>
      <c r="AQ206" s="116">
        <f t="shared" si="36"/>
        <v>1908</v>
      </c>
      <c r="AR206" s="116">
        <f t="shared" si="37"/>
        <v>630174240</v>
      </c>
      <c r="AS206" s="118">
        <v>0.46198547215496366</v>
      </c>
    </row>
    <row r="207" spans="1:45" x14ac:dyDescent="0.3">
      <c r="A207" s="1" t="str">
        <f t="shared" si="30"/>
        <v>DWDJ8F056CRS</v>
      </c>
      <c r="B207" s="126" t="s">
        <v>682</v>
      </c>
      <c r="C207" s="98" t="str">
        <f t="shared" si="33"/>
        <v>DJ8F0</v>
      </c>
      <c r="D207" s="98" t="s">
        <v>55</v>
      </c>
      <c r="E207" s="98" t="str">
        <f t="shared" si="34"/>
        <v>W</v>
      </c>
      <c r="F207" s="98" t="str">
        <f t="shared" si="35"/>
        <v>DJ</v>
      </c>
      <c r="G207" s="98" t="s">
        <v>56</v>
      </c>
      <c r="H207" s="115" t="s">
        <v>404</v>
      </c>
      <c r="I207" s="98" t="s">
        <v>79</v>
      </c>
      <c r="J207" s="115">
        <f t="shared" si="32"/>
        <v>1</v>
      </c>
      <c r="K207" s="115">
        <v>1</v>
      </c>
      <c r="L207" s="121">
        <v>359000</v>
      </c>
      <c r="M207" s="78" t="s">
        <v>509</v>
      </c>
      <c r="N207" s="98" t="s">
        <v>678</v>
      </c>
      <c r="O207" s="98" t="s">
        <v>485</v>
      </c>
      <c r="P207" s="98">
        <v>100</v>
      </c>
      <c r="Q207" s="32" t="s">
        <v>119</v>
      </c>
      <c r="R207" s="98" t="s">
        <v>246</v>
      </c>
      <c r="S207" s="32" t="s">
        <v>331</v>
      </c>
      <c r="T207" s="98" t="s">
        <v>122</v>
      </c>
      <c r="U207" s="98" t="s">
        <v>207</v>
      </c>
      <c r="V207" s="98" t="s">
        <v>66</v>
      </c>
      <c r="W207" s="98"/>
      <c r="X207" s="78" t="s">
        <v>67</v>
      </c>
      <c r="Y207" s="98" t="s">
        <v>68</v>
      </c>
      <c r="Z207" s="32" t="s">
        <v>125</v>
      </c>
      <c r="AA207" s="32" t="s">
        <v>90</v>
      </c>
      <c r="AB207" s="78" t="s">
        <v>71</v>
      </c>
      <c r="AC207" s="98" t="s">
        <v>85</v>
      </c>
      <c r="AD207" s="98" t="s">
        <v>208</v>
      </c>
      <c r="AE207" s="65" t="s">
        <v>137</v>
      </c>
      <c r="AF207" s="39" t="s">
        <v>405</v>
      </c>
      <c r="AG207" s="98" t="s">
        <v>127</v>
      </c>
      <c r="AH207" s="115">
        <v>650</v>
      </c>
      <c r="AI207" s="117" t="s">
        <v>107</v>
      </c>
      <c r="AJ207" s="115" t="s">
        <v>108</v>
      </c>
      <c r="AK207" s="73">
        <v>972</v>
      </c>
      <c r="AL207" s="116">
        <f t="shared" si="31"/>
        <v>348948000</v>
      </c>
      <c r="AM207" s="116">
        <v>126</v>
      </c>
      <c r="AN207" s="116">
        <v>42723955</v>
      </c>
      <c r="AO207" s="116">
        <v>278</v>
      </c>
      <c r="AP207" s="116">
        <v>95677141</v>
      </c>
      <c r="AQ207" s="116">
        <f t="shared" si="36"/>
        <v>569.59999999999991</v>
      </c>
      <c r="AR207" s="116">
        <f t="shared" si="37"/>
        <v>188127487.99999997</v>
      </c>
      <c r="AS207" s="118">
        <v>0.58600823045267481</v>
      </c>
    </row>
    <row r="208" spans="1:45" x14ac:dyDescent="0.3">
      <c r="A208" s="1" t="str">
        <f t="shared" si="30"/>
        <v>DWDJ8F056BKS</v>
      </c>
      <c r="B208" s="126" t="s">
        <v>682</v>
      </c>
      <c r="C208" s="98" t="str">
        <f t="shared" si="33"/>
        <v>DJ8F0</v>
      </c>
      <c r="D208" s="98" t="s">
        <v>55</v>
      </c>
      <c r="E208" s="98" t="str">
        <f t="shared" si="34"/>
        <v>W</v>
      </c>
      <c r="F208" s="98" t="str">
        <f t="shared" si="35"/>
        <v>DJ</v>
      </c>
      <c r="G208" s="98" t="s">
        <v>56</v>
      </c>
      <c r="H208" s="115" t="s">
        <v>404</v>
      </c>
      <c r="I208" s="98" t="s">
        <v>78</v>
      </c>
      <c r="J208" s="115" t="str">
        <f t="shared" si="32"/>
        <v/>
      </c>
      <c r="K208" s="115">
        <v>1</v>
      </c>
      <c r="L208" s="121">
        <v>359000</v>
      </c>
      <c r="M208" s="78" t="s">
        <v>509</v>
      </c>
      <c r="N208" s="98" t="s">
        <v>678</v>
      </c>
      <c r="O208" s="98" t="s">
        <v>485</v>
      </c>
      <c r="P208" s="98">
        <v>100</v>
      </c>
      <c r="Q208" s="32" t="s">
        <v>119</v>
      </c>
      <c r="R208" s="98" t="s">
        <v>246</v>
      </c>
      <c r="S208" s="32" t="s">
        <v>331</v>
      </c>
      <c r="T208" s="98" t="s">
        <v>122</v>
      </c>
      <c r="U208" s="98" t="s">
        <v>207</v>
      </c>
      <c r="V208" s="98" t="s">
        <v>66</v>
      </c>
      <c r="W208" s="98"/>
      <c r="X208" s="78" t="s">
        <v>67</v>
      </c>
      <c r="Y208" s="98" t="s">
        <v>68</v>
      </c>
      <c r="Z208" s="32" t="s">
        <v>125</v>
      </c>
      <c r="AA208" s="32" t="s">
        <v>90</v>
      </c>
      <c r="AB208" s="78" t="s">
        <v>71</v>
      </c>
      <c r="AC208" s="98" t="s">
        <v>85</v>
      </c>
      <c r="AD208" s="98" t="s">
        <v>208</v>
      </c>
      <c r="AE208" s="65" t="s">
        <v>137</v>
      </c>
      <c r="AF208" s="39" t="s">
        <v>405</v>
      </c>
      <c r="AG208" s="98" t="s">
        <v>127</v>
      </c>
      <c r="AH208" s="115">
        <v>650</v>
      </c>
      <c r="AI208" s="117" t="s">
        <v>107</v>
      </c>
      <c r="AJ208" s="115" t="s">
        <v>108</v>
      </c>
      <c r="AK208" s="73">
        <v>7011</v>
      </c>
      <c r="AL208" s="116">
        <f t="shared" si="31"/>
        <v>2516949000</v>
      </c>
      <c r="AM208" s="116">
        <v>699</v>
      </c>
      <c r="AN208" s="116">
        <v>236856517</v>
      </c>
      <c r="AO208" s="116">
        <v>1689</v>
      </c>
      <c r="AP208" s="116">
        <v>581275138</v>
      </c>
      <c r="AQ208" s="116">
        <f t="shared" si="36"/>
        <v>3792.2999999999997</v>
      </c>
      <c r="AR208" s="116">
        <f t="shared" si="37"/>
        <v>1252520844</v>
      </c>
      <c r="AS208" s="118">
        <v>0.54090714591356437</v>
      </c>
    </row>
    <row r="209" spans="1:45" x14ac:dyDescent="0.3">
      <c r="A209" s="1" t="str">
        <f t="shared" si="30"/>
        <v>DMDJ6A056BKS</v>
      </c>
      <c r="B209" s="126" t="s">
        <v>683</v>
      </c>
      <c r="C209" s="98" t="str">
        <f t="shared" si="33"/>
        <v>DJ6A0</v>
      </c>
      <c r="D209" s="98" t="s">
        <v>55</v>
      </c>
      <c r="E209" s="98" t="str">
        <f t="shared" si="34"/>
        <v>M</v>
      </c>
      <c r="F209" s="98" t="str">
        <f t="shared" si="35"/>
        <v>DJ</v>
      </c>
      <c r="G209" s="98" t="s">
        <v>56</v>
      </c>
      <c r="H209" s="115" t="s">
        <v>431</v>
      </c>
      <c r="I209" s="98" t="s">
        <v>78</v>
      </c>
      <c r="J209" s="115">
        <f t="shared" si="32"/>
        <v>1</v>
      </c>
      <c r="K209" s="115">
        <v>1</v>
      </c>
      <c r="L209" s="121">
        <v>399000</v>
      </c>
      <c r="M209" s="78" t="s">
        <v>509</v>
      </c>
      <c r="N209" s="98" t="s">
        <v>541</v>
      </c>
      <c r="O209" s="98" t="s">
        <v>485</v>
      </c>
      <c r="P209" s="98">
        <v>100</v>
      </c>
      <c r="Q209" s="32" t="s">
        <v>219</v>
      </c>
      <c r="R209" s="98" t="s">
        <v>220</v>
      </c>
      <c r="S209" s="32" t="s">
        <v>221</v>
      </c>
      <c r="T209" s="98" t="s">
        <v>122</v>
      </c>
      <c r="U209" s="98" t="s">
        <v>332</v>
      </c>
      <c r="V209" s="98" t="s">
        <v>66</v>
      </c>
      <c r="W209" s="98"/>
      <c r="X209" s="78" t="s">
        <v>67</v>
      </c>
      <c r="Y209" s="98" t="s">
        <v>68</v>
      </c>
      <c r="Z209" s="32" t="s">
        <v>69</v>
      </c>
      <c r="AA209" s="32" t="s">
        <v>341</v>
      </c>
      <c r="AB209" s="78" t="s">
        <v>71</v>
      </c>
      <c r="AC209" s="98" t="s">
        <v>144</v>
      </c>
      <c r="AD209" s="98" t="s">
        <v>279</v>
      </c>
      <c r="AE209" s="65" t="s">
        <v>73</v>
      </c>
      <c r="AF209" s="39" t="s">
        <v>427</v>
      </c>
      <c r="AG209" s="98" t="s">
        <v>127</v>
      </c>
      <c r="AH209" s="115">
        <v>650</v>
      </c>
      <c r="AI209" s="117" t="s">
        <v>264</v>
      </c>
      <c r="AJ209" s="115" t="s">
        <v>241</v>
      </c>
      <c r="AK209" s="73">
        <v>4495</v>
      </c>
      <c r="AL209" s="116">
        <f t="shared" si="31"/>
        <v>1793505000</v>
      </c>
      <c r="AM209" s="116">
        <v>150</v>
      </c>
      <c r="AN209" s="116">
        <v>55717805</v>
      </c>
      <c r="AO209" s="116">
        <v>528</v>
      </c>
      <c r="AP209" s="116">
        <v>200451182</v>
      </c>
      <c r="AQ209" s="116">
        <f t="shared" si="36"/>
        <v>2101.25</v>
      </c>
      <c r="AR209" s="116">
        <f t="shared" si="37"/>
        <v>771326850</v>
      </c>
      <c r="AS209" s="118">
        <v>0.46746384872080088</v>
      </c>
    </row>
    <row r="210" spans="1:45" x14ac:dyDescent="0.3">
      <c r="A210" s="1" t="str">
        <f t="shared" si="30"/>
        <v>DMDJ6A056IND</v>
      </c>
      <c r="B210" s="126" t="s">
        <v>683</v>
      </c>
      <c r="C210" s="98" t="str">
        <f t="shared" si="33"/>
        <v>DJ6A0</v>
      </c>
      <c r="D210" s="98" t="s">
        <v>55</v>
      </c>
      <c r="E210" s="98" t="str">
        <f t="shared" si="34"/>
        <v>M</v>
      </c>
      <c r="F210" s="98" t="str">
        <f t="shared" si="35"/>
        <v>DJ</v>
      </c>
      <c r="G210" s="98" t="s">
        <v>56</v>
      </c>
      <c r="H210" s="115" t="s">
        <v>431</v>
      </c>
      <c r="I210" s="98" t="s">
        <v>660</v>
      </c>
      <c r="J210" s="115" t="str">
        <f t="shared" si="32"/>
        <v/>
      </c>
      <c r="K210" s="115">
        <v>1</v>
      </c>
      <c r="L210" s="121">
        <v>399000</v>
      </c>
      <c r="M210" s="78" t="s">
        <v>509</v>
      </c>
      <c r="N210" s="98" t="s">
        <v>541</v>
      </c>
      <c r="O210" s="98" t="s">
        <v>485</v>
      </c>
      <c r="P210" s="98">
        <v>100</v>
      </c>
      <c r="Q210" s="32" t="s">
        <v>219</v>
      </c>
      <c r="R210" s="98" t="s">
        <v>220</v>
      </c>
      <c r="S210" s="32" t="s">
        <v>221</v>
      </c>
      <c r="T210" s="98" t="s">
        <v>122</v>
      </c>
      <c r="U210" s="98" t="s">
        <v>332</v>
      </c>
      <c r="V210" s="98" t="s">
        <v>66</v>
      </c>
      <c r="W210" s="98"/>
      <c r="X210" s="78" t="s">
        <v>67</v>
      </c>
      <c r="Y210" s="98" t="s">
        <v>68</v>
      </c>
      <c r="Z210" s="32" t="s">
        <v>69</v>
      </c>
      <c r="AA210" s="32" t="s">
        <v>341</v>
      </c>
      <c r="AB210" s="78" t="s">
        <v>71</v>
      </c>
      <c r="AC210" s="98" t="s">
        <v>144</v>
      </c>
      <c r="AD210" s="98" t="s">
        <v>279</v>
      </c>
      <c r="AE210" s="65" t="s">
        <v>73</v>
      </c>
      <c r="AF210" s="39" t="s">
        <v>427</v>
      </c>
      <c r="AG210" s="98" t="s">
        <v>127</v>
      </c>
      <c r="AH210" s="115">
        <v>650</v>
      </c>
      <c r="AI210" s="117" t="s">
        <v>264</v>
      </c>
      <c r="AJ210" s="115" t="s">
        <v>241</v>
      </c>
      <c r="AK210" s="73">
        <v>988</v>
      </c>
      <c r="AL210" s="116">
        <f t="shared" si="31"/>
        <v>394212000</v>
      </c>
      <c r="AM210" s="116">
        <v>45</v>
      </c>
      <c r="AN210" s="116">
        <v>16773860</v>
      </c>
      <c r="AO210" s="116">
        <v>138</v>
      </c>
      <c r="AP210" s="116">
        <v>52616748</v>
      </c>
      <c r="AQ210" s="116">
        <f t="shared" si="36"/>
        <v>483.8</v>
      </c>
      <c r="AR210" s="116">
        <f t="shared" si="37"/>
        <v>177593304</v>
      </c>
      <c r="AS210" s="118">
        <v>0.48967611336032391</v>
      </c>
    </row>
    <row r="211" spans="1:45" x14ac:dyDescent="0.3">
      <c r="A211" s="1" t="str">
        <f t="shared" si="30"/>
        <v>DMDJ6A056KAS</v>
      </c>
      <c r="B211" s="126" t="s">
        <v>683</v>
      </c>
      <c r="C211" s="98" t="str">
        <f t="shared" si="33"/>
        <v>DJ6A0</v>
      </c>
      <c r="D211" s="98" t="s">
        <v>55</v>
      </c>
      <c r="E211" s="98" t="str">
        <f t="shared" si="34"/>
        <v>M</v>
      </c>
      <c r="F211" s="98" t="str">
        <f t="shared" si="35"/>
        <v>DJ</v>
      </c>
      <c r="G211" s="98" t="s">
        <v>56</v>
      </c>
      <c r="H211" s="115" t="s">
        <v>431</v>
      </c>
      <c r="I211" s="98" t="s">
        <v>102</v>
      </c>
      <c r="J211" s="115" t="str">
        <f t="shared" si="32"/>
        <v/>
      </c>
      <c r="K211" s="115">
        <v>1</v>
      </c>
      <c r="L211" s="121">
        <v>399000</v>
      </c>
      <c r="M211" s="78" t="s">
        <v>509</v>
      </c>
      <c r="N211" s="98" t="s">
        <v>541</v>
      </c>
      <c r="O211" s="98" t="s">
        <v>485</v>
      </c>
      <c r="P211" s="98">
        <v>100</v>
      </c>
      <c r="Q211" s="32" t="s">
        <v>219</v>
      </c>
      <c r="R211" s="98" t="s">
        <v>220</v>
      </c>
      <c r="S211" s="32" t="s">
        <v>221</v>
      </c>
      <c r="T211" s="98" t="s">
        <v>122</v>
      </c>
      <c r="U211" s="98" t="s">
        <v>332</v>
      </c>
      <c r="V211" s="98" t="s">
        <v>66</v>
      </c>
      <c r="W211" s="98"/>
      <c r="X211" s="78" t="s">
        <v>67</v>
      </c>
      <c r="Y211" s="98" t="s">
        <v>68</v>
      </c>
      <c r="Z211" s="32" t="s">
        <v>69</v>
      </c>
      <c r="AA211" s="32" t="s">
        <v>341</v>
      </c>
      <c r="AB211" s="78" t="s">
        <v>71</v>
      </c>
      <c r="AC211" s="98" t="s">
        <v>144</v>
      </c>
      <c r="AD211" s="98" t="s">
        <v>279</v>
      </c>
      <c r="AE211" s="65" t="s">
        <v>73</v>
      </c>
      <c r="AF211" s="39" t="s">
        <v>427</v>
      </c>
      <c r="AG211" s="98" t="s">
        <v>127</v>
      </c>
      <c r="AH211" s="115">
        <v>650</v>
      </c>
      <c r="AI211" s="117" t="s">
        <v>264</v>
      </c>
      <c r="AJ211" s="115" t="s">
        <v>241</v>
      </c>
      <c r="AK211" s="73">
        <v>1990</v>
      </c>
      <c r="AL211" s="116">
        <f t="shared" si="31"/>
        <v>794010000</v>
      </c>
      <c r="AM211" s="116">
        <v>34</v>
      </c>
      <c r="AN211" s="116">
        <v>12620685</v>
      </c>
      <c r="AO211" s="116">
        <v>111</v>
      </c>
      <c r="AP211" s="116">
        <v>42292455</v>
      </c>
      <c r="AQ211" s="116">
        <f t="shared" si="36"/>
        <v>807.5</v>
      </c>
      <c r="AR211" s="116">
        <f t="shared" si="37"/>
        <v>296417100</v>
      </c>
      <c r="AS211" s="118">
        <v>0.40577889447236182</v>
      </c>
    </row>
    <row r="212" spans="1:45" x14ac:dyDescent="0.3">
      <c r="A212" s="1" t="str">
        <f t="shared" si="30"/>
        <v>DMDJ7E056BGD</v>
      </c>
      <c r="B212" s="126" t="s">
        <v>684</v>
      </c>
      <c r="C212" s="98" t="str">
        <f t="shared" si="33"/>
        <v>DJ7E0</v>
      </c>
      <c r="D212" s="98" t="s">
        <v>55</v>
      </c>
      <c r="E212" s="98" t="str">
        <f t="shared" si="34"/>
        <v>M</v>
      </c>
      <c r="F212" s="98" t="str">
        <f t="shared" si="35"/>
        <v>DJ</v>
      </c>
      <c r="G212" s="98" t="s">
        <v>56</v>
      </c>
      <c r="H212" s="115" t="s">
        <v>355</v>
      </c>
      <c r="I212" s="98" t="s">
        <v>260</v>
      </c>
      <c r="J212" s="115">
        <f t="shared" si="32"/>
        <v>1</v>
      </c>
      <c r="K212" s="115">
        <v>1</v>
      </c>
      <c r="L212" s="121">
        <v>620000</v>
      </c>
      <c r="M212" s="78" t="s">
        <v>509</v>
      </c>
      <c r="N212" s="98" t="s">
        <v>685</v>
      </c>
      <c r="O212" s="98" t="s">
        <v>485</v>
      </c>
      <c r="P212" s="98">
        <v>100</v>
      </c>
      <c r="Q212" s="32" t="s">
        <v>85</v>
      </c>
      <c r="R212" s="98" t="s">
        <v>686</v>
      </c>
      <c r="S212" s="32" t="s">
        <v>687</v>
      </c>
      <c r="T212" s="98" t="s">
        <v>122</v>
      </c>
      <c r="U212" s="98" t="s">
        <v>207</v>
      </c>
      <c r="V212" s="98" t="s">
        <v>66</v>
      </c>
      <c r="W212" s="98"/>
      <c r="X212" s="78" t="s">
        <v>67</v>
      </c>
      <c r="Y212" s="98" t="s">
        <v>68</v>
      </c>
      <c r="Z212" s="32" t="s">
        <v>125</v>
      </c>
      <c r="AA212" s="32" t="s">
        <v>90</v>
      </c>
      <c r="AB212" s="78" t="s">
        <v>71</v>
      </c>
      <c r="AC212" s="98" t="s">
        <v>62</v>
      </c>
      <c r="AD212" s="98" t="s">
        <v>72</v>
      </c>
      <c r="AE212" s="65" t="s">
        <v>73</v>
      </c>
      <c r="AF212" s="39" t="s">
        <v>359</v>
      </c>
      <c r="AG212" s="98" t="s">
        <v>127</v>
      </c>
      <c r="AH212" s="115">
        <v>650</v>
      </c>
      <c r="AI212" s="117" t="s">
        <v>107</v>
      </c>
      <c r="AJ212" s="115" t="s">
        <v>108</v>
      </c>
      <c r="AK212" s="73">
        <v>812</v>
      </c>
      <c r="AL212" s="116">
        <f t="shared" si="31"/>
        <v>503440000</v>
      </c>
      <c r="AM212" s="116">
        <v>5</v>
      </c>
      <c r="AN212" s="116">
        <v>2861683</v>
      </c>
      <c r="AO212" s="116">
        <v>16</v>
      </c>
      <c r="AP212" s="116">
        <v>9453293</v>
      </c>
      <c r="AQ212" s="116">
        <f t="shared" si="36"/>
        <v>259.59999999999997</v>
      </c>
      <c r="AR212" s="116">
        <f t="shared" si="37"/>
        <v>148075839.99999997</v>
      </c>
      <c r="AS212" s="118">
        <v>0.31970443349753691</v>
      </c>
    </row>
    <row r="213" spans="1:45" x14ac:dyDescent="0.3">
      <c r="A213" s="1" t="str">
        <f t="shared" si="30"/>
        <v>DMDJ7E056BKS</v>
      </c>
      <c r="B213" s="126" t="s">
        <v>684</v>
      </c>
      <c r="C213" s="98" t="str">
        <f t="shared" si="33"/>
        <v>DJ7E0</v>
      </c>
      <c r="D213" s="98" t="s">
        <v>55</v>
      </c>
      <c r="E213" s="98" t="str">
        <f t="shared" si="34"/>
        <v>M</v>
      </c>
      <c r="F213" s="98" t="str">
        <f t="shared" si="35"/>
        <v>DJ</v>
      </c>
      <c r="G213" s="98" t="s">
        <v>56</v>
      </c>
      <c r="H213" s="115" t="s">
        <v>355</v>
      </c>
      <c r="I213" s="98" t="s">
        <v>78</v>
      </c>
      <c r="J213" s="115" t="str">
        <f t="shared" si="32"/>
        <v/>
      </c>
      <c r="K213" s="115">
        <v>1</v>
      </c>
      <c r="L213" s="121">
        <v>620000</v>
      </c>
      <c r="M213" s="78" t="s">
        <v>509</v>
      </c>
      <c r="N213" s="98" t="s">
        <v>685</v>
      </c>
      <c r="O213" s="98" t="s">
        <v>485</v>
      </c>
      <c r="P213" s="98">
        <v>100</v>
      </c>
      <c r="Q213" s="32" t="s">
        <v>85</v>
      </c>
      <c r="R213" s="98" t="s">
        <v>686</v>
      </c>
      <c r="S213" s="32" t="s">
        <v>687</v>
      </c>
      <c r="T213" s="98" t="s">
        <v>122</v>
      </c>
      <c r="U213" s="98" t="s">
        <v>207</v>
      </c>
      <c r="V213" s="98" t="s">
        <v>66</v>
      </c>
      <c r="W213" s="98"/>
      <c r="X213" s="78" t="s">
        <v>67</v>
      </c>
      <c r="Y213" s="98" t="s">
        <v>68</v>
      </c>
      <c r="Z213" s="32" t="s">
        <v>125</v>
      </c>
      <c r="AA213" s="32" t="s">
        <v>90</v>
      </c>
      <c r="AB213" s="78" t="s">
        <v>71</v>
      </c>
      <c r="AC213" s="98" t="s">
        <v>62</v>
      </c>
      <c r="AD213" s="98" t="s">
        <v>72</v>
      </c>
      <c r="AE213" s="65" t="s">
        <v>73</v>
      </c>
      <c r="AF213" s="39" t="s">
        <v>359</v>
      </c>
      <c r="AG213" s="98" t="s">
        <v>127</v>
      </c>
      <c r="AH213" s="115">
        <v>650</v>
      </c>
      <c r="AI213" s="117" t="s">
        <v>107</v>
      </c>
      <c r="AJ213" s="115" t="s">
        <v>108</v>
      </c>
      <c r="AK213" s="73">
        <v>1211</v>
      </c>
      <c r="AL213" s="116">
        <f t="shared" si="31"/>
        <v>750820000</v>
      </c>
      <c r="AM213" s="116">
        <v>51</v>
      </c>
      <c r="AN213" s="116">
        <v>28957375</v>
      </c>
      <c r="AO213" s="116">
        <v>125</v>
      </c>
      <c r="AP213" s="116">
        <v>73382589</v>
      </c>
      <c r="AQ213" s="116">
        <f t="shared" si="36"/>
        <v>488.29999999999995</v>
      </c>
      <c r="AR213" s="116">
        <f t="shared" si="37"/>
        <v>278526320</v>
      </c>
      <c r="AS213" s="118">
        <v>0.40322047894302226</v>
      </c>
    </row>
    <row r="214" spans="1:45" x14ac:dyDescent="0.3">
      <c r="A214" s="1" t="str">
        <f t="shared" si="30"/>
        <v>DWDJ7F056CRS</v>
      </c>
      <c r="B214" s="126" t="s">
        <v>688</v>
      </c>
      <c r="C214" s="98" t="str">
        <f t="shared" si="33"/>
        <v>DJ7F0</v>
      </c>
      <c r="D214" s="98" t="s">
        <v>55</v>
      </c>
      <c r="E214" s="98" t="str">
        <f t="shared" si="34"/>
        <v>W</v>
      </c>
      <c r="F214" s="98" t="str">
        <f t="shared" si="35"/>
        <v>DJ</v>
      </c>
      <c r="G214" s="98" t="s">
        <v>56</v>
      </c>
      <c r="H214" s="115" t="s">
        <v>361</v>
      </c>
      <c r="I214" s="98" t="s">
        <v>79</v>
      </c>
      <c r="J214" s="115">
        <f t="shared" si="32"/>
        <v>1</v>
      </c>
      <c r="K214" s="115">
        <v>1</v>
      </c>
      <c r="L214" s="121">
        <v>620000</v>
      </c>
      <c r="M214" s="78" t="s">
        <v>509</v>
      </c>
      <c r="N214" s="98" t="s">
        <v>685</v>
      </c>
      <c r="O214" s="98" t="s">
        <v>485</v>
      </c>
      <c r="P214" s="98">
        <v>100</v>
      </c>
      <c r="Q214" s="32" t="s">
        <v>85</v>
      </c>
      <c r="R214" s="98" t="s">
        <v>686</v>
      </c>
      <c r="S214" s="32" t="s">
        <v>687</v>
      </c>
      <c r="T214" s="98" t="s">
        <v>122</v>
      </c>
      <c r="U214" s="98" t="s">
        <v>207</v>
      </c>
      <c r="V214" s="98" t="s">
        <v>66</v>
      </c>
      <c r="W214" s="98"/>
      <c r="X214" s="78" t="s">
        <v>67</v>
      </c>
      <c r="Y214" s="98" t="s">
        <v>68</v>
      </c>
      <c r="Z214" s="32" t="s">
        <v>125</v>
      </c>
      <c r="AA214" s="32" t="s">
        <v>90</v>
      </c>
      <c r="AB214" s="78" t="s">
        <v>71</v>
      </c>
      <c r="AC214" s="98" t="s">
        <v>62</v>
      </c>
      <c r="AD214" s="98" t="s">
        <v>72</v>
      </c>
      <c r="AE214" s="65" t="s">
        <v>73</v>
      </c>
      <c r="AF214" s="39" t="s">
        <v>362</v>
      </c>
      <c r="AG214" s="98" t="s">
        <v>127</v>
      </c>
      <c r="AH214" s="115">
        <v>650</v>
      </c>
      <c r="AI214" s="117" t="s">
        <v>107</v>
      </c>
      <c r="AJ214" s="115" t="s">
        <v>108</v>
      </c>
      <c r="AK214" s="73">
        <v>809</v>
      </c>
      <c r="AL214" s="116">
        <f t="shared" si="31"/>
        <v>501580000</v>
      </c>
      <c r="AM214" s="116">
        <v>26</v>
      </c>
      <c r="AN214" s="116">
        <v>14576326</v>
      </c>
      <c r="AO214" s="116">
        <v>66</v>
      </c>
      <c r="AP214" s="116">
        <v>38217965</v>
      </c>
      <c r="AQ214" s="116">
        <f t="shared" si="36"/>
        <v>308.7</v>
      </c>
      <c r="AR214" s="116">
        <f t="shared" si="37"/>
        <v>176082480</v>
      </c>
      <c r="AS214" s="118">
        <v>0.38158220024721878</v>
      </c>
    </row>
    <row r="215" spans="1:45" x14ac:dyDescent="0.3">
      <c r="A215" s="1" t="str">
        <f t="shared" si="30"/>
        <v>DWDJ7F056BKS</v>
      </c>
      <c r="B215" s="126" t="s">
        <v>688</v>
      </c>
      <c r="C215" s="98" t="str">
        <f t="shared" si="33"/>
        <v>DJ7F0</v>
      </c>
      <c r="D215" s="98" t="s">
        <v>55</v>
      </c>
      <c r="E215" s="98" t="str">
        <f t="shared" si="34"/>
        <v>W</v>
      </c>
      <c r="F215" s="98" t="str">
        <f t="shared" si="35"/>
        <v>DJ</v>
      </c>
      <c r="G215" s="98" t="s">
        <v>56</v>
      </c>
      <c r="H215" s="115" t="s">
        <v>361</v>
      </c>
      <c r="I215" s="98" t="s">
        <v>78</v>
      </c>
      <c r="J215" s="115" t="str">
        <f t="shared" si="32"/>
        <v/>
      </c>
      <c r="K215" s="115">
        <v>1</v>
      </c>
      <c r="L215" s="121">
        <v>620000</v>
      </c>
      <c r="M215" s="78" t="s">
        <v>509</v>
      </c>
      <c r="N215" s="98" t="s">
        <v>685</v>
      </c>
      <c r="O215" s="98" t="s">
        <v>485</v>
      </c>
      <c r="P215" s="98">
        <v>100</v>
      </c>
      <c r="Q215" s="32" t="s">
        <v>85</v>
      </c>
      <c r="R215" s="98" t="s">
        <v>686</v>
      </c>
      <c r="S215" s="32" t="s">
        <v>687</v>
      </c>
      <c r="T215" s="98" t="s">
        <v>122</v>
      </c>
      <c r="U215" s="98" t="s">
        <v>207</v>
      </c>
      <c r="V215" s="98" t="s">
        <v>66</v>
      </c>
      <c r="W215" s="98"/>
      <c r="X215" s="78" t="s">
        <v>67</v>
      </c>
      <c r="Y215" s="98" t="s">
        <v>68</v>
      </c>
      <c r="Z215" s="32" t="s">
        <v>125</v>
      </c>
      <c r="AA215" s="32" t="s">
        <v>90</v>
      </c>
      <c r="AB215" s="78" t="s">
        <v>71</v>
      </c>
      <c r="AC215" s="98" t="s">
        <v>62</v>
      </c>
      <c r="AD215" s="98" t="s">
        <v>72</v>
      </c>
      <c r="AE215" s="65" t="s">
        <v>73</v>
      </c>
      <c r="AF215" s="39" t="s">
        <v>362</v>
      </c>
      <c r="AG215" s="98" t="s">
        <v>127</v>
      </c>
      <c r="AH215" s="115">
        <v>650</v>
      </c>
      <c r="AI215" s="117" t="s">
        <v>107</v>
      </c>
      <c r="AJ215" s="115" t="s">
        <v>108</v>
      </c>
      <c r="AK215" s="73">
        <v>1827</v>
      </c>
      <c r="AL215" s="116">
        <f t="shared" si="31"/>
        <v>1132740000</v>
      </c>
      <c r="AM215" s="116">
        <v>111</v>
      </c>
      <c r="AN215" s="116">
        <v>62908165</v>
      </c>
      <c r="AO215" s="116">
        <v>264</v>
      </c>
      <c r="AP215" s="116">
        <v>154442872</v>
      </c>
      <c r="AQ215" s="116">
        <f t="shared" si="36"/>
        <v>812.09999999999991</v>
      </c>
      <c r="AR215" s="116">
        <f t="shared" si="37"/>
        <v>463221840</v>
      </c>
      <c r="AS215" s="118">
        <v>0.44449917898193758</v>
      </c>
    </row>
    <row r="216" spans="1:45" x14ac:dyDescent="0.3">
      <c r="A216" s="1" t="str">
        <f t="shared" si="30"/>
        <v>DMDJ53056BKS</v>
      </c>
      <c r="B216" s="126" t="s">
        <v>689</v>
      </c>
      <c r="C216" s="98" t="str">
        <f t="shared" si="33"/>
        <v>DJ530</v>
      </c>
      <c r="D216" s="98" t="s">
        <v>55</v>
      </c>
      <c r="E216" s="98" t="str">
        <f t="shared" si="34"/>
        <v>M</v>
      </c>
      <c r="F216" s="98" t="str">
        <f t="shared" si="35"/>
        <v>DJ</v>
      </c>
      <c r="G216" s="98" t="s">
        <v>56</v>
      </c>
      <c r="H216" s="115" t="s">
        <v>690</v>
      </c>
      <c r="I216" s="98" t="s">
        <v>78</v>
      </c>
      <c r="J216" s="115">
        <f t="shared" si="32"/>
        <v>1</v>
      </c>
      <c r="K216" s="115">
        <v>1</v>
      </c>
      <c r="L216" s="121">
        <v>169000</v>
      </c>
      <c r="M216" s="78" t="s">
        <v>509</v>
      </c>
      <c r="N216" s="98" t="s">
        <v>691</v>
      </c>
      <c r="O216" s="98" t="s">
        <v>143</v>
      </c>
      <c r="P216" s="98">
        <v>100</v>
      </c>
      <c r="Q216" s="32" t="s">
        <v>62</v>
      </c>
      <c r="R216" s="98" t="s">
        <v>692</v>
      </c>
      <c r="S216" s="32" t="s">
        <v>693</v>
      </c>
      <c r="T216" s="98" t="s">
        <v>65</v>
      </c>
      <c r="U216" s="98"/>
      <c r="V216" s="98" t="s">
        <v>66</v>
      </c>
      <c r="W216" s="98"/>
      <c r="X216" s="78" t="s">
        <v>67</v>
      </c>
      <c r="Y216" s="98" t="s">
        <v>68</v>
      </c>
      <c r="Z216" s="32" t="s">
        <v>536</v>
      </c>
      <c r="AA216" s="32" t="s">
        <v>90</v>
      </c>
      <c r="AB216" s="78" t="s">
        <v>71</v>
      </c>
      <c r="AC216" s="98" t="s">
        <v>62</v>
      </c>
      <c r="AD216" s="98" t="s">
        <v>72</v>
      </c>
      <c r="AE216" s="65" t="s">
        <v>137</v>
      </c>
      <c r="AF216" s="39" t="s">
        <v>112</v>
      </c>
      <c r="AG216" s="98" t="s">
        <v>240</v>
      </c>
      <c r="AH216" s="115">
        <v>650</v>
      </c>
      <c r="AI216" s="117" t="s">
        <v>76</v>
      </c>
      <c r="AJ216" s="115" t="s">
        <v>241</v>
      </c>
      <c r="AK216" s="73">
        <v>3543</v>
      </c>
      <c r="AL216" s="116">
        <f t="shared" si="31"/>
        <v>598767000</v>
      </c>
      <c r="AM216" s="116">
        <v>84</v>
      </c>
      <c r="AN216" s="116">
        <v>10826976</v>
      </c>
      <c r="AO216" s="116">
        <v>732</v>
      </c>
      <c r="AP216" s="116">
        <v>109314898</v>
      </c>
      <c r="AQ216" s="116">
        <f t="shared" si="36"/>
        <v>1546.89</v>
      </c>
      <c r="AR216" s="116">
        <f t="shared" si="37"/>
        <v>240510457.20000005</v>
      </c>
      <c r="AS216" s="118">
        <v>0.43660457239627437</v>
      </c>
    </row>
    <row r="217" spans="1:45" x14ac:dyDescent="0.3">
      <c r="A217" s="1" t="str">
        <f t="shared" si="30"/>
        <v>DMDJ53056LKS</v>
      </c>
      <c r="B217" s="126" t="s">
        <v>689</v>
      </c>
      <c r="C217" s="98" t="str">
        <f t="shared" si="33"/>
        <v>DJ530</v>
      </c>
      <c r="D217" s="98" t="s">
        <v>55</v>
      </c>
      <c r="E217" s="98" t="str">
        <f t="shared" si="34"/>
        <v>M</v>
      </c>
      <c r="F217" s="98" t="str">
        <f t="shared" si="35"/>
        <v>DJ</v>
      </c>
      <c r="G217" s="98" t="s">
        <v>56</v>
      </c>
      <c r="H217" s="115" t="s">
        <v>690</v>
      </c>
      <c r="I217" s="98" t="s">
        <v>179</v>
      </c>
      <c r="J217" s="115" t="str">
        <f t="shared" si="32"/>
        <v/>
      </c>
      <c r="K217" s="115">
        <v>1</v>
      </c>
      <c r="L217" s="121">
        <v>169000</v>
      </c>
      <c r="M217" s="78" t="s">
        <v>509</v>
      </c>
      <c r="N217" s="98" t="s">
        <v>691</v>
      </c>
      <c r="O217" s="98" t="s">
        <v>143</v>
      </c>
      <c r="P217" s="98">
        <v>100</v>
      </c>
      <c r="Q217" s="32" t="s">
        <v>62</v>
      </c>
      <c r="R217" s="98" t="s">
        <v>692</v>
      </c>
      <c r="S217" s="32" t="s">
        <v>693</v>
      </c>
      <c r="T217" s="98" t="s">
        <v>65</v>
      </c>
      <c r="U217" s="98"/>
      <c r="V217" s="98" t="s">
        <v>66</v>
      </c>
      <c r="W217" s="98"/>
      <c r="X217" s="78" t="s">
        <v>67</v>
      </c>
      <c r="Y217" s="98" t="s">
        <v>68</v>
      </c>
      <c r="Z217" s="32" t="s">
        <v>536</v>
      </c>
      <c r="AA217" s="32" t="s">
        <v>90</v>
      </c>
      <c r="AB217" s="78" t="s">
        <v>71</v>
      </c>
      <c r="AC217" s="98" t="s">
        <v>62</v>
      </c>
      <c r="AD217" s="98" t="s">
        <v>72</v>
      </c>
      <c r="AE217" s="65" t="s">
        <v>137</v>
      </c>
      <c r="AF217" s="39" t="s">
        <v>112</v>
      </c>
      <c r="AG217" s="98" t="s">
        <v>240</v>
      </c>
      <c r="AH217" s="115">
        <v>650</v>
      </c>
      <c r="AI217" s="117" t="s">
        <v>76</v>
      </c>
      <c r="AJ217" s="115" t="s">
        <v>241</v>
      </c>
      <c r="AK217" s="73">
        <v>1009</v>
      </c>
      <c r="AL217" s="116">
        <f t="shared" si="31"/>
        <v>170521000</v>
      </c>
      <c r="AM217" s="116">
        <v>22</v>
      </c>
      <c r="AN217" s="116">
        <v>2806860</v>
      </c>
      <c r="AO217" s="116">
        <v>126</v>
      </c>
      <c r="AP217" s="116">
        <v>19340643</v>
      </c>
      <c r="AQ217" s="116">
        <f t="shared" si="36"/>
        <v>358.07</v>
      </c>
      <c r="AR217" s="116">
        <f t="shared" si="37"/>
        <v>55672723.600000001</v>
      </c>
      <c r="AS217" s="118">
        <v>0.35487611496531218</v>
      </c>
    </row>
    <row r="218" spans="1:45" x14ac:dyDescent="0.3">
      <c r="A218" s="1" t="str">
        <f t="shared" si="30"/>
        <v>DMDJ53056WID</v>
      </c>
      <c r="B218" s="126" t="s">
        <v>689</v>
      </c>
      <c r="C218" s="98" t="str">
        <f t="shared" si="33"/>
        <v>DJ530</v>
      </c>
      <c r="D218" s="98" t="s">
        <v>55</v>
      </c>
      <c r="E218" s="98" t="str">
        <f t="shared" si="34"/>
        <v>M</v>
      </c>
      <c r="F218" s="98" t="str">
        <f t="shared" si="35"/>
        <v>DJ</v>
      </c>
      <c r="G218" s="98" t="s">
        <v>56</v>
      </c>
      <c r="H218" s="115" t="s">
        <v>690</v>
      </c>
      <c r="I218" s="98" t="s">
        <v>554</v>
      </c>
      <c r="J218" s="115" t="str">
        <f t="shared" si="32"/>
        <v/>
      </c>
      <c r="K218" s="115">
        <v>1</v>
      </c>
      <c r="L218" s="121">
        <v>169000</v>
      </c>
      <c r="M218" s="78" t="s">
        <v>509</v>
      </c>
      <c r="N218" s="98" t="s">
        <v>691</v>
      </c>
      <c r="O218" s="98" t="s">
        <v>143</v>
      </c>
      <c r="P218" s="98">
        <v>100</v>
      </c>
      <c r="Q218" s="32" t="s">
        <v>62</v>
      </c>
      <c r="R218" s="98" t="s">
        <v>692</v>
      </c>
      <c r="S218" s="32" t="s">
        <v>693</v>
      </c>
      <c r="T218" s="98" t="s">
        <v>65</v>
      </c>
      <c r="U218" s="98"/>
      <c r="V218" s="98" t="s">
        <v>66</v>
      </c>
      <c r="W218" s="98"/>
      <c r="X218" s="78" t="s">
        <v>67</v>
      </c>
      <c r="Y218" s="98" t="s">
        <v>68</v>
      </c>
      <c r="Z218" s="32" t="s">
        <v>536</v>
      </c>
      <c r="AA218" s="32" t="s">
        <v>90</v>
      </c>
      <c r="AB218" s="78" t="s">
        <v>71</v>
      </c>
      <c r="AC218" s="98" t="s">
        <v>62</v>
      </c>
      <c r="AD218" s="98" t="s">
        <v>72</v>
      </c>
      <c r="AE218" s="65" t="s">
        <v>137</v>
      </c>
      <c r="AF218" s="39" t="s">
        <v>112</v>
      </c>
      <c r="AG218" s="98" t="s">
        <v>240</v>
      </c>
      <c r="AH218" s="115">
        <v>650</v>
      </c>
      <c r="AI218" s="117" t="s">
        <v>76</v>
      </c>
      <c r="AJ218" s="115" t="s">
        <v>241</v>
      </c>
      <c r="AK218" s="73">
        <v>798</v>
      </c>
      <c r="AL218" s="116">
        <f t="shared" si="31"/>
        <v>134862000</v>
      </c>
      <c r="AM218" s="116">
        <v>1</v>
      </c>
      <c r="AN218" s="116">
        <v>154305</v>
      </c>
      <c r="AO218" s="116">
        <v>18</v>
      </c>
      <c r="AP218" s="116">
        <v>2905704</v>
      </c>
      <c r="AQ218" s="116">
        <f t="shared" si="36"/>
        <v>201.54000000000002</v>
      </c>
      <c r="AR218" s="116">
        <f t="shared" si="37"/>
        <v>31335439.200000007</v>
      </c>
      <c r="AS218" s="118">
        <v>0.25255639097744365</v>
      </c>
    </row>
    <row r="219" spans="1:45" x14ac:dyDescent="0.3">
      <c r="A219" s="1" t="str">
        <f t="shared" si="30"/>
        <v>DWDJ54056WID</v>
      </c>
      <c r="B219" s="126" t="s">
        <v>694</v>
      </c>
      <c r="C219" s="98" t="str">
        <f t="shared" si="33"/>
        <v>DJ540</v>
      </c>
      <c r="D219" s="98" t="s">
        <v>55</v>
      </c>
      <c r="E219" s="98" t="str">
        <f t="shared" si="34"/>
        <v>W</v>
      </c>
      <c r="F219" s="98" t="str">
        <f t="shared" si="35"/>
        <v>DJ</v>
      </c>
      <c r="G219" s="98" t="s">
        <v>56</v>
      </c>
      <c r="H219" s="115" t="s">
        <v>695</v>
      </c>
      <c r="I219" s="98" t="s">
        <v>554</v>
      </c>
      <c r="J219" s="115">
        <f t="shared" si="32"/>
        <v>1</v>
      </c>
      <c r="K219" s="115">
        <v>1</v>
      </c>
      <c r="L219" s="121">
        <v>169000</v>
      </c>
      <c r="M219" s="78" t="s">
        <v>509</v>
      </c>
      <c r="N219" s="98" t="s">
        <v>691</v>
      </c>
      <c r="O219" s="98" t="s">
        <v>143</v>
      </c>
      <c r="P219" s="98">
        <v>100</v>
      </c>
      <c r="Q219" s="32" t="s">
        <v>62</v>
      </c>
      <c r="R219" s="98" t="s">
        <v>692</v>
      </c>
      <c r="S219" s="32" t="s">
        <v>693</v>
      </c>
      <c r="T219" s="98" t="s">
        <v>65</v>
      </c>
      <c r="U219" s="98"/>
      <c r="V219" s="98" t="s">
        <v>66</v>
      </c>
      <c r="W219" s="98"/>
      <c r="X219" s="78" t="s">
        <v>67</v>
      </c>
      <c r="Y219" s="98" t="s">
        <v>68</v>
      </c>
      <c r="Z219" s="32" t="s">
        <v>536</v>
      </c>
      <c r="AA219" s="32" t="s">
        <v>90</v>
      </c>
      <c r="AB219" s="78" t="s">
        <v>71</v>
      </c>
      <c r="AC219" s="98" t="s">
        <v>62</v>
      </c>
      <c r="AD219" s="98" t="s">
        <v>72</v>
      </c>
      <c r="AE219" s="65" t="s">
        <v>137</v>
      </c>
      <c r="AF219" s="39" t="s">
        <v>566</v>
      </c>
      <c r="AG219" s="98" t="s">
        <v>240</v>
      </c>
      <c r="AH219" s="115">
        <v>650</v>
      </c>
      <c r="AI219" s="117" t="s">
        <v>76</v>
      </c>
      <c r="AJ219" s="115" t="s">
        <v>94</v>
      </c>
      <c r="AK219" s="73">
        <v>808</v>
      </c>
      <c r="AL219" s="116">
        <f t="shared" si="31"/>
        <v>136552000</v>
      </c>
      <c r="AM219" s="116">
        <v>2</v>
      </c>
      <c r="AN219" s="116">
        <v>321362</v>
      </c>
      <c r="AO219" s="116">
        <v>27</v>
      </c>
      <c r="AP219" s="116">
        <v>4316441</v>
      </c>
      <c r="AQ219" s="116">
        <f t="shared" si="36"/>
        <v>212.84</v>
      </c>
      <c r="AR219" s="116">
        <f t="shared" si="37"/>
        <v>33092363.200000003</v>
      </c>
      <c r="AS219" s="118">
        <v>0.26341584158415843</v>
      </c>
    </row>
    <row r="220" spans="1:45" x14ac:dyDescent="0.3">
      <c r="A220" s="1" t="str">
        <f t="shared" si="30"/>
        <v>DWDJ54056LKS</v>
      </c>
      <c r="B220" s="126" t="s">
        <v>694</v>
      </c>
      <c r="C220" s="98" t="str">
        <f t="shared" si="33"/>
        <v>DJ540</v>
      </c>
      <c r="D220" s="98" t="s">
        <v>55</v>
      </c>
      <c r="E220" s="98" t="str">
        <f t="shared" si="34"/>
        <v>W</v>
      </c>
      <c r="F220" s="98" t="str">
        <f t="shared" si="35"/>
        <v>DJ</v>
      </c>
      <c r="G220" s="98" t="s">
        <v>56</v>
      </c>
      <c r="H220" s="115" t="s">
        <v>695</v>
      </c>
      <c r="I220" s="98" t="s">
        <v>179</v>
      </c>
      <c r="J220" s="115" t="str">
        <f t="shared" si="32"/>
        <v/>
      </c>
      <c r="K220" s="115">
        <v>1</v>
      </c>
      <c r="L220" s="121">
        <v>169000</v>
      </c>
      <c r="M220" s="78" t="s">
        <v>509</v>
      </c>
      <c r="N220" s="98" t="s">
        <v>691</v>
      </c>
      <c r="O220" s="98" t="s">
        <v>143</v>
      </c>
      <c r="P220" s="98">
        <v>100</v>
      </c>
      <c r="Q220" s="32" t="s">
        <v>62</v>
      </c>
      <c r="R220" s="98" t="s">
        <v>692</v>
      </c>
      <c r="S220" s="32" t="s">
        <v>693</v>
      </c>
      <c r="T220" s="98" t="s">
        <v>65</v>
      </c>
      <c r="U220" s="98"/>
      <c r="V220" s="98" t="s">
        <v>66</v>
      </c>
      <c r="W220" s="98"/>
      <c r="X220" s="78" t="s">
        <v>67</v>
      </c>
      <c r="Y220" s="98" t="s">
        <v>68</v>
      </c>
      <c r="Z220" s="32" t="s">
        <v>536</v>
      </c>
      <c r="AA220" s="32" t="s">
        <v>90</v>
      </c>
      <c r="AB220" s="78" t="s">
        <v>71</v>
      </c>
      <c r="AC220" s="98" t="s">
        <v>62</v>
      </c>
      <c r="AD220" s="98" t="s">
        <v>72</v>
      </c>
      <c r="AE220" s="65" t="s">
        <v>137</v>
      </c>
      <c r="AF220" s="39" t="s">
        <v>566</v>
      </c>
      <c r="AG220" s="98" t="s">
        <v>240</v>
      </c>
      <c r="AH220" s="115">
        <v>650</v>
      </c>
      <c r="AI220" s="117" t="s">
        <v>76</v>
      </c>
      <c r="AJ220" s="115" t="s">
        <v>94</v>
      </c>
      <c r="AK220" s="73">
        <v>811</v>
      </c>
      <c r="AL220" s="116">
        <f t="shared" si="31"/>
        <v>137059000</v>
      </c>
      <c r="AM220" s="116">
        <v>3</v>
      </c>
      <c r="AN220" s="116">
        <v>339660</v>
      </c>
      <c r="AO220" s="116">
        <v>69</v>
      </c>
      <c r="AP220" s="116">
        <v>10833388</v>
      </c>
      <c r="AQ220" s="116">
        <f t="shared" si="36"/>
        <v>255.53</v>
      </c>
      <c r="AR220" s="116">
        <f t="shared" si="37"/>
        <v>39729804.399999999</v>
      </c>
      <c r="AS220" s="118">
        <v>0.31508014796547473</v>
      </c>
    </row>
    <row r="221" spans="1:45" x14ac:dyDescent="0.3">
      <c r="A221" s="1" t="str">
        <f t="shared" si="30"/>
        <v>DWDJ54056BKS</v>
      </c>
      <c r="B221" s="126" t="s">
        <v>694</v>
      </c>
      <c r="C221" s="98" t="str">
        <f t="shared" si="33"/>
        <v>DJ540</v>
      </c>
      <c r="D221" s="98" t="s">
        <v>55</v>
      </c>
      <c r="E221" s="98" t="str">
        <f t="shared" si="34"/>
        <v>W</v>
      </c>
      <c r="F221" s="98" t="str">
        <f t="shared" si="35"/>
        <v>DJ</v>
      </c>
      <c r="G221" s="98" t="s">
        <v>56</v>
      </c>
      <c r="H221" s="115" t="s">
        <v>695</v>
      </c>
      <c r="I221" s="98" t="s">
        <v>78</v>
      </c>
      <c r="J221" s="115" t="str">
        <f t="shared" si="32"/>
        <v/>
      </c>
      <c r="K221" s="115">
        <v>1</v>
      </c>
      <c r="L221" s="121">
        <v>169000</v>
      </c>
      <c r="M221" s="78" t="s">
        <v>509</v>
      </c>
      <c r="N221" s="98" t="s">
        <v>691</v>
      </c>
      <c r="O221" s="98" t="s">
        <v>143</v>
      </c>
      <c r="P221" s="98">
        <v>100</v>
      </c>
      <c r="Q221" s="32" t="s">
        <v>62</v>
      </c>
      <c r="R221" s="98" t="s">
        <v>692</v>
      </c>
      <c r="S221" s="32" t="s">
        <v>693</v>
      </c>
      <c r="T221" s="98" t="s">
        <v>65</v>
      </c>
      <c r="U221" s="98"/>
      <c r="V221" s="98" t="s">
        <v>66</v>
      </c>
      <c r="W221" s="98"/>
      <c r="X221" s="78" t="s">
        <v>67</v>
      </c>
      <c r="Y221" s="98" t="s">
        <v>68</v>
      </c>
      <c r="Z221" s="32" t="s">
        <v>536</v>
      </c>
      <c r="AA221" s="32" t="s">
        <v>90</v>
      </c>
      <c r="AB221" s="78" t="s">
        <v>71</v>
      </c>
      <c r="AC221" s="98" t="s">
        <v>62</v>
      </c>
      <c r="AD221" s="98" t="s">
        <v>72</v>
      </c>
      <c r="AE221" s="65" t="s">
        <v>137</v>
      </c>
      <c r="AF221" s="39" t="s">
        <v>566</v>
      </c>
      <c r="AG221" s="98" t="s">
        <v>240</v>
      </c>
      <c r="AH221" s="115">
        <v>650</v>
      </c>
      <c r="AI221" s="117" t="s">
        <v>76</v>
      </c>
      <c r="AJ221" s="115" t="s">
        <v>94</v>
      </c>
      <c r="AK221" s="73">
        <v>2533</v>
      </c>
      <c r="AL221" s="116">
        <f t="shared" si="31"/>
        <v>428077000</v>
      </c>
      <c r="AM221" s="116">
        <v>37</v>
      </c>
      <c r="AN221" s="116">
        <v>4498652</v>
      </c>
      <c r="AO221" s="116">
        <v>360</v>
      </c>
      <c r="AP221" s="116">
        <v>55405862</v>
      </c>
      <c r="AQ221" s="116">
        <f t="shared" si="36"/>
        <v>942.59</v>
      </c>
      <c r="AR221" s="116">
        <f t="shared" si="37"/>
        <v>146553893.20000002</v>
      </c>
      <c r="AS221" s="118">
        <v>0.37212396367943151</v>
      </c>
    </row>
    <row r="222" spans="1:45" x14ac:dyDescent="0.3">
      <c r="A222" s="1" t="str">
        <f t="shared" si="30"/>
        <v>DMDJ51056IND</v>
      </c>
      <c r="B222" s="126" t="s">
        <v>696</v>
      </c>
      <c r="C222" s="98" t="str">
        <f t="shared" si="33"/>
        <v>DJ510</v>
      </c>
      <c r="D222" s="98" t="s">
        <v>55</v>
      </c>
      <c r="E222" s="98" t="str">
        <f t="shared" si="34"/>
        <v>M</v>
      </c>
      <c r="F222" s="98" t="str">
        <f t="shared" si="35"/>
        <v>DJ</v>
      </c>
      <c r="G222" s="98" t="s">
        <v>56</v>
      </c>
      <c r="H222" s="115" t="s">
        <v>697</v>
      </c>
      <c r="I222" s="98" t="s">
        <v>660</v>
      </c>
      <c r="J222" s="115">
        <f t="shared" si="32"/>
        <v>1</v>
      </c>
      <c r="K222" s="115">
        <v>1</v>
      </c>
      <c r="L222" s="121">
        <v>259000</v>
      </c>
      <c r="M222" s="78" t="s">
        <v>509</v>
      </c>
      <c r="N222" s="98" t="s">
        <v>691</v>
      </c>
      <c r="O222" s="98" t="s">
        <v>143</v>
      </c>
      <c r="P222" s="98">
        <v>100</v>
      </c>
      <c r="Q222" s="32" t="s">
        <v>62</v>
      </c>
      <c r="R222" s="98" t="s">
        <v>692</v>
      </c>
      <c r="S222" s="32" t="s">
        <v>693</v>
      </c>
      <c r="T222" s="98" t="s">
        <v>65</v>
      </c>
      <c r="U222" s="98"/>
      <c r="V222" s="98" t="s">
        <v>66</v>
      </c>
      <c r="W222" s="98"/>
      <c r="X222" s="78" t="s">
        <v>67</v>
      </c>
      <c r="Y222" s="98" t="s">
        <v>68</v>
      </c>
      <c r="Z222" s="32" t="s">
        <v>536</v>
      </c>
      <c r="AA222" s="32" t="s">
        <v>90</v>
      </c>
      <c r="AB222" s="78" t="s">
        <v>71</v>
      </c>
      <c r="AC222" s="98" t="s">
        <v>62</v>
      </c>
      <c r="AD222" s="98" t="s">
        <v>72</v>
      </c>
      <c r="AE222" s="65" t="s">
        <v>137</v>
      </c>
      <c r="AF222" s="39" t="s">
        <v>86</v>
      </c>
      <c r="AG222" s="98" t="s">
        <v>75</v>
      </c>
      <c r="AH222" s="115">
        <v>650</v>
      </c>
      <c r="AI222" s="117" t="s">
        <v>76</v>
      </c>
      <c r="AJ222" s="115" t="s">
        <v>241</v>
      </c>
      <c r="AK222" s="73">
        <v>594</v>
      </c>
      <c r="AL222" s="116">
        <f t="shared" si="31"/>
        <v>153846000</v>
      </c>
      <c r="AM222" s="116">
        <v>12</v>
      </c>
      <c r="AN222" s="116">
        <v>2175600</v>
      </c>
      <c r="AO222" s="116">
        <v>126</v>
      </c>
      <c r="AP222" s="116">
        <v>23817112</v>
      </c>
      <c r="AQ222" s="116">
        <f t="shared" si="36"/>
        <v>262.62</v>
      </c>
      <c r="AR222" s="116">
        <f t="shared" si="37"/>
        <v>62577093.600000001</v>
      </c>
      <c r="AS222" s="118">
        <v>0.44212121212121214</v>
      </c>
    </row>
    <row r="223" spans="1:45" x14ac:dyDescent="0.3">
      <c r="A223" s="1" t="str">
        <f t="shared" si="30"/>
        <v>DMDJ51056BKS</v>
      </c>
      <c r="B223" s="126" t="s">
        <v>696</v>
      </c>
      <c r="C223" s="98" t="str">
        <f t="shared" si="33"/>
        <v>DJ510</v>
      </c>
      <c r="D223" s="98" t="s">
        <v>55</v>
      </c>
      <c r="E223" s="98" t="str">
        <f t="shared" si="34"/>
        <v>M</v>
      </c>
      <c r="F223" s="98" t="str">
        <f t="shared" si="35"/>
        <v>DJ</v>
      </c>
      <c r="G223" s="98" t="s">
        <v>56</v>
      </c>
      <c r="H223" s="115" t="s">
        <v>697</v>
      </c>
      <c r="I223" s="98" t="s">
        <v>78</v>
      </c>
      <c r="J223" s="115" t="str">
        <f t="shared" si="32"/>
        <v/>
      </c>
      <c r="K223" s="115">
        <v>1</v>
      </c>
      <c r="L223" s="121">
        <v>259000</v>
      </c>
      <c r="M223" s="78" t="s">
        <v>509</v>
      </c>
      <c r="N223" s="98" t="s">
        <v>691</v>
      </c>
      <c r="O223" s="98" t="s">
        <v>143</v>
      </c>
      <c r="P223" s="98">
        <v>100</v>
      </c>
      <c r="Q223" s="32" t="s">
        <v>62</v>
      </c>
      <c r="R223" s="98" t="s">
        <v>692</v>
      </c>
      <c r="S223" s="32" t="s">
        <v>693</v>
      </c>
      <c r="T223" s="98" t="s">
        <v>65</v>
      </c>
      <c r="U223" s="98"/>
      <c r="V223" s="98" t="s">
        <v>66</v>
      </c>
      <c r="W223" s="98"/>
      <c r="X223" s="78" t="s">
        <v>67</v>
      </c>
      <c r="Y223" s="98" t="s">
        <v>68</v>
      </c>
      <c r="Z223" s="32" t="s">
        <v>536</v>
      </c>
      <c r="AA223" s="32" t="s">
        <v>90</v>
      </c>
      <c r="AB223" s="78" t="s">
        <v>71</v>
      </c>
      <c r="AC223" s="98" t="s">
        <v>62</v>
      </c>
      <c r="AD223" s="98" t="s">
        <v>72</v>
      </c>
      <c r="AE223" s="65" t="s">
        <v>137</v>
      </c>
      <c r="AF223" s="39" t="s">
        <v>86</v>
      </c>
      <c r="AG223" s="98" t="s">
        <v>75</v>
      </c>
      <c r="AH223" s="115">
        <v>650</v>
      </c>
      <c r="AI223" s="117" t="s">
        <v>76</v>
      </c>
      <c r="AJ223" s="115" t="s">
        <v>241</v>
      </c>
      <c r="AK223" s="73">
        <v>1474</v>
      </c>
      <c r="AL223" s="116">
        <f t="shared" si="31"/>
        <v>381766000</v>
      </c>
      <c r="AM223" s="116">
        <v>97</v>
      </c>
      <c r="AN223" s="116">
        <v>17571770</v>
      </c>
      <c r="AO223" s="116">
        <v>598</v>
      </c>
      <c r="AP223" s="116">
        <v>112121373</v>
      </c>
      <c r="AQ223" s="116">
        <f t="shared" si="36"/>
        <v>937.02</v>
      </c>
      <c r="AR223" s="116">
        <f t="shared" si="37"/>
        <v>223273125.60000002</v>
      </c>
      <c r="AS223" s="118">
        <v>0.63569877883310721</v>
      </c>
    </row>
    <row r="224" spans="1:45" x14ac:dyDescent="0.3">
      <c r="A224" s="1" t="str">
        <f t="shared" si="30"/>
        <v>DMDJ51056DKS</v>
      </c>
      <c r="B224" s="126" t="s">
        <v>696</v>
      </c>
      <c r="C224" s="98" t="str">
        <f t="shared" si="33"/>
        <v>DJ510</v>
      </c>
      <c r="D224" s="98" t="s">
        <v>55</v>
      </c>
      <c r="E224" s="98" t="str">
        <f t="shared" si="34"/>
        <v>M</v>
      </c>
      <c r="F224" s="98" t="str">
        <f t="shared" si="35"/>
        <v>DJ</v>
      </c>
      <c r="G224" s="98" t="s">
        <v>56</v>
      </c>
      <c r="H224" s="115" t="s">
        <v>697</v>
      </c>
      <c r="I224" s="98" t="s">
        <v>570</v>
      </c>
      <c r="J224" s="115" t="str">
        <f t="shared" si="32"/>
        <v/>
      </c>
      <c r="K224" s="115">
        <v>1</v>
      </c>
      <c r="L224" s="121">
        <v>259000</v>
      </c>
      <c r="M224" s="78" t="s">
        <v>509</v>
      </c>
      <c r="N224" s="98" t="s">
        <v>691</v>
      </c>
      <c r="O224" s="98" t="s">
        <v>143</v>
      </c>
      <c r="P224" s="98">
        <v>100</v>
      </c>
      <c r="Q224" s="32" t="s">
        <v>62</v>
      </c>
      <c r="R224" s="98" t="s">
        <v>692</v>
      </c>
      <c r="S224" s="32" t="s">
        <v>693</v>
      </c>
      <c r="T224" s="98" t="s">
        <v>65</v>
      </c>
      <c r="U224" s="98"/>
      <c r="V224" s="98" t="s">
        <v>66</v>
      </c>
      <c r="W224" s="98"/>
      <c r="X224" s="78" t="s">
        <v>67</v>
      </c>
      <c r="Y224" s="98" t="s">
        <v>68</v>
      </c>
      <c r="Z224" s="32" t="s">
        <v>536</v>
      </c>
      <c r="AA224" s="32" t="s">
        <v>90</v>
      </c>
      <c r="AB224" s="78" t="s">
        <v>71</v>
      </c>
      <c r="AC224" s="98" t="s">
        <v>62</v>
      </c>
      <c r="AD224" s="98" t="s">
        <v>72</v>
      </c>
      <c r="AE224" s="65" t="s">
        <v>137</v>
      </c>
      <c r="AF224" s="39" t="s">
        <v>86</v>
      </c>
      <c r="AG224" s="98" t="s">
        <v>75</v>
      </c>
      <c r="AH224" s="115">
        <v>650</v>
      </c>
      <c r="AI224" s="117" t="s">
        <v>76</v>
      </c>
      <c r="AJ224" s="115" t="s">
        <v>241</v>
      </c>
      <c r="AK224" s="73">
        <v>782</v>
      </c>
      <c r="AL224" s="116">
        <f t="shared" si="31"/>
        <v>202538000</v>
      </c>
      <c r="AM224" s="116">
        <v>24</v>
      </c>
      <c r="AN224" s="116">
        <v>4349200</v>
      </c>
      <c r="AO224" s="116">
        <v>167</v>
      </c>
      <c r="AP224" s="116">
        <v>31749088</v>
      </c>
      <c r="AQ224" s="116">
        <f t="shared" si="36"/>
        <v>346.86</v>
      </c>
      <c r="AR224" s="116">
        <f t="shared" si="37"/>
        <v>82649800.800000012</v>
      </c>
      <c r="AS224" s="118">
        <v>0.44355498721227626</v>
      </c>
    </row>
    <row r="225" spans="1:45" x14ac:dyDescent="0.3">
      <c r="A225" s="1" t="str">
        <f t="shared" si="30"/>
        <v>DXDJ5E056GRD</v>
      </c>
      <c r="B225" s="126" t="s">
        <v>698</v>
      </c>
      <c r="C225" s="98" t="str">
        <f t="shared" si="33"/>
        <v>DJ5E0</v>
      </c>
      <c r="D225" s="98" t="s">
        <v>55</v>
      </c>
      <c r="E225" s="98" t="str">
        <f t="shared" si="34"/>
        <v>X</v>
      </c>
      <c r="F225" s="98" t="str">
        <f t="shared" si="35"/>
        <v>DJ</v>
      </c>
      <c r="G225" s="98" t="s">
        <v>56</v>
      </c>
      <c r="H225" s="115" t="s">
        <v>699</v>
      </c>
      <c r="I225" s="98" t="s">
        <v>215</v>
      </c>
      <c r="J225" s="115">
        <f t="shared" si="32"/>
        <v>1</v>
      </c>
      <c r="K225" s="115">
        <v>1</v>
      </c>
      <c r="L225" s="121">
        <v>179000</v>
      </c>
      <c r="M225" s="78" t="s">
        <v>509</v>
      </c>
      <c r="N225" s="98" t="s">
        <v>691</v>
      </c>
      <c r="O225" s="98" t="s">
        <v>143</v>
      </c>
      <c r="P225" s="98">
        <v>100</v>
      </c>
      <c r="Q225" s="32" t="s">
        <v>700</v>
      </c>
      <c r="R225" s="98" t="s">
        <v>692</v>
      </c>
      <c r="S225" s="32" t="s">
        <v>693</v>
      </c>
      <c r="T225" s="98" t="s">
        <v>65</v>
      </c>
      <c r="U225" s="98"/>
      <c r="V225" s="98" t="s">
        <v>701</v>
      </c>
      <c r="W225" s="98"/>
      <c r="X225" s="78" t="s">
        <v>67</v>
      </c>
      <c r="Y225" s="98" t="s">
        <v>68</v>
      </c>
      <c r="Z225" s="32" t="s">
        <v>536</v>
      </c>
      <c r="AA225" s="32" t="s">
        <v>90</v>
      </c>
      <c r="AB225" s="78" t="s">
        <v>71</v>
      </c>
      <c r="AC225" s="122" t="s">
        <v>62</v>
      </c>
      <c r="AD225" s="122" t="s">
        <v>72</v>
      </c>
      <c r="AE225" s="65" t="s">
        <v>137</v>
      </c>
      <c r="AF225" s="39" t="s">
        <v>566</v>
      </c>
      <c r="AG225" s="98" t="s">
        <v>240</v>
      </c>
      <c r="AH225" s="115">
        <v>650</v>
      </c>
      <c r="AI225" s="117" t="s">
        <v>76</v>
      </c>
      <c r="AJ225" s="115" t="s">
        <v>241</v>
      </c>
      <c r="AK225" s="73">
        <v>1822</v>
      </c>
      <c r="AL225" s="116">
        <f t="shared" si="31"/>
        <v>326138000</v>
      </c>
      <c r="AM225" s="116">
        <v>23</v>
      </c>
      <c r="AN225" s="116">
        <v>3820228</v>
      </c>
      <c r="AO225" s="116">
        <v>436</v>
      </c>
      <c r="AP225" s="116">
        <v>72736982</v>
      </c>
      <c r="AQ225" s="116">
        <f t="shared" si="36"/>
        <v>855.06</v>
      </c>
      <c r="AR225" s="116">
        <f t="shared" si="37"/>
        <v>140811280.80000001</v>
      </c>
      <c r="AS225" s="118">
        <v>0.46929747530186605</v>
      </c>
    </row>
    <row r="226" spans="1:45" x14ac:dyDescent="0.3">
      <c r="A226" s="1" t="str">
        <f t="shared" si="30"/>
        <v>DXDJ5E056LKS</v>
      </c>
      <c r="B226" s="126" t="s">
        <v>698</v>
      </c>
      <c r="C226" s="98" t="str">
        <f t="shared" si="33"/>
        <v>DJ5E0</v>
      </c>
      <c r="D226" s="98" t="s">
        <v>55</v>
      </c>
      <c r="E226" s="98" t="str">
        <f t="shared" si="34"/>
        <v>X</v>
      </c>
      <c r="F226" s="98" t="str">
        <f t="shared" si="35"/>
        <v>DJ</v>
      </c>
      <c r="G226" s="98" t="s">
        <v>56</v>
      </c>
      <c r="H226" s="115" t="s">
        <v>699</v>
      </c>
      <c r="I226" s="98" t="s">
        <v>179</v>
      </c>
      <c r="J226" s="115" t="str">
        <f t="shared" si="32"/>
        <v/>
      </c>
      <c r="K226" s="115">
        <v>1</v>
      </c>
      <c r="L226" s="121">
        <v>179000</v>
      </c>
      <c r="M226" s="78" t="s">
        <v>509</v>
      </c>
      <c r="N226" s="98" t="s">
        <v>691</v>
      </c>
      <c r="O226" s="98" t="s">
        <v>143</v>
      </c>
      <c r="P226" s="98">
        <v>100</v>
      </c>
      <c r="Q226" s="32" t="s">
        <v>62</v>
      </c>
      <c r="R226" s="98" t="s">
        <v>692</v>
      </c>
      <c r="S226" s="32" t="s">
        <v>693</v>
      </c>
      <c r="T226" s="98" t="s">
        <v>182</v>
      </c>
      <c r="U226" s="98"/>
      <c r="V226" s="98" t="s">
        <v>66</v>
      </c>
      <c r="W226" s="98"/>
      <c r="X226" s="78" t="s">
        <v>67</v>
      </c>
      <c r="Y226" s="98" t="s">
        <v>68</v>
      </c>
      <c r="Z226" s="32" t="s">
        <v>536</v>
      </c>
      <c r="AA226" s="32" t="s">
        <v>90</v>
      </c>
      <c r="AB226" s="78" t="s">
        <v>71</v>
      </c>
      <c r="AC226" s="122" t="s">
        <v>62</v>
      </c>
      <c r="AD226" s="122" t="s">
        <v>72</v>
      </c>
      <c r="AE226" s="65" t="s">
        <v>137</v>
      </c>
      <c r="AF226" s="39" t="s">
        <v>566</v>
      </c>
      <c r="AG226" s="98" t="s">
        <v>240</v>
      </c>
      <c r="AH226" s="115">
        <v>650</v>
      </c>
      <c r="AI226" s="117" t="s">
        <v>76</v>
      </c>
      <c r="AJ226" s="115" t="s">
        <v>241</v>
      </c>
      <c r="AK226" s="73">
        <v>1205</v>
      </c>
      <c r="AL226" s="116">
        <f t="shared" si="31"/>
        <v>215695000</v>
      </c>
      <c r="AM226" s="116">
        <v>4</v>
      </c>
      <c r="AN226" s="116">
        <v>745092</v>
      </c>
      <c r="AO226" s="116">
        <v>369</v>
      </c>
      <c r="AP226" s="116">
        <v>61141107</v>
      </c>
      <c r="AQ226" s="116">
        <f t="shared" si="36"/>
        <v>646.15</v>
      </c>
      <c r="AR226" s="116">
        <f t="shared" si="37"/>
        <v>106407982</v>
      </c>
      <c r="AS226" s="118">
        <v>0.5362240663900415</v>
      </c>
    </row>
    <row r="227" spans="1:45" x14ac:dyDescent="0.3">
      <c r="A227" s="1" t="str">
        <f t="shared" si="30"/>
        <v>DXDJ5E056BKS</v>
      </c>
      <c r="B227" s="126" t="s">
        <v>698</v>
      </c>
      <c r="C227" s="98" t="str">
        <f t="shared" si="33"/>
        <v>DJ5E0</v>
      </c>
      <c r="D227" s="98" t="s">
        <v>55</v>
      </c>
      <c r="E227" s="98" t="str">
        <f t="shared" si="34"/>
        <v>X</v>
      </c>
      <c r="F227" s="98" t="str">
        <f t="shared" si="35"/>
        <v>DJ</v>
      </c>
      <c r="G227" s="98" t="s">
        <v>56</v>
      </c>
      <c r="H227" s="115" t="s">
        <v>699</v>
      </c>
      <c r="I227" s="98" t="s">
        <v>78</v>
      </c>
      <c r="J227" s="115" t="str">
        <f t="shared" si="32"/>
        <v/>
      </c>
      <c r="K227" s="115">
        <v>1</v>
      </c>
      <c r="L227" s="121">
        <v>179000</v>
      </c>
      <c r="M227" s="78" t="s">
        <v>509</v>
      </c>
      <c r="N227" s="98" t="s">
        <v>691</v>
      </c>
      <c r="O227" s="98" t="s">
        <v>143</v>
      </c>
      <c r="P227" s="98">
        <v>100</v>
      </c>
      <c r="Q227" s="32" t="s">
        <v>62</v>
      </c>
      <c r="R227" s="98" t="s">
        <v>692</v>
      </c>
      <c r="S227" s="32" t="s">
        <v>693</v>
      </c>
      <c r="T227" s="98" t="s">
        <v>182</v>
      </c>
      <c r="U227" s="98"/>
      <c r="V227" s="98" t="s">
        <v>66</v>
      </c>
      <c r="W227" s="98"/>
      <c r="X227" s="78" t="s">
        <v>67</v>
      </c>
      <c r="Y227" s="98" t="s">
        <v>68</v>
      </c>
      <c r="Z227" s="32" t="s">
        <v>536</v>
      </c>
      <c r="AA227" s="32" t="s">
        <v>90</v>
      </c>
      <c r="AB227" s="78" t="s">
        <v>71</v>
      </c>
      <c r="AC227" s="122" t="s">
        <v>62</v>
      </c>
      <c r="AD227" s="122" t="s">
        <v>72</v>
      </c>
      <c r="AE227" s="65" t="s">
        <v>137</v>
      </c>
      <c r="AF227" s="39" t="s">
        <v>566</v>
      </c>
      <c r="AG227" s="98" t="s">
        <v>240</v>
      </c>
      <c r="AH227" s="115">
        <v>650</v>
      </c>
      <c r="AI227" s="117" t="s">
        <v>76</v>
      </c>
      <c r="AJ227" s="115" t="s">
        <v>241</v>
      </c>
      <c r="AK227" s="73">
        <v>4557</v>
      </c>
      <c r="AL227" s="116">
        <f t="shared" si="31"/>
        <v>815703000</v>
      </c>
      <c r="AM227" s="116">
        <v>52</v>
      </c>
      <c r="AN227" s="116">
        <v>8906569</v>
      </c>
      <c r="AO227" s="116">
        <v>981</v>
      </c>
      <c r="AP227" s="116">
        <v>163114116</v>
      </c>
      <c r="AQ227" s="116">
        <f t="shared" si="36"/>
        <v>2029.1100000000001</v>
      </c>
      <c r="AR227" s="116">
        <f t="shared" si="37"/>
        <v>334153834.80000007</v>
      </c>
      <c r="AS227" s="118">
        <v>0.44527320605661624</v>
      </c>
    </row>
    <row r="228" spans="1:45" x14ac:dyDescent="0.3">
      <c r="A228" s="1" t="str">
        <f t="shared" si="30"/>
        <v>DMDJ55056OLD</v>
      </c>
      <c r="B228" s="126" t="s">
        <v>702</v>
      </c>
      <c r="C228" s="98" t="str">
        <f t="shared" si="33"/>
        <v>DJ550</v>
      </c>
      <c r="D228" s="98" t="s">
        <v>55</v>
      </c>
      <c r="E228" s="98" t="str">
        <f t="shared" si="34"/>
        <v>M</v>
      </c>
      <c r="F228" s="98" t="str">
        <f t="shared" si="35"/>
        <v>DJ</v>
      </c>
      <c r="G228" s="98" t="s">
        <v>56</v>
      </c>
      <c r="H228" s="115" t="s">
        <v>703</v>
      </c>
      <c r="I228" s="98" t="s">
        <v>209</v>
      </c>
      <c r="J228" s="115">
        <f t="shared" si="32"/>
        <v>1</v>
      </c>
      <c r="K228" s="115">
        <v>1</v>
      </c>
      <c r="L228" s="121">
        <v>299000</v>
      </c>
      <c r="M228" s="78" t="s">
        <v>408</v>
      </c>
      <c r="N228" s="98" t="s">
        <v>409</v>
      </c>
      <c r="O228" s="98" t="s">
        <v>143</v>
      </c>
      <c r="P228" s="98">
        <v>100</v>
      </c>
      <c r="Q228" s="32" t="s">
        <v>62</v>
      </c>
      <c r="R228" s="98" t="s">
        <v>410</v>
      </c>
      <c r="S228" s="32" t="s">
        <v>411</v>
      </c>
      <c r="T228" s="98" t="s">
        <v>65</v>
      </c>
      <c r="U228" s="98"/>
      <c r="V228" s="98" t="s">
        <v>520</v>
      </c>
      <c r="W228" s="98" t="s">
        <v>408</v>
      </c>
      <c r="X228" s="78" t="s">
        <v>67</v>
      </c>
      <c r="Y228" s="98" t="s">
        <v>340</v>
      </c>
      <c r="Z228" s="32" t="s">
        <v>125</v>
      </c>
      <c r="AA228" s="32" t="s">
        <v>70</v>
      </c>
      <c r="AB228" s="78" t="s">
        <v>71</v>
      </c>
      <c r="AC228" s="98" t="s">
        <v>62</v>
      </c>
      <c r="AD228" s="98" t="s">
        <v>72</v>
      </c>
      <c r="AE228" s="65" t="s">
        <v>137</v>
      </c>
      <c r="AF228" s="39" t="s">
        <v>704</v>
      </c>
      <c r="AG228" s="98" t="s">
        <v>127</v>
      </c>
      <c r="AH228" s="115">
        <v>650</v>
      </c>
      <c r="AI228" s="117" t="s">
        <v>264</v>
      </c>
      <c r="AJ228" s="112" t="s">
        <v>384</v>
      </c>
      <c r="AK228" s="73">
        <v>766</v>
      </c>
      <c r="AL228" s="116">
        <f t="shared" si="31"/>
        <v>229034000</v>
      </c>
      <c r="AM228" s="116">
        <v>6</v>
      </c>
      <c r="AN228" s="116">
        <v>1684680</v>
      </c>
      <c r="AO228" s="116">
        <v>25</v>
      </c>
      <c r="AP228" s="116">
        <v>7043525</v>
      </c>
      <c r="AQ228" s="116">
        <f t="shared" si="36"/>
        <v>293.09999999999997</v>
      </c>
      <c r="AR228" s="116">
        <f t="shared" si="37"/>
        <v>80625948</v>
      </c>
      <c r="AS228" s="118">
        <v>0.38263707571801564</v>
      </c>
    </row>
    <row r="229" spans="1:45" x14ac:dyDescent="0.3">
      <c r="A229" s="1" t="str">
        <f t="shared" si="30"/>
        <v>DMDJ55056BKS</v>
      </c>
      <c r="B229" s="126" t="s">
        <v>702</v>
      </c>
      <c r="C229" s="98" t="str">
        <f t="shared" si="33"/>
        <v>DJ550</v>
      </c>
      <c r="D229" s="98" t="s">
        <v>55</v>
      </c>
      <c r="E229" s="98" t="str">
        <f t="shared" si="34"/>
        <v>M</v>
      </c>
      <c r="F229" s="98" t="str">
        <f t="shared" si="35"/>
        <v>DJ</v>
      </c>
      <c r="G229" s="98" t="s">
        <v>56</v>
      </c>
      <c r="H229" s="115" t="s">
        <v>703</v>
      </c>
      <c r="I229" s="98" t="s">
        <v>78</v>
      </c>
      <c r="J229" s="115" t="str">
        <f t="shared" si="32"/>
        <v/>
      </c>
      <c r="K229" s="115">
        <v>1</v>
      </c>
      <c r="L229" s="121">
        <v>299000</v>
      </c>
      <c r="M229" s="78" t="s">
        <v>408</v>
      </c>
      <c r="N229" s="98" t="s">
        <v>409</v>
      </c>
      <c r="O229" s="98" t="s">
        <v>143</v>
      </c>
      <c r="P229" s="98">
        <v>100</v>
      </c>
      <c r="Q229" s="32" t="s">
        <v>62</v>
      </c>
      <c r="R229" s="98" t="s">
        <v>410</v>
      </c>
      <c r="S229" s="32" t="s">
        <v>411</v>
      </c>
      <c r="T229" s="98" t="s">
        <v>65</v>
      </c>
      <c r="U229" s="98"/>
      <c r="V229" s="98" t="s">
        <v>520</v>
      </c>
      <c r="W229" s="98" t="s">
        <v>408</v>
      </c>
      <c r="X229" s="78" t="s">
        <v>67</v>
      </c>
      <c r="Y229" s="98" t="s">
        <v>340</v>
      </c>
      <c r="Z229" s="32" t="s">
        <v>125</v>
      </c>
      <c r="AA229" s="32" t="s">
        <v>70</v>
      </c>
      <c r="AB229" s="78" t="s">
        <v>71</v>
      </c>
      <c r="AC229" s="98" t="s">
        <v>62</v>
      </c>
      <c r="AD229" s="98" t="s">
        <v>72</v>
      </c>
      <c r="AE229" s="65" t="s">
        <v>137</v>
      </c>
      <c r="AF229" s="39" t="s">
        <v>704</v>
      </c>
      <c r="AG229" s="98" t="s">
        <v>127</v>
      </c>
      <c r="AH229" s="115">
        <v>650</v>
      </c>
      <c r="AI229" s="117" t="s">
        <v>264</v>
      </c>
      <c r="AJ229" s="112" t="s">
        <v>384</v>
      </c>
      <c r="AK229" s="73">
        <v>1985</v>
      </c>
      <c r="AL229" s="116">
        <f t="shared" si="31"/>
        <v>593515000</v>
      </c>
      <c r="AM229" s="116">
        <v>53</v>
      </c>
      <c r="AN229" s="116">
        <v>15188416</v>
      </c>
      <c r="AO229" s="116">
        <v>175</v>
      </c>
      <c r="AP229" s="116">
        <v>50567581</v>
      </c>
      <c r="AQ229" s="116">
        <f t="shared" si="36"/>
        <v>869.74999999999989</v>
      </c>
      <c r="AR229" s="116">
        <f t="shared" si="37"/>
        <v>239250829.99999997</v>
      </c>
      <c r="AS229" s="118">
        <v>0.43816120906801004</v>
      </c>
    </row>
    <row r="230" spans="1:45" x14ac:dyDescent="0.3">
      <c r="A230" s="1" t="str">
        <f t="shared" si="30"/>
        <v>DWDJ56056BKS</v>
      </c>
      <c r="B230" s="126" t="s">
        <v>705</v>
      </c>
      <c r="C230" s="98" t="str">
        <f t="shared" si="33"/>
        <v>DJ560</v>
      </c>
      <c r="D230" s="98" t="s">
        <v>55</v>
      </c>
      <c r="E230" s="98" t="str">
        <f t="shared" si="34"/>
        <v>W</v>
      </c>
      <c r="F230" s="98" t="str">
        <f t="shared" si="35"/>
        <v>DJ</v>
      </c>
      <c r="G230" s="98" t="s">
        <v>56</v>
      </c>
      <c r="H230" s="115" t="s">
        <v>706</v>
      </c>
      <c r="I230" s="98" t="s">
        <v>78</v>
      </c>
      <c r="J230" s="115">
        <f t="shared" si="32"/>
        <v>1</v>
      </c>
      <c r="K230" s="115">
        <v>1</v>
      </c>
      <c r="L230" s="121">
        <v>299000</v>
      </c>
      <c r="M230" s="78" t="s">
        <v>408</v>
      </c>
      <c r="N230" s="98" t="s">
        <v>409</v>
      </c>
      <c r="O230" s="98" t="s">
        <v>143</v>
      </c>
      <c r="P230" s="98">
        <v>100</v>
      </c>
      <c r="Q230" s="32" t="s">
        <v>62</v>
      </c>
      <c r="R230" s="98" t="s">
        <v>410</v>
      </c>
      <c r="S230" s="32" t="s">
        <v>411</v>
      </c>
      <c r="T230" s="98" t="s">
        <v>65</v>
      </c>
      <c r="U230" s="98"/>
      <c r="V230" s="98" t="s">
        <v>520</v>
      </c>
      <c r="W230" s="98" t="s">
        <v>408</v>
      </c>
      <c r="X230" s="78" t="s">
        <v>67</v>
      </c>
      <c r="Y230" s="98" t="s">
        <v>340</v>
      </c>
      <c r="Z230" s="32" t="s">
        <v>125</v>
      </c>
      <c r="AA230" s="32" t="s">
        <v>70</v>
      </c>
      <c r="AB230" s="78" t="s">
        <v>71</v>
      </c>
      <c r="AC230" s="98" t="s">
        <v>62</v>
      </c>
      <c r="AD230" s="98" t="s">
        <v>72</v>
      </c>
      <c r="AE230" s="65" t="s">
        <v>137</v>
      </c>
      <c r="AF230" s="39" t="s">
        <v>417</v>
      </c>
      <c r="AG230" s="98" t="s">
        <v>127</v>
      </c>
      <c r="AH230" s="115">
        <v>650</v>
      </c>
      <c r="AI230" s="117" t="s">
        <v>128</v>
      </c>
      <c r="AJ230" s="115" t="s">
        <v>77</v>
      </c>
      <c r="AK230" s="73">
        <v>1961</v>
      </c>
      <c r="AL230" s="116">
        <f t="shared" si="31"/>
        <v>586339000</v>
      </c>
      <c r="AM230" s="116">
        <v>30</v>
      </c>
      <c r="AN230" s="116">
        <v>8431191</v>
      </c>
      <c r="AO230" s="116">
        <v>179</v>
      </c>
      <c r="AP230" s="116">
        <v>51388415</v>
      </c>
      <c r="AQ230" s="116">
        <f t="shared" si="36"/>
        <v>767.3</v>
      </c>
      <c r="AR230" s="116">
        <f t="shared" si="37"/>
        <v>211068884</v>
      </c>
      <c r="AS230" s="118">
        <v>0.39127995920448749</v>
      </c>
    </row>
    <row r="231" spans="1:45" x14ac:dyDescent="0.3">
      <c r="A231" s="1" t="str">
        <f t="shared" si="30"/>
        <v>DWDJ56056BDD</v>
      </c>
      <c r="B231" s="126" t="s">
        <v>705</v>
      </c>
      <c r="C231" s="98" t="str">
        <f t="shared" si="33"/>
        <v>DJ560</v>
      </c>
      <c r="D231" s="98" t="s">
        <v>55</v>
      </c>
      <c r="E231" s="98" t="str">
        <f t="shared" si="34"/>
        <v>W</v>
      </c>
      <c r="F231" s="98" t="str">
        <f t="shared" si="35"/>
        <v>DJ</v>
      </c>
      <c r="G231" s="98" t="s">
        <v>56</v>
      </c>
      <c r="H231" s="115" t="s">
        <v>706</v>
      </c>
      <c r="I231" s="98" t="s">
        <v>646</v>
      </c>
      <c r="J231" s="115" t="str">
        <f t="shared" si="32"/>
        <v/>
      </c>
      <c r="K231" s="115">
        <v>1</v>
      </c>
      <c r="L231" s="121">
        <v>299000</v>
      </c>
      <c r="M231" s="78" t="s">
        <v>408</v>
      </c>
      <c r="N231" s="98" t="s">
        <v>409</v>
      </c>
      <c r="O231" s="98" t="s">
        <v>143</v>
      </c>
      <c r="P231" s="98">
        <v>100</v>
      </c>
      <c r="Q231" s="32" t="s">
        <v>62</v>
      </c>
      <c r="R231" s="98" t="s">
        <v>410</v>
      </c>
      <c r="S231" s="32" t="s">
        <v>411</v>
      </c>
      <c r="T231" s="98" t="s">
        <v>65</v>
      </c>
      <c r="U231" s="98"/>
      <c r="V231" s="98" t="s">
        <v>520</v>
      </c>
      <c r="W231" s="98" t="s">
        <v>408</v>
      </c>
      <c r="X231" s="78" t="s">
        <v>67</v>
      </c>
      <c r="Y231" s="98" t="s">
        <v>340</v>
      </c>
      <c r="Z231" s="32" t="s">
        <v>125</v>
      </c>
      <c r="AA231" s="32" t="s">
        <v>70</v>
      </c>
      <c r="AB231" s="78" t="s">
        <v>71</v>
      </c>
      <c r="AC231" s="98" t="s">
        <v>62</v>
      </c>
      <c r="AD231" s="98" t="s">
        <v>72</v>
      </c>
      <c r="AE231" s="65" t="s">
        <v>137</v>
      </c>
      <c r="AF231" s="39" t="s">
        <v>417</v>
      </c>
      <c r="AG231" s="98" t="s">
        <v>127</v>
      </c>
      <c r="AH231" s="115">
        <v>650</v>
      </c>
      <c r="AI231" s="117" t="s">
        <v>128</v>
      </c>
      <c r="AJ231" s="115" t="s">
        <v>77</v>
      </c>
      <c r="AK231" s="73">
        <v>588</v>
      </c>
      <c r="AL231" s="116">
        <f t="shared" si="31"/>
        <v>175812000</v>
      </c>
      <c r="AM231" s="116">
        <v>17</v>
      </c>
      <c r="AN231" s="116">
        <v>4722622</v>
      </c>
      <c r="AO231" s="116">
        <v>104</v>
      </c>
      <c r="AP231" s="116">
        <v>29767192</v>
      </c>
      <c r="AQ231" s="116">
        <f t="shared" si="36"/>
        <v>280.40000000000003</v>
      </c>
      <c r="AR231" s="116">
        <f t="shared" si="37"/>
        <v>77132432</v>
      </c>
      <c r="AS231" s="118">
        <v>0.47687074829931975</v>
      </c>
    </row>
    <row r="232" spans="1:45" x14ac:dyDescent="0.3">
      <c r="A232" s="1" t="str">
        <f t="shared" si="30"/>
        <v>DWDJ56056CRS</v>
      </c>
      <c r="B232" s="126" t="s">
        <v>705</v>
      </c>
      <c r="C232" s="98" t="str">
        <f t="shared" si="33"/>
        <v>DJ560</v>
      </c>
      <c r="D232" s="98" t="s">
        <v>55</v>
      </c>
      <c r="E232" s="98" t="str">
        <f t="shared" si="34"/>
        <v>W</v>
      </c>
      <c r="F232" s="98" t="str">
        <f t="shared" si="35"/>
        <v>DJ</v>
      </c>
      <c r="G232" s="98" t="s">
        <v>56</v>
      </c>
      <c r="H232" s="115" t="s">
        <v>706</v>
      </c>
      <c r="I232" s="98" t="s">
        <v>79</v>
      </c>
      <c r="J232" s="115" t="str">
        <f t="shared" si="32"/>
        <v/>
      </c>
      <c r="K232" s="115">
        <v>1</v>
      </c>
      <c r="L232" s="121">
        <v>299000</v>
      </c>
      <c r="M232" s="78" t="s">
        <v>408</v>
      </c>
      <c r="N232" s="98" t="s">
        <v>409</v>
      </c>
      <c r="O232" s="98" t="s">
        <v>143</v>
      </c>
      <c r="P232" s="98">
        <v>100</v>
      </c>
      <c r="Q232" s="32" t="s">
        <v>62</v>
      </c>
      <c r="R232" s="98" t="s">
        <v>410</v>
      </c>
      <c r="S232" s="32" t="s">
        <v>411</v>
      </c>
      <c r="T232" s="98" t="s">
        <v>65</v>
      </c>
      <c r="U232" s="98"/>
      <c r="V232" s="98" t="s">
        <v>520</v>
      </c>
      <c r="W232" s="98" t="s">
        <v>408</v>
      </c>
      <c r="X232" s="78" t="s">
        <v>67</v>
      </c>
      <c r="Y232" s="98" t="s">
        <v>340</v>
      </c>
      <c r="Z232" s="32" t="s">
        <v>125</v>
      </c>
      <c r="AA232" s="32" t="s">
        <v>70</v>
      </c>
      <c r="AB232" s="78" t="s">
        <v>71</v>
      </c>
      <c r="AC232" s="98" t="s">
        <v>62</v>
      </c>
      <c r="AD232" s="98" t="s">
        <v>72</v>
      </c>
      <c r="AE232" s="65" t="s">
        <v>137</v>
      </c>
      <c r="AF232" s="39" t="s">
        <v>417</v>
      </c>
      <c r="AG232" s="98" t="s">
        <v>127</v>
      </c>
      <c r="AH232" s="115">
        <v>650</v>
      </c>
      <c r="AI232" s="117" t="s">
        <v>128</v>
      </c>
      <c r="AJ232" s="115" t="s">
        <v>77</v>
      </c>
      <c r="AK232" s="73">
        <v>876</v>
      </c>
      <c r="AL232" s="116">
        <f t="shared" si="31"/>
        <v>261924000</v>
      </c>
      <c r="AM232" s="116">
        <v>18</v>
      </c>
      <c r="AN232" s="116">
        <v>5006311</v>
      </c>
      <c r="AO232" s="116">
        <v>97</v>
      </c>
      <c r="AP232" s="116">
        <v>27701225</v>
      </c>
      <c r="AQ232" s="116">
        <f t="shared" si="36"/>
        <v>359.79999999999995</v>
      </c>
      <c r="AR232" s="116">
        <f t="shared" si="37"/>
        <v>98973783.999999985</v>
      </c>
      <c r="AS232" s="118">
        <v>0.4107305936073059</v>
      </c>
    </row>
    <row r="233" spans="1:45" s="100" customFormat="1" x14ac:dyDescent="0.3">
      <c r="A233" s="99" t="str">
        <f t="shared" si="30"/>
        <v>DMDJ5K056PPD</v>
      </c>
      <c r="B233" s="126" t="s">
        <v>707</v>
      </c>
      <c r="C233" s="98" t="str">
        <f t="shared" si="33"/>
        <v>DJ5K0</v>
      </c>
      <c r="D233" s="98" t="s">
        <v>55</v>
      </c>
      <c r="E233" s="98" t="str">
        <f t="shared" si="34"/>
        <v>M</v>
      </c>
      <c r="F233" s="98" t="str">
        <f t="shared" si="35"/>
        <v>DJ</v>
      </c>
      <c r="G233" s="98" t="s">
        <v>56</v>
      </c>
      <c r="H233" s="115" t="s">
        <v>708</v>
      </c>
      <c r="I233" s="98" t="s">
        <v>522</v>
      </c>
      <c r="J233" s="115">
        <f t="shared" si="32"/>
        <v>1</v>
      </c>
      <c r="K233" s="115">
        <v>1</v>
      </c>
      <c r="L233" s="121">
        <v>319000</v>
      </c>
      <c r="M233" s="78" t="s">
        <v>408</v>
      </c>
      <c r="N233" s="98" t="s">
        <v>409</v>
      </c>
      <c r="O233" s="98" t="s">
        <v>143</v>
      </c>
      <c r="P233" s="98">
        <v>100</v>
      </c>
      <c r="Q233" s="32" t="s">
        <v>62</v>
      </c>
      <c r="R233" s="98" t="s">
        <v>410</v>
      </c>
      <c r="S233" s="32" t="s">
        <v>411</v>
      </c>
      <c r="T233" s="98" t="s">
        <v>65</v>
      </c>
      <c r="U233" s="98"/>
      <c r="V233" s="98" t="s">
        <v>520</v>
      </c>
      <c r="W233" s="98" t="s">
        <v>408</v>
      </c>
      <c r="X233" s="78" t="s">
        <v>67</v>
      </c>
      <c r="Y233" s="98" t="s">
        <v>340</v>
      </c>
      <c r="Z233" s="32" t="s">
        <v>125</v>
      </c>
      <c r="AA233" s="32" t="s">
        <v>70</v>
      </c>
      <c r="AB233" s="78" t="s">
        <v>71</v>
      </c>
      <c r="AC233" s="98" t="s">
        <v>62</v>
      </c>
      <c r="AD233" s="98" t="s">
        <v>72</v>
      </c>
      <c r="AE233" s="65" t="s">
        <v>137</v>
      </c>
      <c r="AF233" s="39" t="s">
        <v>405</v>
      </c>
      <c r="AG233" s="98" t="s">
        <v>127</v>
      </c>
      <c r="AH233" s="115">
        <v>650</v>
      </c>
      <c r="AI233" s="117" t="s">
        <v>264</v>
      </c>
      <c r="AJ233" s="112" t="s">
        <v>384</v>
      </c>
      <c r="AK233" s="73">
        <v>1190</v>
      </c>
      <c r="AL233" s="116">
        <f t="shared" si="31"/>
        <v>379610000</v>
      </c>
      <c r="AM233" s="116">
        <v>4</v>
      </c>
      <c r="AN233" s="116">
        <v>1185030</v>
      </c>
      <c r="AO233" s="116">
        <v>27</v>
      </c>
      <c r="AP233" s="116">
        <v>8315770</v>
      </c>
      <c r="AQ233" s="116">
        <f t="shared" si="36"/>
        <v>443.49999999999994</v>
      </c>
      <c r="AR233" s="116">
        <f t="shared" si="37"/>
        <v>130158379.99999999</v>
      </c>
      <c r="AS233" s="118">
        <v>0.37268907563025205</v>
      </c>
    </row>
    <row r="234" spans="1:45" s="100" customFormat="1" x14ac:dyDescent="0.3">
      <c r="A234" s="99" t="str">
        <f t="shared" si="30"/>
        <v>DMDJ5K056BKL</v>
      </c>
      <c r="B234" s="126" t="s">
        <v>707</v>
      </c>
      <c r="C234" s="98" t="str">
        <f t="shared" si="33"/>
        <v>DJ5K0</v>
      </c>
      <c r="D234" s="98" t="s">
        <v>55</v>
      </c>
      <c r="E234" s="98" t="str">
        <f t="shared" si="34"/>
        <v>M</v>
      </c>
      <c r="F234" s="98" t="str">
        <f t="shared" si="35"/>
        <v>DJ</v>
      </c>
      <c r="G234" s="98" t="s">
        <v>56</v>
      </c>
      <c r="H234" s="115" t="s">
        <v>708</v>
      </c>
      <c r="I234" s="98" t="s">
        <v>633</v>
      </c>
      <c r="J234" s="115" t="str">
        <f t="shared" si="32"/>
        <v/>
      </c>
      <c r="K234" s="115">
        <v>1</v>
      </c>
      <c r="L234" s="121">
        <v>319000</v>
      </c>
      <c r="M234" s="78" t="s">
        <v>509</v>
      </c>
      <c r="N234" s="98" t="s">
        <v>691</v>
      </c>
      <c r="O234" s="98" t="s">
        <v>143</v>
      </c>
      <c r="P234" s="98">
        <v>100</v>
      </c>
      <c r="Q234" s="32" t="s">
        <v>62</v>
      </c>
      <c r="R234" s="98" t="s">
        <v>692</v>
      </c>
      <c r="S234" s="32" t="s">
        <v>693</v>
      </c>
      <c r="T234" s="98" t="s">
        <v>65</v>
      </c>
      <c r="U234" s="98"/>
      <c r="V234" s="98" t="s">
        <v>66</v>
      </c>
      <c r="W234" s="98"/>
      <c r="X234" s="78" t="s">
        <v>67</v>
      </c>
      <c r="Y234" s="98" t="s">
        <v>68</v>
      </c>
      <c r="Z234" s="32" t="s">
        <v>536</v>
      </c>
      <c r="AA234" s="32" t="s">
        <v>90</v>
      </c>
      <c r="AB234" s="78" t="s">
        <v>71</v>
      </c>
      <c r="AC234" s="98" t="s">
        <v>62</v>
      </c>
      <c r="AD234" s="98" t="s">
        <v>72</v>
      </c>
      <c r="AE234" s="65" t="s">
        <v>137</v>
      </c>
      <c r="AF234" s="39" t="s">
        <v>405</v>
      </c>
      <c r="AG234" s="98" t="s">
        <v>127</v>
      </c>
      <c r="AH234" s="115">
        <v>650</v>
      </c>
      <c r="AI234" s="117" t="s">
        <v>264</v>
      </c>
      <c r="AJ234" s="112" t="s">
        <v>384</v>
      </c>
      <c r="AK234" s="73">
        <v>1715</v>
      </c>
      <c r="AL234" s="116">
        <f t="shared" si="31"/>
        <v>547085000</v>
      </c>
      <c r="AM234" s="116">
        <v>118</v>
      </c>
      <c r="AN234" s="116">
        <v>34870937</v>
      </c>
      <c r="AO234" s="116">
        <v>514</v>
      </c>
      <c r="AP234" s="116">
        <v>144276689</v>
      </c>
      <c r="AQ234" s="116">
        <f t="shared" si="36"/>
        <v>1114.25</v>
      </c>
      <c r="AR234" s="116">
        <f t="shared" si="37"/>
        <v>327010090</v>
      </c>
      <c r="AS234" s="118">
        <v>0.64970845481049566</v>
      </c>
    </row>
    <row r="235" spans="1:45" s="100" customFormat="1" x14ac:dyDescent="0.3">
      <c r="A235" s="99" t="str">
        <f t="shared" si="30"/>
        <v>DMDJ5K056BKS</v>
      </c>
      <c r="B235" s="126" t="s">
        <v>707</v>
      </c>
      <c r="C235" s="98" t="str">
        <f t="shared" si="33"/>
        <v>DJ5K0</v>
      </c>
      <c r="D235" s="98" t="s">
        <v>55</v>
      </c>
      <c r="E235" s="98" t="str">
        <f t="shared" si="34"/>
        <v>M</v>
      </c>
      <c r="F235" s="98" t="str">
        <f t="shared" si="35"/>
        <v>DJ</v>
      </c>
      <c r="G235" s="98" t="s">
        <v>56</v>
      </c>
      <c r="H235" s="115" t="s">
        <v>708</v>
      </c>
      <c r="I235" s="98" t="s">
        <v>78</v>
      </c>
      <c r="J235" s="115" t="str">
        <f t="shared" si="32"/>
        <v/>
      </c>
      <c r="K235" s="115">
        <v>1</v>
      </c>
      <c r="L235" s="121">
        <v>319000</v>
      </c>
      <c r="M235" s="78" t="s">
        <v>408</v>
      </c>
      <c r="N235" s="98" t="s">
        <v>409</v>
      </c>
      <c r="O235" s="98" t="s">
        <v>143</v>
      </c>
      <c r="P235" s="98">
        <v>100</v>
      </c>
      <c r="Q235" s="32" t="s">
        <v>62</v>
      </c>
      <c r="R235" s="98" t="s">
        <v>410</v>
      </c>
      <c r="S235" s="32" t="s">
        <v>411</v>
      </c>
      <c r="T235" s="98" t="s">
        <v>65</v>
      </c>
      <c r="U235" s="98"/>
      <c r="V235" s="98" t="s">
        <v>520</v>
      </c>
      <c r="W235" s="98" t="s">
        <v>408</v>
      </c>
      <c r="X235" s="78" t="s">
        <v>67</v>
      </c>
      <c r="Y235" s="98" t="s">
        <v>340</v>
      </c>
      <c r="Z235" s="32" t="s">
        <v>125</v>
      </c>
      <c r="AA235" s="32" t="s">
        <v>70</v>
      </c>
      <c r="AB235" s="78" t="s">
        <v>71</v>
      </c>
      <c r="AC235" s="98" t="s">
        <v>62</v>
      </c>
      <c r="AD235" s="98" t="s">
        <v>72</v>
      </c>
      <c r="AE235" s="65" t="s">
        <v>137</v>
      </c>
      <c r="AF235" s="39" t="s">
        <v>405</v>
      </c>
      <c r="AG235" s="98" t="s">
        <v>127</v>
      </c>
      <c r="AH235" s="115">
        <v>650</v>
      </c>
      <c r="AI235" s="117" t="s">
        <v>264</v>
      </c>
      <c r="AJ235" s="112" t="s">
        <v>384</v>
      </c>
      <c r="AK235" s="73">
        <v>1492</v>
      </c>
      <c r="AL235" s="116">
        <f t="shared" si="31"/>
        <v>475948000</v>
      </c>
      <c r="AM235" s="116">
        <v>113</v>
      </c>
      <c r="AN235" s="116">
        <v>33300677</v>
      </c>
      <c r="AO235" s="116">
        <v>362</v>
      </c>
      <c r="AP235" s="116">
        <v>107613549</v>
      </c>
      <c r="AQ235" s="116">
        <f t="shared" si="36"/>
        <v>884.19999999999993</v>
      </c>
      <c r="AR235" s="116">
        <f t="shared" si="37"/>
        <v>259495015.99999997</v>
      </c>
      <c r="AS235" s="118">
        <v>0.59262734584450394</v>
      </c>
    </row>
    <row r="236" spans="1:45" s="100" customFormat="1" x14ac:dyDescent="0.3">
      <c r="A236" s="99" t="str">
        <f t="shared" si="30"/>
        <v>DMDJ5K056OLD</v>
      </c>
      <c r="B236" s="126" t="s">
        <v>707</v>
      </c>
      <c r="C236" s="98" t="str">
        <f t="shared" si="33"/>
        <v>DJ5K0</v>
      </c>
      <c r="D236" s="98" t="s">
        <v>55</v>
      </c>
      <c r="E236" s="98" t="str">
        <f t="shared" si="34"/>
        <v>M</v>
      </c>
      <c r="F236" s="98" t="str">
        <f t="shared" si="35"/>
        <v>DJ</v>
      </c>
      <c r="G236" s="98" t="s">
        <v>56</v>
      </c>
      <c r="H236" s="115" t="s">
        <v>708</v>
      </c>
      <c r="I236" s="98" t="s">
        <v>209</v>
      </c>
      <c r="J236" s="115" t="str">
        <f t="shared" si="32"/>
        <v/>
      </c>
      <c r="K236" s="115">
        <v>1</v>
      </c>
      <c r="L236" s="121">
        <v>319000</v>
      </c>
      <c r="M236" s="78" t="s">
        <v>408</v>
      </c>
      <c r="N236" s="98" t="s">
        <v>409</v>
      </c>
      <c r="O236" s="98" t="s">
        <v>143</v>
      </c>
      <c r="P236" s="98">
        <v>100</v>
      </c>
      <c r="Q236" s="32" t="s">
        <v>62</v>
      </c>
      <c r="R236" s="98" t="s">
        <v>410</v>
      </c>
      <c r="S236" s="32" t="s">
        <v>411</v>
      </c>
      <c r="T236" s="98" t="s">
        <v>65</v>
      </c>
      <c r="U236" s="98"/>
      <c r="V236" s="98" t="s">
        <v>520</v>
      </c>
      <c r="W236" s="98" t="s">
        <v>408</v>
      </c>
      <c r="X236" s="78" t="s">
        <v>67</v>
      </c>
      <c r="Y236" s="98" t="s">
        <v>340</v>
      </c>
      <c r="Z236" s="32" t="s">
        <v>125</v>
      </c>
      <c r="AA236" s="32" t="s">
        <v>70</v>
      </c>
      <c r="AB236" s="78" t="s">
        <v>71</v>
      </c>
      <c r="AC236" s="98" t="s">
        <v>62</v>
      </c>
      <c r="AD236" s="98" t="s">
        <v>72</v>
      </c>
      <c r="AE236" s="65" t="s">
        <v>137</v>
      </c>
      <c r="AF236" s="39" t="s">
        <v>405</v>
      </c>
      <c r="AG236" s="98" t="s">
        <v>127</v>
      </c>
      <c r="AH236" s="115">
        <v>650</v>
      </c>
      <c r="AI236" s="117" t="s">
        <v>264</v>
      </c>
      <c r="AJ236" s="112" t="s">
        <v>384</v>
      </c>
      <c r="AK236" s="73">
        <v>612</v>
      </c>
      <c r="AL236" s="116">
        <f t="shared" si="31"/>
        <v>195228000</v>
      </c>
      <c r="AM236" s="116">
        <v>19</v>
      </c>
      <c r="AN236" s="116">
        <v>5597224</v>
      </c>
      <c r="AO236" s="116">
        <v>64</v>
      </c>
      <c r="AP236" s="116">
        <v>19372343</v>
      </c>
      <c r="AQ236" s="116">
        <f t="shared" si="36"/>
        <v>278.2</v>
      </c>
      <c r="AR236" s="116">
        <f t="shared" si="37"/>
        <v>81646136</v>
      </c>
      <c r="AS236" s="118">
        <v>0.45457516339869281</v>
      </c>
    </row>
    <row r="237" spans="1:45" s="100" customFormat="1" x14ac:dyDescent="0.3">
      <c r="A237" s="99" t="str">
        <f t="shared" si="30"/>
        <v>DWDJ5L056BDD</v>
      </c>
      <c r="B237" s="126" t="s">
        <v>709</v>
      </c>
      <c r="C237" s="98" t="str">
        <f t="shared" si="33"/>
        <v>DJ5L0</v>
      </c>
      <c r="D237" s="98" t="s">
        <v>55</v>
      </c>
      <c r="E237" s="98" t="str">
        <f t="shared" si="34"/>
        <v>W</v>
      </c>
      <c r="F237" s="98" t="str">
        <f t="shared" si="35"/>
        <v>DJ</v>
      </c>
      <c r="G237" s="98" t="s">
        <v>56</v>
      </c>
      <c r="H237" s="115" t="s">
        <v>710</v>
      </c>
      <c r="I237" s="98" t="s">
        <v>646</v>
      </c>
      <c r="J237" s="115">
        <f t="shared" si="32"/>
        <v>1</v>
      </c>
      <c r="K237" s="115">
        <v>1</v>
      </c>
      <c r="L237" s="121">
        <v>319000</v>
      </c>
      <c r="M237" s="78" t="s">
        <v>408</v>
      </c>
      <c r="N237" s="98" t="s">
        <v>409</v>
      </c>
      <c r="O237" s="98" t="s">
        <v>143</v>
      </c>
      <c r="P237" s="98">
        <v>100</v>
      </c>
      <c r="Q237" s="32" t="s">
        <v>62</v>
      </c>
      <c r="R237" s="98" t="s">
        <v>410</v>
      </c>
      <c r="S237" s="32" t="s">
        <v>411</v>
      </c>
      <c r="T237" s="98" t="s">
        <v>65</v>
      </c>
      <c r="U237" s="98"/>
      <c r="V237" s="98" t="s">
        <v>520</v>
      </c>
      <c r="W237" s="98" t="s">
        <v>408</v>
      </c>
      <c r="X237" s="78" t="s">
        <v>67</v>
      </c>
      <c r="Y237" s="98" t="s">
        <v>340</v>
      </c>
      <c r="Z237" s="32" t="s">
        <v>125</v>
      </c>
      <c r="AA237" s="32" t="s">
        <v>70</v>
      </c>
      <c r="AB237" s="78" t="s">
        <v>71</v>
      </c>
      <c r="AC237" s="98" t="s">
        <v>62</v>
      </c>
      <c r="AD237" s="98" t="s">
        <v>72</v>
      </c>
      <c r="AE237" s="65" t="s">
        <v>137</v>
      </c>
      <c r="AF237" s="39" t="s">
        <v>230</v>
      </c>
      <c r="AG237" s="98" t="s">
        <v>127</v>
      </c>
      <c r="AH237" s="115">
        <v>650</v>
      </c>
      <c r="AI237" s="117" t="s">
        <v>128</v>
      </c>
      <c r="AJ237" s="115" t="s">
        <v>77</v>
      </c>
      <c r="AK237" s="73">
        <v>534</v>
      </c>
      <c r="AL237" s="116">
        <f t="shared" si="31"/>
        <v>170346000</v>
      </c>
      <c r="AM237" s="116">
        <v>21</v>
      </c>
      <c r="AN237" s="116">
        <v>6049563</v>
      </c>
      <c r="AO237" s="116">
        <v>119</v>
      </c>
      <c r="AP237" s="116">
        <v>35176982</v>
      </c>
      <c r="AQ237" s="116">
        <f t="shared" si="36"/>
        <v>279.20000000000005</v>
      </c>
      <c r="AR237" s="116">
        <f t="shared" si="37"/>
        <v>81939616</v>
      </c>
      <c r="AS237" s="118">
        <v>0.52284644194756558</v>
      </c>
    </row>
    <row r="238" spans="1:45" s="100" customFormat="1" x14ac:dyDescent="0.3">
      <c r="A238" s="99" t="str">
        <f t="shared" si="30"/>
        <v>DWDJ5L056BKS</v>
      </c>
      <c r="B238" s="126" t="s">
        <v>709</v>
      </c>
      <c r="C238" s="98" t="str">
        <f t="shared" si="33"/>
        <v>DJ5L0</v>
      </c>
      <c r="D238" s="98" t="s">
        <v>55</v>
      </c>
      <c r="E238" s="98" t="str">
        <f t="shared" si="34"/>
        <v>W</v>
      </c>
      <c r="F238" s="98" t="str">
        <f t="shared" si="35"/>
        <v>DJ</v>
      </c>
      <c r="G238" s="98" t="s">
        <v>56</v>
      </c>
      <c r="H238" s="115" t="s">
        <v>710</v>
      </c>
      <c r="I238" s="98" t="s">
        <v>78</v>
      </c>
      <c r="J238" s="115" t="str">
        <f t="shared" si="32"/>
        <v/>
      </c>
      <c r="K238" s="115">
        <v>1</v>
      </c>
      <c r="L238" s="121">
        <v>319000</v>
      </c>
      <c r="M238" s="78" t="s">
        <v>408</v>
      </c>
      <c r="N238" s="98" t="s">
        <v>409</v>
      </c>
      <c r="O238" s="98" t="s">
        <v>143</v>
      </c>
      <c r="P238" s="98">
        <v>100</v>
      </c>
      <c r="Q238" s="32" t="s">
        <v>62</v>
      </c>
      <c r="R238" s="98" t="s">
        <v>410</v>
      </c>
      <c r="S238" s="32" t="s">
        <v>411</v>
      </c>
      <c r="T238" s="98" t="s">
        <v>65</v>
      </c>
      <c r="U238" s="98"/>
      <c r="V238" s="98" t="s">
        <v>520</v>
      </c>
      <c r="W238" s="98" t="s">
        <v>408</v>
      </c>
      <c r="X238" s="78" t="s">
        <v>67</v>
      </c>
      <c r="Y238" s="98" t="s">
        <v>340</v>
      </c>
      <c r="Z238" s="32" t="s">
        <v>125</v>
      </c>
      <c r="AA238" s="32" t="s">
        <v>70</v>
      </c>
      <c r="AB238" s="78" t="s">
        <v>71</v>
      </c>
      <c r="AC238" s="98" t="s">
        <v>62</v>
      </c>
      <c r="AD238" s="98" t="s">
        <v>72</v>
      </c>
      <c r="AE238" s="65" t="s">
        <v>137</v>
      </c>
      <c r="AF238" s="39" t="s">
        <v>230</v>
      </c>
      <c r="AG238" s="98" t="s">
        <v>127</v>
      </c>
      <c r="AH238" s="115">
        <v>650</v>
      </c>
      <c r="AI238" s="117" t="s">
        <v>128</v>
      </c>
      <c r="AJ238" s="115" t="s">
        <v>77</v>
      </c>
      <c r="AK238" s="73">
        <v>1699</v>
      </c>
      <c r="AL238" s="116">
        <f t="shared" si="31"/>
        <v>541981000</v>
      </c>
      <c r="AM238" s="116">
        <v>39</v>
      </c>
      <c r="AN238" s="116">
        <v>11387151</v>
      </c>
      <c r="AO238" s="116">
        <v>148</v>
      </c>
      <c r="AP238" s="116">
        <v>44420926</v>
      </c>
      <c r="AQ238" s="116">
        <f t="shared" si="36"/>
        <v>657.69999999999993</v>
      </c>
      <c r="AR238" s="116">
        <f t="shared" si="37"/>
        <v>193021796</v>
      </c>
      <c r="AS238" s="118">
        <v>0.38711006474396703</v>
      </c>
    </row>
    <row r="239" spans="1:45" s="100" customFormat="1" x14ac:dyDescent="0.3">
      <c r="A239" s="99" t="str">
        <f t="shared" si="30"/>
        <v>DWDJ5L056BGL</v>
      </c>
      <c r="B239" s="126" t="s">
        <v>709</v>
      </c>
      <c r="C239" s="98" t="str">
        <f t="shared" si="33"/>
        <v>DJ5L0</v>
      </c>
      <c r="D239" s="98" t="s">
        <v>55</v>
      </c>
      <c r="E239" s="98" t="str">
        <f t="shared" si="34"/>
        <v>W</v>
      </c>
      <c r="F239" s="98" t="str">
        <f t="shared" si="35"/>
        <v>DJ</v>
      </c>
      <c r="G239" s="98" t="s">
        <v>56</v>
      </c>
      <c r="H239" s="115" t="s">
        <v>710</v>
      </c>
      <c r="I239" s="98" t="s">
        <v>163</v>
      </c>
      <c r="J239" s="115" t="str">
        <f t="shared" si="32"/>
        <v/>
      </c>
      <c r="K239" s="115">
        <v>1</v>
      </c>
      <c r="L239" s="121">
        <v>319000</v>
      </c>
      <c r="M239" s="78" t="s">
        <v>408</v>
      </c>
      <c r="N239" s="98" t="s">
        <v>409</v>
      </c>
      <c r="O239" s="98" t="s">
        <v>143</v>
      </c>
      <c r="P239" s="98">
        <v>100</v>
      </c>
      <c r="Q239" s="32" t="s">
        <v>62</v>
      </c>
      <c r="R239" s="98" t="s">
        <v>410</v>
      </c>
      <c r="S239" s="32" t="s">
        <v>411</v>
      </c>
      <c r="T239" s="98" t="s">
        <v>65</v>
      </c>
      <c r="U239" s="98"/>
      <c r="V239" s="98" t="s">
        <v>520</v>
      </c>
      <c r="W239" s="98" t="s">
        <v>408</v>
      </c>
      <c r="X239" s="78" t="s">
        <v>67</v>
      </c>
      <c r="Y239" s="98" t="s">
        <v>340</v>
      </c>
      <c r="Z239" s="32" t="s">
        <v>125</v>
      </c>
      <c r="AA239" s="32" t="s">
        <v>70</v>
      </c>
      <c r="AB239" s="78" t="s">
        <v>71</v>
      </c>
      <c r="AC239" s="98" t="s">
        <v>62</v>
      </c>
      <c r="AD239" s="98" t="s">
        <v>72</v>
      </c>
      <c r="AE239" s="65" t="s">
        <v>137</v>
      </c>
      <c r="AF239" s="39" t="s">
        <v>230</v>
      </c>
      <c r="AG239" s="98" t="s">
        <v>127</v>
      </c>
      <c r="AH239" s="115">
        <v>650</v>
      </c>
      <c r="AI239" s="117" t="s">
        <v>128</v>
      </c>
      <c r="AJ239" s="115" t="s">
        <v>77</v>
      </c>
      <c r="AK239" s="73">
        <v>583</v>
      </c>
      <c r="AL239" s="116">
        <f t="shared" si="31"/>
        <v>185977000</v>
      </c>
      <c r="AM239" s="116">
        <v>7</v>
      </c>
      <c r="AN239" s="116">
        <v>1972995</v>
      </c>
      <c r="AO239" s="116">
        <v>44</v>
      </c>
      <c r="AP239" s="116">
        <v>13445359</v>
      </c>
      <c r="AQ239" s="116">
        <f t="shared" si="36"/>
        <v>218.89999999999998</v>
      </c>
      <c r="AR239" s="116">
        <f t="shared" si="37"/>
        <v>64242772</v>
      </c>
      <c r="AS239" s="118">
        <v>0.37547169811320752</v>
      </c>
    </row>
    <row r="240" spans="1:45" s="100" customFormat="1" x14ac:dyDescent="0.3">
      <c r="A240" s="99" t="str">
        <f t="shared" si="30"/>
        <v>DWDJ5L056BKL</v>
      </c>
      <c r="B240" s="126" t="s">
        <v>709</v>
      </c>
      <c r="C240" s="98" t="str">
        <f t="shared" si="33"/>
        <v>DJ5L0</v>
      </c>
      <c r="D240" s="98" t="s">
        <v>55</v>
      </c>
      <c r="E240" s="98" t="str">
        <f t="shared" si="34"/>
        <v>W</v>
      </c>
      <c r="F240" s="98" t="str">
        <f t="shared" si="35"/>
        <v>DJ</v>
      </c>
      <c r="G240" s="98" t="s">
        <v>56</v>
      </c>
      <c r="H240" s="115" t="s">
        <v>710</v>
      </c>
      <c r="I240" s="98" t="s">
        <v>633</v>
      </c>
      <c r="J240" s="115" t="str">
        <f t="shared" si="32"/>
        <v/>
      </c>
      <c r="K240" s="115">
        <v>1</v>
      </c>
      <c r="L240" s="121">
        <v>319000</v>
      </c>
      <c r="M240" s="78" t="s">
        <v>509</v>
      </c>
      <c r="N240" s="98" t="s">
        <v>691</v>
      </c>
      <c r="O240" s="98" t="s">
        <v>143</v>
      </c>
      <c r="P240" s="98">
        <v>100</v>
      </c>
      <c r="Q240" s="32" t="s">
        <v>62</v>
      </c>
      <c r="R240" s="98" t="s">
        <v>692</v>
      </c>
      <c r="S240" s="32" t="s">
        <v>693</v>
      </c>
      <c r="T240" s="98" t="s">
        <v>65</v>
      </c>
      <c r="U240" s="98"/>
      <c r="V240" s="98" t="s">
        <v>66</v>
      </c>
      <c r="W240" s="98"/>
      <c r="X240" s="78" t="s">
        <v>67</v>
      </c>
      <c r="Y240" s="98" t="s">
        <v>68</v>
      </c>
      <c r="Z240" s="32" t="s">
        <v>536</v>
      </c>
      <c r="AA240" s="32" t="s">
        <v>90</v>
      </c>
      <c r="AB240" s="78" t="s">
        <v>71</v>
      </c>
      <c r="AC240" s="98" t="s">
        <v>62</v>
      </c>
      <c r="AD240" s="98" t="s">
        <v>72</v>
      </c>
      <c r="AE240" s="65" t="s">
        <v>137</v>
      </c>
      <c r="AF240" s="39" t="s">
        <v>230</v>
      </c>
      <c r="AG240" s="98" t="s">
        <v>127</v>
      </c>
      <c r="AH240" s="115">
        <v>650</v>
      </c>
      <c r="AI240" s="117" t="s">
        <v>128</v>
      </c>
      <c r="AJ240" s="115" t="s">
        <v>77</v>
      </c>
      <c r="AK240" s="73">
        <v>794</v>
      </c>
      <c r="AL240" s="116">
        <f t="shared" si="31"/>
        <v>253286000</v>
      </c>
      <c r="AM240" s="116">
        <v>27</v>
      </c>
      <c r="AN240" s="116">
        <v>8043757</v>
      </c>
      <c r="AO240" s="116">
        <v>111</v>
      </c>
      <c r="AP240" s="116">
        <v>33596462</v>
      </c>
      <c r="AQ240" s="116">
        <f t="shared" si="36"/>
        <v>349.2</v>
      </c>
      <c r="AR240" s="116">
        <f t="shared" si="37"/>
        <v>102483216</v>
      </c>
      <c r="AS240" s="118">
        <v>0.43979848866498739</v>
      </c>
    </row>
    <row r="241" spans="1:45" x14ac:dyDescent="0.3">
      <c r="A241" s="1" t="str">
        <f t="shared" si="30"/>
        <v>DMDJ59056BRD</v>
      </c>
      <c r="B241" s="126" t="s">
        <v>711</v>
      </c>
      <c r="C241" s="98" t="str">
        <f t="shared" si="33"/>
        <v>DJ590</v>
      </c>
      <c r="D241" s="98" t="s">
        <v>55</v>
      </c>
      <c r="E241" s="98" t="str">
        <f t="shared" si="34"/>
        <v>M</v>
      </c>
      <c r="F241" s="98" t="str">
        <f t="shared" si="35"/>
        <v>DJ</v>
      </c>
      <c r="G241" s="98" t="s">
        <v>56</v>
      </c>
      <c r="H241" s="115" t="s">
        <v>712</v>
      </c>
      <c r="I241" s="98" t="s">
        <v>159</v>
      </c>
      <c r="J241" s="115">
        <f t="shared" si="32"/>
        <v>1</v>
      </c>
      <c r="K241" s="115">
        <v>1</v>
      </c>
      <c r="L241" s="121">
        <v>349000</v>
      </c>
      <c r="M241" s="78" t="s">
        <v>225</v>
      </c>
      <c r="N241" s="98" t="s">
        <v>517</v>
      </c>
      <c r="O241" s="98" t="s">
        <v>143</v>
      </c>
      <c r="P241" s="98">
        <v>100</v>
      </c>
      <c r="Q241" s="32" t="s">
        <v>144</v>
      </c>
      <c r="R241" s="98" t="s">
        <v>518</v>
      </c>
      <c r="S241" s="32" t="s">
        <v>519</v>
      </c>
      <c r="T241" s="98" t="s">
        <v>122</v>
      </c>
      <c r="U241" s="98" t="s">
        <v>332</v>
      </c>
      <c r="V241" s="98" t="s">
        <v>66</v>
      </c>
      <c r="W241" s="98"/>
      <c r="X241" s="78" t="s">
        <v>67</v>
      </c>
      <c r="Y241" s="98" t="s">
        <v>68</v>
      </c>
      <c r="Z241" s="32" t="s">
        <v>441</v>
      </c>
      <c r="AA241" s="32" t="s">
        <v>353</v>
      </c>
      <c r="AB241" s="78" t="s">
        <v>71</v>
      </c>
      <c r="AC241" s="98" t="s">
        <v>62</v>
      </c>
      <c r="AD241" s="98" t="s">
        <v>72</v>
      </c>
      <c r="AE241" s="65" t="s">
        <v>137</v>
      </c>
      <c r="AF241" s="39" t="s">
        <v>405</v>
      </c>
      <c r="AG241" s="98" t="s">
        <v>127</v>
      </c>
      <c r="AH241" s="115">
        <v>650</v>
      </c>
      <c r="AI241" s="117" t="s">
        <v>99</v>
      </c>
      <c r="AJ241" s="115" t="s">
        <v>100</v>
      </c>
      <c r="AK241" s="73">
        <v>783</v>
      </c>
      <c r="AL241" s="116">
        <f t="shared" si="31"/>
        <v>273267000</v>
      </c>
      <c r="AM241" s="116">
        <v>21</v>
      </c>
      <c r="AN241" s="116">
        <v>6757975</v>
      </c>
      <c r="AO241" s="116">
        <v>71</v>
      </c>
      <c r="AP241" s="116">
        <v>23356843</v>
      </c>
      <c r="AQ241" s="116">
        <f t="shared" si="36"/>
        <v>345.05</v>
      </c>
      <c r="AR241" s="116">
        <f t="shared" si="37"/>
        <v>110788654</v>
      </c>
      <c r="AS241" s="118">
        <v>0.44067688378033204</v>
      </c>
    </row>
    <row r="242" spans="1:45" x14ac:dyDescent="0.3">
      <c r="A242" s="1" t="str">
        <f t="shared" si="30"/>
        <v>DMDJ59056BKS</v>
      </c>
      <c r="B242" s="126" t="s">
        <v>711</v>
      </c>
      <c r="C242" s="98" t="str">
        <f t="shared" si="33"/>
        <v>DJ590</v>
      </c>
      <c r="D242" s="98" t="s">
        <v>55</v>
      </c>
      <c r="E242" s="98" t="str">
        <f t="shared" si="34"/>
        <v>M</v>
      </c>
      <c r="F242" s="98" t="str">
        <f t="shared" si="35"/>
        <v>DJ</v>
      </c>
      <c r="G242" s="98" t="s">
        <v>56</v>
      </c>
      <c r="H242" s="115" t="s">
        <v>712</v>
      </c>
      <c r="I242" s="98" t="s">
        <v>78</v>
      </c>
      <c r="J242" s="115" t="str">
        <f t="shared" si="32"/>
        <v/>
      </c>
      <c r="K242" s="115">
        <v>1</v>
      </c>
      <c r="L242" s="121">
        <v>349000</v>
      </c>
      <c r="M242" s="78" t="s">
        <v>225</v>
      </c>
      <c r="N242" s="98" t="s">
        <v>517</v>
      </c>
      <c r="O242" s="98" t="s">
        <v>143</v>
      </c>
      <c r="P242" s="98">
        <v>100</v>
      </c>
      <c r="Q242" s="32" t="s">
        <v>144</v>
      </c>
      <c r="R242" s="98" t="s">
        <v>518</v>
      </c>
      <c r="S242" s="32" t="s">
        <v>519</v>
      </c>
      <c r="T242" s="98" t="s">
        <v>122</v>
      </c>
      <c r="U242" s="98" t="s">
        <v>332</v>
      </c>
      <c r="V242" s="98" t="s">
        <v>66</v>
      </c>
      <c r="W242" s="98"/>
      <c r="X242" s="78" t="s">
        <v>67</v>
      </c>
      <c r="Y242" s="98" t="s">
        <v>68</v>
      </c>
      <c r="Z242" s="32" t="s">
        <v>441</v>
      </c>
      <c r="AA242" s="32" t="s">
        <v>353</v>
      </c>
      <c r="AB242" s="78" t="s">
        <v>71</v>
      </c>
      <c r="AC242" s="98" t="s">
        <v>62</v>
      </c>
      <c r="AD242" s="98" t="s">
        <v>72</v>
      </c>
      <c r="AE242" s="65" t="s">
        <v>137</v>
      </c>
      <c r="AF242" s="39" t="s">
        <v>405</v>
      </c>
      <c r="AG242" s="98" t="s">
        <v>127</v>
      </c>
      <c r="AH242" s="115">
        <v>650</v>
      </c>
      <c r="AI242" s="117" t="s">
        <v>99</v>
      </c>
      <c r="AJ242" s="115" t="s">
        <v>100</v>
      </c>
      <c r="AK242" s="73">
        <v>1489</v>
      </c>
      <c r="AL242" s="116">
        <f t="shared" si="31"/>
        <v>519661000</v>
      </c>
      <c r="AM242" s="116">
        <v>29</v>
      </c>
      <c r="AN242" s="116">
        <v>9564596</v>
      </c>
      <c r="AO242" s="116">
        <v>107</v>
      </c>
      <c r="AP242" s="116">
        <v>35760400</v>
      </c>
      <c r="AQ242" s="116">
        <f t="shared" si="36"/>
        <v>628.15</v>
      </c>
      <c r="AR242" s="116">
        <f t="shared" si="37"/>
        <v>201686401.99999997</v>
      </c>
      <c r="AS242" s="118">
        <v>0.42186030893216919</v>
      </c>
    </row>
    <row r="243" spans="1:45" x14ac:dyDescent="0.3">
      <c r="A243" s="1" t="str">
        <f t="shared" si="30"/>
        <v>DMDJ5C056BKS</v>
      </c>
      <c r="B243" s="126" t="s">
        <v>713</v>
      </c>
      <c r="C243" s="98" t="str">
        <f t="shared" si="33"/>
        <v>DJ5C0</v>
      </c>
      <c r="D243" s="98" t="s">
        <v>55</v>
      </c>
      <c r="E243" s="98" t="str">
        <f t="shared" si="34"/>
        <v>M</v>
      </c>
      <c r="F243" s="98" t="str">
        <f t="shared" si="35"/>
        <v>DJ</v>
      </c>
      <c r="G243" s="98" t="s">
        <v>56</v>
      </c>
      <c r="H243" s="115" t="s">
        <v>714</v>
      </c>
      <c r="I243" s="98" t="s">
        <v>78</v>
      </c>
      <c r="J243" s="115">
        <f t="shared" si="32"/>
        <v>1</v>
      </c>
      <c r="K243" s="115">
        <v>1</v>
      </c>
      <c r="L243" s="121">
        <v>399000</v>
      </c>
      <c r="M243" s="78" t="s">
        <v>225</v>
      </c>
      <c r="N243" s="98" t="s">
        <v>517</v>
      </c>
      <c r="O243" s="98" t="s">
        <v>143</v>
      </c>
      <c r="P243" s="98">
        <v>100</v>
      </c>
      <c r="Q243" s="32" t="s">
        <v>144</v>
      </c>
      <c r="R243" s="98" t="s">
        <v>518</v>
      </c>
      <c r="S243" s="32" t="s">
        <v>519</v>
      </c>
      <c r="T243" s="98" t="s">
        <v>122</v>
      </c>
      <c r="U243" s="98" t="s">
        <v>332</v>
      </c>
      <c r="V243" s="98" t="s">
        <v>66</v>
      </c>
      <c r="W243" s="98"/>
      <c r="X243" s="78" t="s">
        <v>67</v>
      </c>
      <c r="Y243" s="98" t="s">
        <v>68</v>
      </c>
      <c r="Z243" s="32" t="s">
        <v>441</v>
      </c>
      <c r="AA243" s="32" t="s">
        <v>353</v>
      </c>
      <c r="AB243" s="78" t="s">
        <v>71</v>
      </c>
      <c r="AC243" s="98" t="s">
        <v>62</v>
      </c>
      <c r="AD243" s="98" t="s">
        <v>72</v>
      </c>
      <c r="AE243" s="65" t="s">
        <v>137</v>
      </c>
      <c r="AF243" s="39" t="s">
        <v>373</v>
      </c>
      <c r="AG243" s="98" t="s">
        <v>127</v>
      </c>
      <c r="AH243" s="115">
        <v>650</v>
      </c>
      <c r="AI243" s="117" t="s">
        <v>107</v>
      </c>
      <c r="AJ243" s="115" t="s">
        <v>108</v>
      </c>
      <c r="AK243" s="73">
        <v>1489</v>
      </c>
      <c r="AL243" s="116">
        <f t="shared" si="31"/>
        <v>594111000</v>
      </c>
      <c r="AM243" s="116">
        <v>48</v>
      </c>
      <c r="AN243" s="116">
        <v>18015400</v>
      </c>
      <c r="AO243" s="116">
        <v>134</v>
      </c>
      <c r="AP243" s="116">
        <v>51257010</v>
      </c>
      <c r="AQ243" s="116">
        <f t="shared" si="36"/>
        <v>580.70000000000005</v>
      </c>
      <c r="AR243" s="116">
        <f t="shared" si="37"/>
        <v>213163356</v>
      </c>
      <c r="AS243" s="118">
        <v>0.38999328408327738</v>
      </c>
    </row>
    <row r="244" spans="1:45" x14ac:dyDescent="0.3">
      <c r="A244" s="1" t="str">
        <f t="shared" si="30"/>
        <v>DMDJ5C056DGS</v>
      </c>
      <c r="B244" s="126" t="s">
        <v>713</v>
      </c>
      <c r="C244" s="98" t="str">
        <f t="shared" si="33"/>
        <v>DJ5C0</v>
      </c>
      <c r="D244" s="98" t="s">
        <v>55</v>
      </c>
      <c r="E244" s="98" t="str">
        <f t="shared" si="34"/>
        <v>M</v>
      </c>
      <c r="F244" s="98" t="str">
        <f t="shared" si="35"/>
        <v>DJ</v>
      </c>
      <c r="G244" s="98" t="s">
        <v>56</v>
      </c>
      <c r="H244" s="115" t="s">
        <v>714</v>
      </c>
      <c r="I244" s="98" t="s">
        <v>435</v>
      </c>
      <c r="J244" s="115" t="str">
        <f t="shared" si="32"/>
        <v/>
      </c>
      <c r="K244" s="115">
        <v>1</v>
      </c>
      <c r="L244" s="121">
        <v>399000</v>
      </c>
      <c r="M244" s="78" t="s">
        <v>225</v>
      </c>
      <c r="N244" s="98" t="s">
        <v>517</v>
      </c>
      <c r="O244" s="98" t="s">
        <v>143</v>
      </c>
      <c r="P244" s="98">
        <v>100</v>
      </c>
      <c r="Q244" s="32" t="s">
        <v>144</v>
      </c>
      <c r="R244" s="98" t="s">
        <v>518</v>
      </c>
      <c r="S244" s="32" t="s">
        <v>519</v>
      </c>
      <c r="T244" s="98" t="s">
        <v>122</v>
      </c>
      <c r="U244" s="98" t="s">
        <v>332</v>
      </c>
      <c r="V244" s="98" t="s">
        <v>66</v>
      </c>
      <c r="W244" s="98"/>
      <c r="X244" s="78" t="s">
        <v>67</v>
      </c>
      <c r="Y244" s="98" t="s">
        <v>68</v>
      </c>
      <c r="Z244" s="32" t="s">
        <v>441</v>
      </c>
      <c r="AA244" s="32" t="s">
        <v>353</v>
      </c>
      <c r="AB244" s="78" t="s">
        <v>71</v>
      </c>
      <c r="AC244" s="98" t="s">
        <v>62</v>
      </c>
      <c r="AD244" s="98" t="s">
        <v>72</v>
      </c>
      <c r="AE244" s="65" t="s">
        <v>137</v>
      </c>
      <c r="AF244" s="39" t="s">
        <v>373</v>
      </c>
      <c r="AG244" s="98" t="s">
        <v>127</v>
      </c>
      <c r="AH244" s="115">
        <v>650</v>
      </c>
      <c r="AI244" s="117" t="s">
        <v>107</v>
      </c>
      <c r="AJ244" s="115" t="s">
        <v>108</v>
      </c>
      <c r="AK244" s="73">
        <v>790</v>
      </c>
      <c r="AL244" s="116">
        <f t="shared" si="31"/>
        <v>315210000</v>
      </c>
      <c r="AM244" s="116">
        <v>21</v>
      </c>
      <c r="AN244" s="116">
        <v>7777540</v>
      </c>
      <c r="AO244" s="116">
        <v>48</v>
      </c>
      <c r="AP244" s="116">
        <v>17857165</v>
      </c>
      <c r="AQ244" s="116">
        <f t="shared" si="36"/>
        <v>285</v>
      </c>
      <c r="AR244" s="116">
        <f t="shared" si="37"/>
        <v>104617800</v>
      </c>
      <c r="AS244" s="118">
        <v>0.36075949367088606</v>
      </c>
    </row>
    <row r="245" spans="1:45" x14ac:dyDescent="0.3">
      <c r="A245" s="1" t="str">
        <f t="shared" si="30"/>
        <v>DMDJ5O056CAD</v>
      </c>
      <c r="B245" s="126" t="s">
        <v>715</v>
      </c>
      <c r="C245" s="98" t="str">
        <f t="shared" si="33"/>
        <v>DJ5O0</v>
      </c>
      <c r="D245" s="98" t="s">
        <v>55</v>
      </c>
      <c r="E245" s="98" t="str">
        <f t="shared" si="34"/>
        <v>M</v>
      </c>
      <c r="F245" s="98" t="str">
        <f t="shared" si="35"/>
        <v>DJ</v>
      </c>
      <c r="G245" s="98" t="s">
        <v>56</v>
      </c>
      <c r="H245" s="115" t="s">
        <v>716</v>
      </c>
      <c r="I245" s="98" t="s">
        <v>432</v>
      </c>
      <c r="J245" s="115">
        <f t="shared" si="32"/>
        <v>1</v>
      </c>
      <c r="K245" s="115">
        <v>1</v>
      </c>
      <c r="L245" s="121">
        <v>399000</v>
      </c>
      <c r="M245" s="78" t="s">
        <v>509</v>
      </c>
      <c r="N245" s="98" t="s">
        <v>691</v>
      </c>
      <c r="O245" s="98" t="s">
        <v>143</v>
      </c>
      <c r="P245" s="98">
        <v>100</v>
      </c>
      <c r="Q245" s="32" t="s">
        <v>62</v>
      </c>
      <c r="R245" s="98" t="s">
        <v>692</v>
      </c>
      <c r="S245" s="32" t="s">
        <v>693</v>
      </c>
      <c r="T245" s="98" t="s">
        <v>65</v>
      </c>
      <c r="U245" s="98"/>
      <c r="V245" s="98" t="s">
        <v>66</v>
      </c>
      <c r="W245" s="98"/>
      <c r="X245" s="78" t="s">
        <v>67</v>
      </c>
      <c r="Y245" s="98" t="s">
        <v>68</v>
      </c>
      <c r="Z245" s="32" t="s">
        <v>536</v>
      </c>
      <c r="AA245" s="32" t="s">
        <v>90</v>
      </c>
      <c r="AB245" s="78" t="s">
        <v>71</v>
      </c>
      <c r="AC245" s="98" t="s">
        <v>62</v>
      </c>
      <c r="AD245" s="98" t="s">
        <v>72</v>
      </c>
      <c r="AE245" s="65" t="s">
        <v>137</v>
      </c>
      <c r="AF245" s="39" t="s">
        <v>717</v>
      </c>
      <c r="AG245" s="98" t="s">
        <v>127</v>
      </c>
      <c r="AH245" s="115">
        <v>650</v>
      </c>
      <c r="AI245" s="117" t="s">
        <v>107</v>
      </c>
      <c r="AJ245" s="115" t="s">
        <v>108</v>
      </c>
      <c r="AK245" s="73">
        <v>800</v>
      </c>
      <c r="AL245" s="116">
        <f t="shared" si="31"/>
        <v>319200000</v>
      </c>
      <c r="AM245" s="116">
        <v>3</v>
      </c>
      <c r="AN245" s="116">
        <v>1137000</v>
      </c>
      <c r="AO245" s="116">
        <v>11</v>
      </c>
      <c r="AP245" s="116">
        <v>4289000</v>
      </c>
      <c r="AQ245" s="116">
        <f t="shared" si="36"/>
        <v>250.99999999999997</v>
      </c>
      <c r="AR245" s="116">
        <f t="shared" si="37"/>
        <v>92137079.999999985</v>
      </c>
      <c r="AS245" s="118">
        <v>0.31374999999999997</v>
      </c>
    </row>
    <row r="246" spans="1:45" x14ac:dyDescent="0.3">
      <c r="A246" s="1" t="str">
        <f t="shared" si="30"/>
        <v>DMDJ5O056BKS</v>
      </c>
      <c r="B246" s="126" t="s">
        <v>715</v>
      </c>
      <c r="C246" s="98" t="str">
        <f t="shared" si="33"/>
        <v>DJ5O0</v>
      </c>
      <c r="D246" s="98" t="s">
        <v>55</v>
      </c>
      <c r="E246" s="98" t="str">
        <f t="shared" si="34"/>
        <v>M</v>
      </c>
      <c r="F246" s="98" t="str">
        <f t="shared" si="35"/>
        <v>DJ</v>
      </c>
      <c r="G246" s="98" t="s">
        <v>56</v>
      </c>
      <c r="H246" s="115" t="s">
        <v>716</v>
      </c>
      <c r="I246" s="98" t="s">
        <v>78</v>
      </c>
      <c r="J246" s="115" t="str">
        <f t="shared" si="32"/>
        <v/>
      </c>
      <c r="K246" s="115">
        <v>1</v>
      </c>
      <c r="L246" s="121">
        <v>399000</v>
      </c>
      <c r="M246" s="78" t="s">
        <v>509</v>
      </c>
      <c r="N246" s="98" t="s">
        <v>691</v>
      </c>
      <c r="O246" s="98" t="s">
        <v>143</v>
      </c>
      <c r="P246" s="98">
        <v>100</v>
      </c>
      <c r="Q246" s="32" t="s">
        <v>62</v>
      </c>
      <c r="R246" s="98" t="s">
        <v>692</v>
      </c>
      <c r="S246" s="32" t="s">
        <v>693</v>
      </c>
      <c r="T246" s="98" t="s">
        <v>65</v>
      </c>
      <c r="U246" s="98"/>
      <c r="V246" s="98" t="s">
        <v>66</v>
      </c>
      <c r="W246" s="98"/>
      <c r="X246" s="78" t="s">
        <v>67</v>
      </c>
      <c r="Y246" s="98" t="s">
        <v>68</v>
      </c>
      <c r="Z246" s="32" t="s">
        <v>536</v>
      </c>
      <c r="AA246" s="32" t="s">
        <v>90</v>
      </c>
      <c r="AB246" s="78" t="s">
        <v>71</v>
      </c>
      <c r="AC246" s="98" t="s">
        <v>62</v>
      </c>
      <c r="AD246" s="98" t="s">
        <v>72</v>
      </c>
      <c r="AE246" s="65" t="s">
        <v>137</v>
      </c>
      <c r="AF246" s="39" t="s">
        <v>717</v>
      </c>
      <c r="AG246" s="98" t="s">
        <v>127</v>
      </c>
      <c r="AH246" s="115">
        <v>650</v>
      </c>
      <c r="AI246" s="117" t="s">
        <v>107</v>
      </c>
      <c r="AJ246" s="115" t="s">
        <v>108</v>
      </c>
      <c r="AK246" s="73">
        <v>1498</v>
      </c>
      <c r="AL246" s="116">
        <f t="shared" si="31"/>
        <v>597702000</v>
      </c>
      <c r="AM246" s="116">
        <v>20</v>
      </c>
      <c r="AN246" s="116">
        <v>7508365</v>
      </c>
      <c r="AO246" s="116">
        <v>46</v>
      </c>
      <c r="AP246" s="116">
        <v>17532704</v>
      </c>
      <c r="AQ246" s="116">
        <f t="shared" si="36"/>
        <v>495.4</v>
      </c>
      <c r="AR246" s="116">
        <f t="shared" si="37"/>
        <v>181851431.99999997</v>
      </c>
      <c r="AS246" s="118">
        <v>0.33070761014686245</v>
      </c>
    </row>
    <row r="247" spans="1:45" x14ac:dyDescent="0.3">
      <c r="A247" s="1" t="str">
        <f t="shared" si="30"/>
        <v>DMDV71056BES</v>
      </c>
      <c r="B247" s="126" t="s">
        <v>718</v>
      </c>
      <c r="C247" s="98" t="str">
        <f t="shared" si="33"/>
        <v>DV710</v>
      </c>
      <c r="D247" s="98" t="s">
        <v>55</v>
      </c>
      <c r="E247" s="98" t="str">
        <f t="shared" si="34"/>
        <v>M</v>
      </c>
      <c r="F247" s="98" t="str">
        <f t="shared" si="35"/>
        <v>DV</v>
      </c>
      <c r="G247" s="98" t="s">
        <v>56</v>
      </c>
      <c r="H247" s="115" t="s">
        <v>719</v>
      </c>
      <c r="I247" s="98" t="s">
        <v>385</v>
      </c>
      <c r="J247" s="115">
        <f t="shared" si="32"/>
        <v>1</v>
      </c>
      <c r="K247" s="115">
        <v>1</v>
      </c>
      <c r="L247" s="121">
        <v>129000</v>
      </c>
      <c r="M247" s="78" t="s">
        <v>83</v>
      </c>
      <c r="N247" s="98" t="s">
        <v>617</v>
      </c>
      <c r="O247" s="98" t="s">
        <v>485</v>
      </c>
      <c r="P247" s="98">
        <v>100</v>
      </c>
      <c r="Q247" s="32" t="s">
        <v>85</v>
      </c>
      <c r="R247" s="98" t="s">
        <v>86</v>
      </c>
      <c r="S247" s="32" t="s">
        <v>87</v>
      </c>
      <c r="T247" s="98" t="s">
        <v>65</v>
      </c>
      <c r="U247" s="98"/>
      <c r="V247" s="98" t="s">
        <v>66</v>
      </c>
      <c r="W247" s="98"/>
      <c r="X247" s="78" t="s">
        <v>67</v>
      </c>
      <c r="Y247" s="98" t="s">
        <v>88</v>
      </c>
      <c r="Z247" s="32" t="s">
        <v>125</v>
      </c>
      <c r="AA247" s="32" t="s">
        <v>90</v>
      </c>
      <c r="AB247" s="78" t="s">
        <v>91</v>
      </c>
      <c r="AC247" s="69" t="s">
        <v>92</v>
      </c>
      <c r="AD247" s="69" t="s">
        <v>506</v>
      </c>
      <c r="AE247" s="65" t="s">
        <v>137</v>
      </c>
      <c r="AF247" s="39" t="s">
        <v>720</v>
      </c>
      <c r="AG247" s="98" t="s">
        <v>240</v>
      </c>
      <c r="AH247" s="115">
        <v>650</v>
      </c>
      <c r="AI247" s="117" t="s">
        <v>450</v>
      </c>
      <c r="AJ247" s="115" t="s">
        <v>241</v>
      </c>
      <c r="AK247" s="73">
        <v>1305</v>
      </c>
      <c r="AL247" s="116">
        <f t="shared" si="31"/>
        <v>168345000</v>
      </c>
      <c r="AM247" s="116">
        <v>21</v>
      </c>
      <c r="AN247" s="116">
        <v>2504638</v>
      </c>
      <c r="AO247" s="116">
        <v>243</v>
      </c>
      <c r="AP247" s="116">
        <v>28968183</v>
      </c>
      <c r="AQ247" s="116">
        <f t="shared" si="36"/>
        <v>686.7</v>
      </c>
      <c r="AR247" s="116">
        <f t="shared" si="37"/>
        <v>81497556</v>
      </c>
      <c r="AS247" s="118">
        <v>0.52620689655172415</v>
      </c>
    </row>
    <row r="248" spans="1:45" x14ac:dyDescent="0.3">
      <c r="A248" s="1" t="str">
        <f t="shared" si="30"/>
        <v>DMDV71056BKS</v>
      </c>
      <c r="B248" s="126" t="s">
        <v>718</v>
      </c>
      <c r="C248" s="98" t="str">
        <f t="shared" si="33"/>
        <v>DV710</v>
      </c>
      <c r="D248" s="98" t="s">
        <v>55</v>
      </c>
      <c r="E248" s="98" t="str">
        <f t="shared" si="34"/>
        <v>M</v>
      </c>
      <c r="F248" s="98" t="str">
        <f t="shared" si="35"/>
        <v>DV</v>
      </c>
      <c r="G248" s="98" t="s">
        <v>56</v>
      </c>
      <c r="H248" s="115" t="s">
        <v>719</v>
      </c>
      <c r="I248" s="98" t="s">
        <v>78</v>
      </c>
      <c r="J248" s="115" t="str">
        <f t="shared" si="32"/>
        <v/>
      </c>
      <c r="K248" s="115">
        <v>1</v>
      </c>
      <c r="L248" s="121">
        <v>129000</v>
      </c>
      <c r="M248" s="78" t="s">
        <v>83</v>
      </c>
      <c r="N248" s="98" t="s">
        <v>617</v>
      </c>
      <c r="O248" s="98" t="s">
        <v>485</v>
      </c>
      <c r="P248" s="98">
        <v>100</v>
      </c>
      <c r="Q248" s="32" t="s">
        <v>85</v>
      </c>
      <c r="R248" s="98" t="s">
        <v>86</v>
      </c>
      <c r="S248" s="32" t="s">
        <v>87</v>
      </c>
      <c r="T248" s="98" t="s">
        <v>65</v>
      </c>
      <c r="U248" s="98"/>
      <c r="V248" s="98" t="s">
        <v>66</v>
      </c>
      <c r="W248" s="98"/>
      <c r="X248" s="78" t="s">
        <v>67</v>
      </c>
      <c r="Y248" s="98" t="s">
        <v>88</v>
      </c>
      <c r="Z248" s="32" t="s">
        <v>125</v>
      </c>
      <c r="AA248" s="32" t="s">
        <v>90</v>
      </c>
      <c r="AB248" s="78" t="s">
        <v>91</v>
      </c>
      <c r="AC248" s="69" t="s">
        <v>92</v>
      </c>
      <c r="AD248" s="69" t="s">
        <v>506</v>
      </c>
      <c r="AE248" s="65" t="s">
        <v>137</v>
      </c>
      <c r="AF248" s="39" t="s">
        <v>720</v>
      </c>
      <c r="AG248" s="98" t="s">
        <v>240</v>
      </c>
      <c r="AH248" s="115">
        <v>650</v>
      </c>
      <c r="AI248" s="117" t="s">
        <v>450</v>
      </c>
      <c r="AJ248" s="115" t="s">
        <v>241</v>
      </c>
      <c r="AK248" s="73">
        <v>5990</v>
      </c>
      <c r="AL248" s="116">
        <f t="shared" si="31"/>
        <v>772710000</v>
      </c>
      <c r="AM248" s="116">
        <v>217</v>
      </c>
      <c r="AN248" s="116">
        <v>24649773</v>
      </c>
      <c r="AO248" s="116">
        <v>1534</v>
      </c>
      <c r="AP248" s="116">
        <v>176975385</v>
      </c>
      <c r="AQ248" s="116">
        <f t="shared" si="36"/>
        <v>3570.6</v>
      </c>
      <c r="AR248" s="116">
        <f t="shared" si="37"/>
        <v>423758808</v>
      </c>
      <c r="AS248" s="118">
        <v>0.59609348914858096</v>
      </c>
    </row>
    <row r="249" spans="1:45" x14ac:dyDescent="0.3">
      <c r="A249" s="1" t="str">
        <f t="shared" si="30"/>
        <v>DWDV72056BES</v>
      </c>
      <c r="B249" s="126" t="s">
        <v>721</v>
      </c>
      <c r="C249" s="98" t="str">
        <f t="shared" si="33"/>
        <v>DV720</v>
      </c>
      <c r="D249" s="98" t="s">
        <v>55</v>
      </c>
      <c r="E249" s="98" t="str">
        <f t="shared" si="34"/>
        <v>W</v>
      </c>
      <c r="F249" s="98" t="str">
        <f t="shared" si="35"/>
        <v>DV</v>
      </c>
      <c r="G249" s="98" t="s">
        <v>56</v>
      </c>
      <c r="H249" s="115" t="s">
        <v>722</v>
      </c>
      <c r="I249" s="98" t="s">
        <v>385</v>
      </c>
      <c r="J249" s="115">
        <f t="shared" si="32"/>
        <v>1</v>
      </c>
      <c r="K249" s="115">
        <v>1</v>
      </c>
      <c r="L249" s="121">
        <v>129000</v>
      </c>
      <c r="M249" s="78" t="s">
        <v>83</v>
      </c>
      <c r="N249" s="98" t="s">
        <v>617</v>
      </c>
      <c r="O249" s="98" t="s">
        <v>485</v>
      </c>
      <c r="P249" s="98">
        <v>100</v>
      </c>
      <c r="Q249" s="32" t="s">
        <v>85</v>
      </c>
      <c r="R249" s="98" t="s">
        <v>86</v>
      </c>
      <c r="S249" s="32" t="s">
        <v>87</v>
      </c>
      <c r="T249" s="98" t="s">
        <v>65</v>
      </c>
      <c r="U249" s="98"/>
      <c r="V249" s="98" t="s">
        <v>66</v>
      </c>
      <c r="W249" s="98"/>
      <c r="X249" s="78" t="s">
        <v>67</v>
      </c>
      <c r="Y249" s="98" t="s">
        <v>88</v>
      </c>
      <c r="Z249" s="32" t="s">
        <v>125</v>
      </c>
      <c r="AA249" s="32" t="s">
        <v>90</v>
      </c>
      <c r="AB249" s="78" t="s">
        <v>91</v>
      </c>
      <c r="AC249" s="69" t="s">
        <v>92</v>
      </c>
      <c r="AD249" s="69" t="s">
        <v>506</v>
      </c>
      <c r="AE249" s="65" t="s">
        <v>137</v>
      </c>
      <c r="AF249" s="39" t="s">
        <v>723</v>
      </c>
      <c r="AG249" s="98" t="s">
        <v>240</v>
      </c>
      <c r="AH249" s="115">
        <v>650</v>
      </c>
      <c r="AI249" s="117" t="s">
        <v>450</v>
      </c>
      <c r="AJ249" s="115" t="s">
        <v>241</v>
      </c>
      <c r="AK249" s="73">
        <v>1502</v>
      </c>
      <c r="AL249" s="116">
        <f t="shared" si="31"/>
        <v>193758000</v>
      </c>
      <c r="AM249" s="116">
        <v>40</v>
      </c>
      <c r="AN249" s="116">
        <v>4744806</v>
      </c>
      <c r="AO249" s="116">
        <v>515</v>
      </c>
      <c r="AP249" s="116">
        <v>61396461</v>
      </c>
      <c r="AQ249" s="116">
        <f t="shared" si="36"/>
        <v>1025.68</v>
      </c>
      <c r="AR249" s="116">
        <f t="shared" si="37"/>
        <v>121727702.40000002</v>
      </c>
      <c r="AS249" s="118">
        <v>0.6828761651131825</v>
      </c>
    </row>
    <row r="250" spans="1:45" x14ac:dyDescent="0.3">
      <c r="A250" s="1" t="str">
        <f t="shared" si="30"/>
        <v>DWDV72056BKS</v>
      </c>
      <c r="B250" s="126" t="s">
        <v>721</v>
      </c>
      <c r="C250" s="98" t="str">
        <f t="shared" si="33"/>
        <v>DV720</v>
      </c>
      <c r="D250" s="98" t="s">
        <v>55</v>
      </c>
      <c r="E250" s="98" t="str">
        <f t="shared" si="34"/>
        <v>W</v>
      </c>
      <c r="F250" s="98" t="str">
        <f t="shared" si="35"/>
        <v>DV</v>
      </c>
      <c r="G250" s="98" t="s">
        <v>56</v>
      </c>
      <c r="H250" s="115" t="s">
        <v>722</v>
      </c>
      <c r="I250" s="98" t="s">
        <v>78</v>
      </c>
      <c r="J250" s="115" t="str">
        <f t="shared" si="32"/>
        <v/>
      </c>
      <c r="K250" s="115">
        <v>1</v>
      </c>
      <c r="L250" s="121">
        <v>129000</v>
      </c>
      <c r="M250" s="78" t="s">
        <v>83</v>
      </c>
      <c r="N250" s="98" t="s">
        <v>617</v>
      </c>
      <c r="O250" s="98" t="s">
        <v>485</v>
      </c>
      <c r="P250" s="98">
        <v>100</v>
      </c>
      <c r="Q250" s="32" t="s">
        <v>85</v>
      </c>
      <c r="R250" s="98" t="s">
        <v>86</v>
      </c>
      <c r="S250" s="32" t="s">
        <v>87</v>
      </c>
      <c r="T250" s="98" t="s">
        <v>65</v>
      </c>
      <c r="U250" s="98"/>
      <c r="V250" s="98" t="s">
        <v>66</v>
      </c>
      <c r="W250" s="98"/>
      <c r="X250" s="78" t="s">
        <v>67</v>
      </c>
      <c r="Y250" s="98" t="s">
        <v>88</v>
      </c>
      <c r="Z250" s="32" t="s">
        <v>125</v>
      </c>
      <c r="AA250" s="32" t="s">
        <v>90</v>
      </c>
      <c r="AB250" s="78" t="s">
        <v>91</v>
      </c>
      <c r="AC250" s="69" t="s">
        <v>92</v>
      </c>
      <c r="AD250" s="69" t="s">
        <v>506</v>
      </c>
      <c r="AE250" s="65" t="s">
        <v>137</v>
      </c>
      <c r="AF250" s="39" t="s">
        <v>723</v>
      </c>
      <c r="AG250" s="98" t="s">
        <v>240</v>
      </c>
      <c r="AH250" s="115">
        <v>650</v>
      </c>
      <c r="AI250" s="117" t="s">
        <v>450</v>
      </c>
      <c r="AJ250" s="115" t="s">
        <v>241</v>
      </c>
      <c r="AK250" s="73">
        <v>2701</v>
      </c>
      <c r="AL250" s="116">
        <f t="shared" si="31"/>
        <v>348429000</v>
      </c>
      <c r="AM250" s="116">
        <v>120</v>
      </c>
      <c r="AN250" s="116">
        <v>14219841</v>
      </c>
      <c r="AO250" s="116">
        <v>855</v>
      </c>
      <c r="AP250" s="116">
        <v>100755861</v>
      </c>
      <c r="AQ250" s="116">
        <f t="shared" si="36"/>
        <v>1773.34</v>
      </c>
      <c r="AR250" s="116">
        <f t="shared" si="37"/>
        <v>210459991.20000002</v>
      </c>
      <c r="AS250" s="118">
        <v>0.65654942613846723</v>
      </c>
    </row>
    <row r="251" spans="1:45" x14ac:dyDescent="0.3">
      <c r="A251" s="1" t="str">
        <f t="shared" si="30"/>
        <v>DMDV73056BKS</v>
      </c>
      <c r="B251" s="126" t="s">
        <v>724</v>
      </c>
      <c r="C251" s="98" t="str">
        <f t="shared" si="33"/>
        <v>DV730</v>
      </c>
      <c r="D251" s="98" t="s">
        <v>55</v>
      </c>
      <c r="E251" s="98" t="str">
        <f t="shared" si="34"/>
        <v>M</v>
      </c>
      <c r="F251" s="98" t="str">
        <f t="shared" si="35"/>
        <v>DV</v>
      </c>
      <c r="G251" s="98" t="s">
        <v>56</v>
      </c>
      <c r="H251" s="115" t="s">
        <v>725</v>
      </c>
      <c r="I251" s="98" t="s">
        <v>78</v>
      </c>
      <c r="J251" s="115">
        <f t="shared" si="32"/>
        <v>1</v>
      </c>
      <c r="K251" s="115">
        <v>1</v>
      </c>
      <c r="L251" s="121">
        <v>149000</v>
      </c>
      <c r="M251" s="78" t="s">
        <v>83</v>
      </c>
      <c r="N251" s="98" t="s">
        <v>623</v>
      </c>
      <c r="O251" s="98" t="s">
        <v>485</v>
      </c>
      <c r="P251" s="98">
        <v>100</v>
      </c>
      <c r="Q251" s="32" t="s">
        <v>85</v>
      </c>
      <c r="R251" s="98" t="s">
        <v>86</v>
      </c>
      <c r="S251" s="32" t="s">
        <v>87</v>
      </c>
      <c r="T251" s="98" t="s">
        <v>65</v>
      </c>
      <c r="U251" s="98"/>
      <c r="V251" s="98" t="s">
        <v>66</v>
      </c>
      <c r="W251" s="98"/>
      <c r="X251" s="78" t="s">
        <v>67</v>
      </c>
      <c r="Y251" s="98" t="s">
        <v>88</v>
      </c>
      <c r="Z251" s="32" t="s">
        <v>125</v>
      </c>
      <c r="AA251" s="32" t="s">
        <v>90</v>
      </c>
      <c r="AB251" s="78" t="s">
        <v>91</v>
      </c>
      <c r="AC251" s="69" t="s">
        <v>92</v>
      </c>
      <c r="AD251" s="69" t="s">
        <v>506</v>
      </c>
      <c r="AE251" s="65" t="s">
        <v>137</v>
      </c>
      <c r="AF251" s="39" t="s">
        <v>535</v>
      </c>
      <c r="AG251" s="98" t="s">
        <v>75</v>
      </c>
      <c r="AH251" s="115">
        <v>650</v>
      </c>
      <c r="AI251" s="117" t="s">
        <v>450</v>
      </c>
      <c r="AJ251" s="115" t="s">
        <v>241</v>
      </c>
      <c r="AK251" s="73">
        <v>5470</v>
      </c>
      <c r="AL251" s="116">
        <f t="shared" si="31"/>
        <v>815030000</v>
      </c>
      <c r="AM251" s="116">
        <v>154</v>
      </c>
      <c r="AN251" s="116">
        <v>21232918</v>
      </c>
      <c r="AO251" s="116">
        <v>1593</v>
      </c>
      <c r="AP251" s="116">
        <v>212135134</v>
      </c>
      <c r="AQ251" s="116">
        <f t="shared" si="36"/>
        <v>3452.8</v>
      </c>
      <c r="AR251" s="116">
        <f t="shared" si="37"/>
        <v>473309824.00000006</v>
      </c>
      <c r="AS251" s="118">
        <v>0.63122486288848267</v>
      </c>
    </row>
    <row r="252" spans="1:45" x14ac:dyDescent="0.3">
      <c r="A252" s="1" t="str">
        <f t="shared" si="30"/>
        <v>DMDV73056GRD</v>
      </c>
      <c r="B252" s="126" t="s">
        <v>724</v>
      </c>
      <c r="C252" s="98" t="str">
        <f t="shared" si="33"/>
        <v>DV730</v>
      </c>
      <c r="D252" s="98" t="s">
        <v>55</v>
      </c>
      <c r="E252" s="98" t="str">
        <f t="shared" si="34"/>
        <v>M</v>
      </c>
      <c r="F252" s="98" t="str">
        <f t="shared" si="35"/>
        <v>DV</v>
      </c>
      <c r="G252" s="98" t="s">
        <v>56</v>
      </c>
      <c r="H252" s="115" t="s">
        <v>725</v>
      </c>
      <c r="I252" s="98" t="s">
        <v>215</v>
      </c>
      <c r="J252" s="115" t="str">
        <f t="shared" si="32"/>
        <v/>
      </c>
      <c r="K252" s="115">
        <v>1</v>
      </c>
      <c r="L252" s="121">
        <v>149000</v>
      </c>
      <c r="M252" s="78" t="s">
        <v>83</v>
      </c>
      <c r="N252" s="98" t="s">
        <v>623</v>
      </c>
      <c r="O252" s="98" t="s">
        <v>485</v>
      </c>
      <c r="P252" s="98">
        <v>100</v>
      </c>
      <c r="Q252" s="32" t="s">
        <v>85</v>
      </c>
      <c r="R252" s="98" t="s">
        <v>86</v>
      </c>
      <c r="S252" s="32" t="s">
        <v>87</v>
      </c>
      <c r="T252" s="98" t="s">
        <v>65</v>
      </c>
      <c r="U252" s="98"/>
      <c r="V252" s="98" t="s">
        <v>66</v>
      </c>
      <c r="W252" s="98"/>
      <c r="X252" s="78" t="s">
        <v>67</v>
      </c>
      <c r="Y252" s="98" t="s">
        <v>88</v>
      </c>
      <c r="Z252" s="32" t="s">
        <v>125</v>
      </c>
      <c r="AA252" s="32" t="s">
        <v>90</v>
      </c>
      <c r="AB252" s="78" t="s">
        <v>91</v>
      </c>
      <c r="AC252" s="69" t="s">
        <v>92</v>
      </c>
      <c r="AD252" s="69" t="s">
        <v>506</v>
      </c>
      <c r="AE252" s="65" t="s">
        <v>137</v>
      </c>
      <c r="AF252" s="39" t="s">
        <v>535</v>
      </c>
      <c r="AG252" s="98" t="s">
        <v>75</v>
      </c>
      <c r="AH252" s="115">
        <v>650</v>
      </c>
      <c r="AI252" s="117" t="s">
        <v>450</v>
      </c>
      <c r="AJ252" s="115" t="s">
        <v>241</v>
      </c>
      <c r="AK252" s="73">
        <v>1985</v>
      </c>
      <c r="AL252" s="116">
        <f t="shared" si="31"/>
        <v>295765000</v>
      </c>
      <c r="AM252" s="116">
        <v>39</v>
      </c>
      <c r="AN252" s="116">
        <v>5418456</v>
      </c>
      <c r="AO252" s="116">
        <v>421</v>
      </c>
      <c r="AP252" s="116">
        <v>59048846</v>
      </c>
      <c r="AQ252" s="116">
        <f t="shared" si="36"/>
        <v>1095.9000000000001</v>
      </c>
      <c r="AR252" s="116">
        <f t="shared" si="37"/>
        <v>150225972</v>
      </c>
      <c r="AS252" s="118">
        <v>0.55209068010075568</v>
      </c>
    </row>
    <row r="253" spans="1:45" x14ac:dyDescent="0.3">
      <c r="A253" s="1" t="str">
        <f t="shared" si="30"/>
        <v>DWDV74056BKS</v>
      </c>
      <c r="B253" s="126" t="s">
        <v>726</v>
      </c>
      <c r="C253" s="98" t="str">
        <f t="shared" si="33"/>
        <v>DV740</v>
      </c>
      <c r="D253" s="98" t="s">
        <v>55</v>
      </c>
      <c r="E253" s="98" t="str">
        <f t="shared" si="34"/>
        <v>W</v>
      </c>
      <c r="F253" s="98" t="str">
        <f t="shared" si="35"/>
        <v>DV</v>
      </c>
      <c r="G253" s="98" t="s">
        <v>56</v>
      </c>
      <c r="H253" s="115" t="s">
        <v>727</v>
      </c>
      <c r="I253" s="98" t="s">
        <v>78</v>
      </c>
      <c r="J253" s="115">
        <f t="shared" si="32"/>
        <v>1</v>
      </c>
      <c r="K253" s="115">
        <v>1</v>
      </c>
      <c r="L253" s="121">
        <v>149000</v>
      </c>
      <c r="M253" s="78" t="s">
        <v>83</v>
      </c>
      <c r="N253" s="98" t="s">
        <v>626</v>
      </c>
      <c r="O253" s="98" t="s">
        <v>485</v>
      </c>
      <c r="P253" s="98">
        <v>100</v>
      </c>
      <c r="Q253" s="32" t="s">
        <v>85</v>
      </c>
      <c r="R253" s="98" t="s">
        <v>86</v>
      </c>
      <c r="S253" s="32" t="s">
        <v>87</v>
      </c>
      <c r="T253" s="98" t="s">
        <v>65</v>
      </c>
      <c r="U253" s="98"/>
      <c r="V253" s="98" t="s">
        <v>66</v>
      </c>
      <c r="W253" s="98"/>
      <c r="X253" s="78" t="s">
        <v>67</v>
      </c>
      <c r="Y253" s="98" t="s">
        <v>88</v>
      </c>
      <c r="Z253" s="32" t="s">
        <v>125</v>
      </c>
      <c r="AA253" s="32" t="s">
        <v>90</v>
      </c>
      <c r="AB253" s="78" t="s">
        <v>91</v>
      </c>
      <c r="AC253" s="69" t="s">
        <v>92</v>
      </c>
      <c r="AD253" s="69" t="s">
        <v>506</v>
      </c>
      <c r="AE253" s="65" t="s">
        <v>137</v>
      </c>
      <c r="AF253" s="39" t="s">
        <v>458</v>
      </c>
      <c r="AG253" s="98" t="s">
        <v>75</v>
      </c>
      <c r="AH253" s="115">
        <v>650</v>
      </c>
      <c r="AI253" s="117" t="s">
        <v>450</v>
      </c>
      <c r="AJ253" s="115" t="s">
        <v>241</v>
      </c>
      <c r="AK253" s="73">
        <v>3496</v>
      </c>
      <c r="AL253" s="116">
        <f t="shared" si="31"/>
        <v>520904000</v>
      </c>
      <c r="AM253" s="116">
        <v>124</v>
      </c>
      <c r="AN253" s="116">
        <v>17168077</v>
      </c>
      <c r="AO253" s="116">
        <v>1339</v>
      </c>
      <c r="AP253" s="116">
        <v>182126628</v>
      </c>
      <c r="AQ253" s="116">
        <f t="shared" si="36"/>
        <v>2527.64</v>
      </c>
      <c r="AR253" s="116">
        <f t="shared" si="37"/>
        <v>346488891.19999999</v>
      </c>
      <c r="AS253" s="118">
        <v>0.7230091533180778</v>
      </c>
    </row>
    <row r="254" spans="1:45" x14ac:dyDescent="0.3">
      <c r="A254" s="1" t="str">
        <f t="shared" si="30"/>
        <v>DWDV74056BGD</v>
      </c>
      <c r="B254" s="126" t="s">
        <v>726</v>
      </c>
      <c r="C254" s="98" t="str">
        <f t="shared" si="33"/>
        <v>DV740</v>
      </c>
      <c r="D254" s="98" t="s">
        <v>55</v>
      </c>
      <c r="E254" s="98" t="str">
        <f t="shared" si="34"/>
        <v>W</v>
      </c>
      <c r="F254" s="98" t="str">
        <f t="shared" si="35"/>
        <v>DV</v>
      </c>
      <c r="G254" s="98" t="s">
        <v>56</v>
      </c>
      <c r="H254" s="115" t="s">
        <v>727</v>
      </c>
      <c r="I254" s="98" t="s">
        <v>260</v>
      </c>
      <c r="J254" s="115" t="str">
        <f t="shared" si="32"/>
        <v/>
      </c>
      <c r="K254" s="115">
        <v>1</v>
      </c>
      <c r="L254" s="121">
        <v>149000</v>
      </c>
      <c r="M254" s="78" t="s">
        <v>83</v>
      </c>
      <c r="N254" s="98" t="s">
        <v>626</v>
      </c>
      <c r="O254" s="98" t="s">
        <v>485</v>
      </c>
      <c r="P254" s="98">
        <v>100</v>
      </c>
      <c r="Q254" s="32" t="s">
        <v>85</v>
      </c>
      <c r="R254" s="98" t="s">
        <v>86</v>
      </c>
      <c r="S254" s="32" t="s">
        <v>87</v>
      </c>
      <c r="T254" s="98" t="s">
        <v>65</v>
      </c>
      <c r="U254" s="98"/>
      <c r="V254" s="98" t="s">
        <v>66</v>
      </c>
      <c r="W254" s="98"/>
      <c r="X254" s="78" t="s">
        <v>67</v>
      </c>
      <c r="Y254" s="98" t="s">
        <v>88</v>
      </c>
      <c r="Z254" s="32" t="s">
        <v>125</v>
      </c>
      <c r="AA254" s="32" t="s">
        <v>90</v>
      </c>
      <c r="AB254" s="78" t="s">
        <v>91</v>
      </c>
      <c r="AC254" s="69" t="s">
        <v>92</v>
      </c>
      <c r="AD254" s="69" t="s">
        <v>506</v>
      </c>
      <c r="AE254" s="65" t="s">
        <v>137</v>
      </c>
      <c r="AF254" s="39" t="s">
        <v>458</v>
      </c>
      <c r="AG254" s="98" t="s">
        <v>75</v>
      </c>
      <c r="AH254" s="115">
        <v>650</v>
      </c>
      <c r="AI254" s="117" t="s">
        <v>450</v>
      </c>
      <c r="AJ254" s="115" t="s">
        <v>241</v>
      </c>
      <c r="AK254" s="73">
        <v>2095</v>
      </c>
      <c r="AL254" s="116">
        <f t="shared" si="31"/>
        <v>312155000</v>
      </c>
      <c r="AM254" s="116">
        <v>44</v>
      </c>
      <c r="AN254" s="116">
        <v>6141871</v>
      </c>
      <c r="AO254" s="116">
        <v>448</v>
      </c>
      <c r="AP254" s="116">
        <v>62518166</v>
      </c>
      <c r="AQ254" s="116">
        <f t="shared" si="36"/>
        <v>1160.3</v>
      </c>
      <c r="AR254" s="116">
        <f t="shared" si="37"/>
        <v>159053924</v>
      </c>
      <c r="AS254" s="118">
        <v>0.55384248210023868</v>
      </c>
    </row>
    <row r="255" spans="1:45" x14ac:dyDescent="0.3">
      <c r="A255" s="1" t="str">
        <f t="shared" si="30"/>
        <v>DXDV75056BKN</v>
      </c>
      <c r="B255" s="126" t="s">
        <v>728</v>
      </c>
      <c r="C255" s="98" t="str">
        <f t="shared" si="33"/>
        <v>DV750</v>
      </c>
      <c r="D255" s="98" t="s">
        <v>55</v>
      </c>
      <c r="E255" s="98" t="str">
        <f t="shared" si="34"/>
        <v>X</v>
      </c>
      <c r="F255" s="98" t="str">
        <f t="shared" si="35"/>
        <v>DV</v>
      </c>
      <c r="G255" s="98" t="s">
        <v>56</v>
      </c>
      <c r="H255" s="115" t="s">
        <v>729</v>
      </c>
      <c r="I255" s="98" t="s">
        <v>140</v>
      </c>
      <c r="J255" s="115">
        <f t="shared" si="32"/>
        <v>1</v>
      </c>
      <c r="K255" s="115">
        <v>1</v>
      </c>
      <c r="L255" s="121">
        <v>199000</v>
      </c>
      <c r="M255" s="78" t="s">
        <v>217</v>
      </c>
      <c r="N255" s="98" t="s">
        <v>218</v>
      </c>
      <c r="O255" s="98" t="s">
        <v>485</v>
      </c>
      <c r="P255" s="98">
        <v>100</v>
      </c>
      <c r="Q255" s="32" t="s">
        <v>219</v>
      </c>
      <c r="R255" s="98" t="s">
        <v>220</v>
      </c>
      <c r="S255" s="32" t="s">
        <v>221</v>
      </c>
      <c r="T255" s="98" t="s">
        <v>65</v>
      </c>
      <c r="U255" s="98"/>
      <c r="V255" s="98" t="s">
        <v>520</v>
      </c>
      <c r="W255" s="98"/>
      <c r="X255" s="78" t="s">
        <v>67</v>
      </c>
      <c r="Y255" s="98" t="s">
        <v>68</v>
      </c>
      <c r="Z255" s="32" t="s">
        <v>69</v>
      </c>
      <c r="AA255" s="32" t="s">
        <v>70</v>
      </c>
      <c r="AB255" s="78" t="s">
        <v>71</v>
      </c>
      <c r="AC255" s="98" t="s">
        <v>85</v>
      </c>
      <c r="AD255" s="98" t="s">
        <v>208</v>
      </c>
      <c r="AE255" s="65" t="s">
        <v>137</v>
      </c>
      <c r="AF255" s="39" t="s">
        <v>191</v>
      </c>
      <c r="AG255" s="98" t="s">
        <v>127</v>
      </c>
      <c r="AH255" s="115">
        <v>650</v>
      </c>
      <c r="AI255" s="117" t="s">
        <v>450</v>
      </c>
      <c r="AJ255" s="115" t="s">
        <v>241</v>
      </c>
      <c r="AK255" s="73">
        <v>1971</v>
      </c>
      <c r="AL255" s="116">
        <f t="shared" si="31"/>
        <v>392229000</v>
      </c>
      <c r="AM255" s="116">
        <v>74</v>
      </c>
      <c r="AN255" s="116">
        <v>13868825</v>
      </c>
      <c r="AO255" s="116">
        <v>610</v>
      </c>
      <c r="AP255" s="116">
        <v>113186656</v>
      </c>
      <c r="AQ255" s="116">
        <f t="shared" si="36"/>
        <v>1280.1399999999999</v>
      </c>
      <c r="AR255" s="116">
        <f t="shared" si="37"/>
        <v>234368031.19999999</v>
      </c>
      <c r="AS255" s="118">
        <v>0.64948756976154232</v>
      </c>
    </row>
    <row r="256" spans="1:45" x14ac:dyDescent="0.3">
      <c r="A256" s="1" t="str">
        <f t="shared" si="30"/>
        <v>DXDV75056TQN</v>
      </c>
      <c r="B256" s="126" t="s">
        <v>728</v>
      </c>
      <c r="C256" s="98" t="str">
        <f t="shared" si="33"/>
        <v>DV750</v>
      </c>
      <c r="D256" s="98" t="s">
        <v>55</v>
      </c>
      <c r="E256" s="98" t="str">
        <f t="shared" si="34"/>
        <v>X</v>
      </c>
      <c r="F256" s="98" t="str">
        <f t="shared" si="35"/>
        <v>DV</v>
      </c>
      <c r="G256" s="98" t="s">
        <v>56</v>
      </c>
      <c r="H256" s="115" t="s">
        <v>729</v>
      </c>
      <c r="I256" s="98" t="s">
        <v>542</v>
      </c>
      <c r="J256" s="115" t="str">
        <f t="shared" si="32"/>
        <v/>
      </c>
      <c r="K256" s="115">
        <v>1</v>
      </c>
      <c r="L256" s="121">
        <v>199000</v>
      </c>
      <c r="M256" s="78" t="s">
        <v>217</v>
      </c>
      <c r="N256" s="98" t="s">
        <v>218</v>
      </c>
      <c r="O256" s="98" t="s">
        <v>485</v>
      </c>
      <c r="P256" s="98">
        <v>100</v>
      </c>
      <c r="Q256" s="32" t="s">
        <v>219</v>
      </c>
      <c r="R256" s="98" t="s">
        <v>220</v>
      </c>
      <c r="S256" s="32" t="s">
        <v>221</v>
      </c>
      <c r="T256" s="98" t="s">
        <v>65</v>
      </c>
      <c r="U256" s="98"/>
      <c r="V256" s="98" t="s">
        <v>520</v>
      </c>
      <c r="W256" s="98"/>
      <c r="X256" s="78" t="s">
        <v>67</v>
      </c>
      <c r="Y256" s="98" t="s">
        <v>68</v>
      </c>
      <c r="Z256" s="32" t="s">
        <v>69</v>
      </c>
      <c r="AA256" s="32" t="s">
        <v>70</v>
      </c>
      <c r="AB256" s="78" t="s">
        <v>71</v>
      </c>
      <c r="AC256" s="98" t="s">
        <v>85</v>
      </c>
      <c r="AD256" s="98" t="s">
        <v>208</v>
      </c>
      <c r="AE256" s="65" t="s">
        <v>137</v>
      </c>
      <c r="AF256" s="39" t="s">
        <v>191</v>
      </c>
      <c r="AG256" s="98" t="s">
        <v>127</v>
      </c>
      <c r="AH256" s="115">
        <v>650</v>
      </c>
      <c r="AI256" s="117" t="s">
        <v>450</v>
      </c>
      <c r="AJ256" s="115" t="s">
        <v>241</v>
      </c>
      <c r="AK256" s="73">
        <v>949</v>
      </c>
      <c r="AL256" s="116">
        <f t="shared" si="31"/>
        <v>188851000</v>
      </c>
      <c r="AM256" s="116">
        <v>11</v>
      </c>
      <c r="AN256" s="116">
        <v>2073209</v>
      </c>
      <c r="AO256" s="116">
        <v>114</v>
      </c>
      <c r="AP256" s="116">
        <v>21171701</v>
      </c>
      <c r="AQ256" s="116">
        <f t="shared" si="36"/>
        <v>436.66</v>
      </c>
      <c r="AR256" s="116">
        <f t="shared" si="37"/>
        <v>79943712.800000012</v>
      </c>
      <c r="AS256" s="118">
        <v>0.46012644889357224</v>
      </c>
    </row>
    <row r="257" spans="1:45" x14ac:dyDescent="0.3">
      <c r="A257" s="1" t="str">
        <f t="shared" si="30"/>
        <v>DXDV75056BKS</v>
      </c>
      <c r="B257" s="126" t="s">
        <v>728</v>
      </c>
      <c r="C257" s="98" t="str">
        <f t="shared" si="33"/>
        <v>DV750</v>
      </c>
      <c r="D257" s="98" t="s">
        <v>55</v>
      </c>
      <c r="E257" s="98" t="str">
        <f t="shared" si="34"/>
        <v>X</v>
      </c>
      <c r="F257" s="98" t="str">
        <f t="shared" si="35"/>
        <v>DV</v>
      </c>
      <c r="G257" s="98" t="s">
        <v>56</v>
      </c>
      <c r="H257" s="115" t="s">
        <v>729</v>
      </c>
      <c r="I257" s="98" t="s">
        <v>78</v>
      </c>
      <c r="J257" s="115" t="str">
        <f t="shared" si="32"/>
        <v/>
      </c>
      <c r="K257" s="115">
        <v>1</v>
      </c>
      <c r="L257" s="121">
        <v>199000</v>
      </c>
      <c r="M257" s="78" t="s">
        <v>509</v>
      </c>
      <c r="N257" s="98" t="s">
        <v>678</v>
      </c>
      <c r="O257" s="98" t="s">
        <v>485</v>
      </c>
      <c r="P257" s="98">
        <v>100</v>
      </c>
      <c r="Q257" s="32" t="s">
        <v>119</v>
      </c>
      <c r="R257" s="98" t="s">
        <v>246</v>
      </c>
      <c r="S257" s="32" t="s">
        <v>331</v>
      </c>
      <c r="T257" s="98" t="s">
        <v>122</v>
      </c>
      <c r="U257" s="98" t="s">
        <v>207</v>
      </c>
      <c r="V257" s="98" t="s">
        <v>66</v>
      </c>
      <c r="W257" s="98"/>
      <c r="X257" s="78" t="s">
        <v>67</v>
      </c>
      <c r="Y257" s="98" t="s">
        <v>68</v>
      </c>
      <c r="Z257" s="32" t="s">
        <v>125</v>
      </c>
      <c r="AA257" s="32" t="s">
        <v>90</v>
      </c>
      <c r="AB257" s="78" t="s">
        <v>71</v>
      </c>
      <c r="AC257" s="98" t="s">
        <v>85</v>
      </c>
      <c r="AD257" s="98" t="s">
        <v>208</v>
      </c>
      <c r="AE257" s="65" t="s">
        <v>137</v>
      </c>
      <c r="AF257" s="39" t="s">
        <v>191</v>
      </c>
      <c r="AG257" s="98" t="s">
        <v>127</v>
      </c>
      <c r="AH257" s="115">
        <v>650</v>
      </c>
      <c r="AI257" s="117" t="s">
        <v>450</v>
      </c>
      <c r="AJ257" s="115" t="s">
        <v>241</v>
      </c>
      <c r="AK257" s="73">
        <v>6381</v>
      </c>
      <c r="AL257" s="116">
        <f t="shared" si="31"/>
        <v>1269819000</v>
      </c>
      <c r="AM257" s="116">
        <v>248</v>
      </c>
      <c r="AN257" s="116">
        <v>45975341</v>
      </c>
      <c r="AO257" s="116">
        <v>2406</v>
      </c>
      <c r="AP257" s="116">
        <v>449889837</v>
      </c>
      <c r="AQ257" s="116">
        <f t="shared" si="36"/>
        <v>4575.54</v>
      </c>
      <c r="AR257" s="116">
        <f t="shared" si="37"/>
        <v>837689863.20000017</v>
      </c>
      <c r="AS257" s="118">
        <v>0.71705688763516695</v>
      </c>
    </row>
    <row r="258" spans="1:45" x14ac:dyDescent="0.3">
      <c r="A258" s="1" t="str">
        <f t="shared" si="30"/>
        <v>DXDV79056BKS</v>
      </c>
      <c r="B258" s="126" t="s">
        <v>730</v>
      </c>
      <c r="C258" s="98" t="str">
        <f t="shared" si="33"/>
        <v>DV790</v>
      </c>
      <c r="D258" s="98" t="s">
        <v>55</v>
      </c>
      <c r="E258" s="98" t="str">
        <f t="shared" si="34"/>
        <v>X</v>
      </c>
      <c r="F258" s="98" t="str">
        <f t="shared" si="35"/>
        <v>DV</v>
      </c>
      <c r="G258" s="98" t="s">
        <v>56</v>
      </c>
      <c r="H258" s="115" t="s">
        <v>731</v>
      </c>
      <c r="I258" s="98" t="s">
        <v>78</v>
      </c>
      <c r="J258" s="115">
        <f t="shared" si="32"/>
        <v>1</v>
      </c>
      <c r="K258" s="115">
        <v>1</v>
      </c>
      <c r="L258" s="121">
        <v>249000</v>
      </c>
      <c r="M258" s="78" t="s">
        <v>225</v>
      </c>
      <c r="N258" s="98" t="s">
        <v>517</v>
      </c>
      <c r="O258" s="98" t="s">
        <v>143</v>
      </c>
      <c r="P258" s="98">
        <v>100</v>
      </c>
      <c r="Q258" s="32" t="s">
        <v>144</v>
      </c>
      <c r="R258" s="98" t="s">
        <v>518</v>
      </c>
      <c r="S258" s="32" t="s">
        <v>519</v>
      </c>
      <c r="T258" s="98" t="s">
        <v>122</v>
      </c>
      <c r="U258" s="98" t="s">
        <v>332</v>
      </c>
      <c r="V258" s="98" t="s">
        <v>66</v>
      </c>
      <c r="W258" s="98"/>
      <c r="X258" s="78" t="s">
        <v>67</v>
      </c>
      <c r="Y258" s="98" t="s">
        <v>68</v>
      </c>
      <c r="Z258" s="32" t="s">
        <v>441</v>
      </c>
      <c r="AA258" s="32" t="s">
        <v>353</v>
      </c>
      <c r="AB258" s="78" t="s">
        <v>71</v>
      </c>
      <c r="AC258" s="98" t="s">
        <v>62</v>
      </c>
      <c r="AD258" s="98" t="s">
        <v>72</v>
      </c>
      <c r="AE258" s="65" t="s">
        <v>137</v>
      </c>
      <c r="AF258" s="39" t="s">
        <v>199</v>
      </c>
      <c r="AG258" s="98" t="s">
        <v>127</v>
      </c>
      <c r="AH258" s="115">
        <v>650</v>
      </c>
      <c r="AI258" s="117" t="s">
        <v>450</v>
      </c>
      <c r="AJ258" s="115" t="s">
        <v>241</v>
      </c>
      <c r="AK258" s="73">
        <v>3897</v>
      </c>
      <c r="AL258" s="116">
        <f t="shared" si="31"/>
        <v>970353000</v>
      </c>
      <c r="AM258" s="116">
        <v>155</v>
      </c>
      <c r="AN258" s="116">
        <v>34809826</v>
      </c>
      <c r="AO258" s="116">
        <v>1025</v>
      </c>
      <c r="AP258" s="116">
        <v>238495710</v>
      </c>
      <c r="AQ258" s="116">
        <f t="shared" si="36"/>
        <v>2349.9800000000005</v>
      </c>
      <c r="AR258" s="116">
        <f t="shared" si="37"/>
        <v>538333418.4000001</v>
      </c>
      <c r="AS258" s="118">
        <v>0.60302283808057489</v>
      </c>
    </row>
    <row r="259" spans="1:45" s="102" customFormat="1" x14ac:dyDescent="0.3">
      <c r="A259" s="101" t="str">
        <f t="shared" si="30"/>
        <v>DWDV91056BKS</v>
      </c>
      <c r="B259" s="126" t="s">
        <v>732</v>
      </c>
      <c r="C259" s="98" t="str">
        <f t="shared" si="33"/>
        <v>DV910</v>
      </c>
      <c r="D259" s="98" t="s">
        <v>55</v>
      </c>
      <c r="E259" s="98" t="str">
        <f t="shared" si="34"/>
        <v>W</v>
      </c>
      <c r="F259" s="98" t="str">
        <f t="shared" si="35"/>
        <v>DV</v>
      </c>
      <c r="G259" s="98" t="s">
        <v>56</v>
      </c>
      <c r="H259" s="115" t="s">
        <v>449</v>
      </c>
      <c r="I259" s="98" t="s">
        <v>78</v>
      </c>
      <c r="J259" s="115">
        <f t="shared" si="32"/>
        <v>1</v>
      </c>
      <c r="K259" s="115">
        <v>1</v>
      </c>
      <c r="L259" s="121">
        <v>189000</v>
      </c>
      <c r="M259" s="78" t="s">
        <v>521</v>
      </c>
      <c r="N259" s="98" t="s">
        <v>133</v>
      </c>
      <c r="O259" s="98" t="s">
        <v>485</v>
      </c>
      <c r="P259" s="98">
        <v>100</v>
      </c>
      <c r="Q259" s="32" t="s">
        <v>85</v>
      </c>
      <c r="R259" s="98" t="s">
        <v>134</v>
      </c>
      <c r="S259" s="32" t="s">
        <v>135</v>
      </c>
      <c r="T259" s="98" t="s">
        <v>122</v>
      </c>
      <c r="U259" s="98" t="s">
        <v>136</v>
      </c>
      <c r="V259" s="98"/>
      <c r="W259" s="98"/>
      <c r="X259" s="78" t="s">
        <v>67</v>
      </c>
      <c r="Y259" s="98" t="s">
        <v>68</v>
      </c>
      <c r="Z259" s="32" t="s">
        <v>89</v>
      </c>
      <c r="AA259" s="32" t="s">
        <v>90</v>
      </c>
      <c r="AB259" s="78" t="s">
        <v>71</v>
      </c>
      <c r="AC259" s="98" t="s">
        <v>62</v>
      </c>
      <c r="AD259" s="98" t="s">
        <v>72</v>
      </c>
      <c r="AE259" s="65" t="s">
        <v>137</v>
      </c>
      <c r="AF259" s="39" t="s">
        <v>239</v>
      </c>
      <c r="AG259" s="98" t="s">
        <v>127</v>
      </c>
      <c r="AH259" s="115">
        <v>650</v>
      </c>
      <c r="AI259" s="117" t="s">
        <v>450</v>
      </c>
      <c r="AJ259" s="115" t="s">
        <v>77</v>
      </c>
      <c r="AK259" s="73">
        <v>1520</v>
      </c>
      <c r="AL259" s="116">
        <f t="shared" si="31"/>
        <v>287280000</v>
      </c>
      <c r="AM259" s="116">
        <v>62</v>
      </c>
      <c r="AN259" s="116">
        <v>10909652</v>
      </c>
      <c r="AO259" s="116">
        <v>809</v>
      </c>
      <c r="AP259" s="116">
        <v>144782898</v>
      </c>
      <c r="AQ259" s="116">
        <f t="shared" si="36"/>
        <v>1325.8</v>
      </c>
      <c r="AR259" s="116">
        <f t="shared" si="37"/>
        <v>230530103.99999997</v>
      </c>
      <c r="AS259" s="118">
        <v>0.87223684210526309</v>
      </c>
    </row>
    <row r="260" spans="1:45" s="102" customFormat="1" x14ac:dyDescent="0.3">
      <c r="A260" s="101" t="str">
        <f t="shared" si="30"/>
        <v>DWDV91056CRS</v>
      </c>
      <c r="B260" s="126" t="s">
        <v>732</v>
      </c>
      <c r="C260" s="98" t="str">
        <f t="shared" si="33"/>
        <v>DV910</v>
      </c>
      <c r="D260" s="98" t="s">
        <v>55</v>
      </c>
      <c r="E260" s="98" t="str">
        <f t="shared" si="34"/>
        <v>W</v>
      </c>
      <c r="F260" s="98" t="str">
        <f t="shared" si="35"/>
        <v>DV</v>
      </c>
      <c r="G260" s="98" t="s">
        <v>56</v>
      </c>
      <c r="H260" s="115" t="s">
        <v>449</v>
      </c>
      <c r="I260" s="98" t="s">
        <v>79</v>
      </c>
      <c r="J260" s="115" t="str">
        <f t="shared" si="32"/>
        <v/>
      </c>
      <c r="K260" s="115">
        <v>1</v>
      </c>
      <c r="L260" s="121">
        <v>189000</v>
      </c>
      <c r="M260" s="78" t="s">
        <v>521</v>
      </c>
      <c r="N260" s="98" t="s">
        <v>133</v>
      </c>
      <c r="O260" s="98" t="s">
        <v>485</v>
      </c>
      <c r="P260" s="98">
        <v>100</v>
      </c>
      <c r="Q260" s="32" t="s">
        <v>85</v>
      </c>
      <c r="R260" s="98" t="s">
        <v>134</v>
      </c>
      <c r="S260" s="32" t="s">
        <v>135</v>
      </c>
      <c r="T260" s="98" t="s">
        <v>122</v>
      </c>
      <c r="U260" s="98" t="s">
        <v>136</v>
      </c>
      <c r="V260" s="98"/>
      <c r="W260" s="98"/>
      <c r="X260" s="78" t="s">
        <v>67</v>
      </c>
      <c r="Y260" s="98" t="s">
        <v>68</v>
      </c>
      <c r="Z260" s="32" t="s">
        <v>89</v>
      </c>
      <c r="AA260" s="32" t="s">
        <v>90</v>
      </c>
      <c r="AB260" s="78" t="s">
        <v>71</v>
      </c>
      <c r="AC260" s="98" t="s">
        <v>62</v>
      </c>
      <c r="AD260" s="98" t="s">
        <v>72</v>
      </c>
      <c r="AE260" s="65" t="s">
        <v>137</v>
      </c>
      <c r="AF260" s="39" t="s">
        <v>239</v>
      </c>
      <c r="AG260" s="98" t="s">
        <v>127</v>
      </c>
      <c r="AH260" s="115">
        <v>650</v>
      </c>
      <c r="AI260" s="117" t="s">
        <v>450</v>
      </c>
      <c r="AJ260" s="115" t="s">
        <v>77</v>
      </c>
      <c r="AK260" s="73">
        <v>1521</v>
      </c>
      <c r="AL260" s="116">
        <f t="shared" si="31"/>
        <v>287469000</v>
      </c>
      <c r="AM260" s="116">
        <v>44</v>
      </c>
      <c r="AN260" s="116">
        <v>7760928</v>
      </c>
      <c r="AO260" s="116">
        <v>600</v>
      </c>
      <c r="AP260" s="116">
        <v>107274526</v>
      </c>
      <c r="AQ260" s="116">
        <f t="shared" si="36"/>
        <v>1117.1400000000001</v>
      </c>
      <c r="AR260" s="116">
        <f t="shared" si="37"/>
        <v>194248303.20000005</v>
      </c>
      <c r="AS260" s="118">
        <v>0.73447731755424073</v>
      </c>
    </row>
    <row r="261" spans="1:45" s="102" customFormat="1" x14ac:dyDescent="0.3">
      <c r="A261" s="101" t="str">
        <f>B261&amp;I261</f>
        <v>DWDV91056LKS</v>
      </c>
      <c r="B261" s="126" t="s">
        <v>732</v>
      </c>
      <c r="C261" s="98" t="str">
        <f t="shared" si="33"/>
        <v>DV910</v>
      </c>
      <c r="D261" s="98" t="s">
        <v>55</v>
      </c>
      <c r="E261" s="98" t="str">
        <f t="shared" si="34"/>
        <v>W</v>
      </c>
      <c r="F261" s="98" t="str">
        <f t="shared" si="35"/>
        <v>DV</v>
      </c>
      <c r="G261" s="98" t="s">
        <v>56</v>
      </c>
      <c r="H261" s="115" t="s">
        <v>449</v>
      </c>
      <c r="I261" s="98" t="s">
        <v>179</v>
      </c>
      <c r="J261" s="115" t="str">
        <f t="shared" si="32"/>
        <v/>
      </c>
      <c r="K261" s="115">
        <v>1</v>
      </c>
      <c r="L261" s="121">
        <v>189000</v>
      </c>
      <c r="M261" s="78" t="s">
        <v>521</v>
      </c>
      <c r="N261" s="98" t="s">
        <v>133</v>
      </c>
      <c r="O261" s="98" t="s">
        <v>485</v>
      </c>
      <c r="P261" s="98">
        <v>100</v>
      </c>
      <c r="Q261" s="32" t="s">
        <v>85</v>
      </c>
      <c r="R261" s="98" t="s">
        <v>134</v>
      </c>
      <c r="S261" s="32" t="s">
        <v>135</v>
      </c>
      <c r="T261" s="98" t="s">
        <v>122</v>
      </c>
      <c r="U261" s="98" t="s">
        <v>136</v>
      </c>
      <c r="V261" s="98"/>
      <c r="W261" s="98"/>
      <c r="X261" s="78" t="s">
        <v>67</v>
      </c>
      <c r="Y261" s="98" t="s">
        <v>68</v>
      </c>
      <c r="Z261" s="32" t="s">
        <v>89</v>
      </c>
      <c r="AA261" s="32" t="s">
        <v>90</v>
      </c>
      <c r="AB261" s="78" t="s">
        <v>71</v>
      </c>
      <c r="AC261" s="98" t="s">
        <v>62</v>
      </c>
      <c r="AD261" s="98" t="s">
        <v>72</v>
      </c>
      <c r="AE261" s="65" t="s">
        <v>137</v>
      </c>
      <c r="AF261" s="39" t="s">
        <v>239</v>
      </c>
      <c r="AG261" s="98" t="s">
        <v>127</v>
      </c>
      <c r="AH261" s="115">
        <v>650</v>
      </c>
      <c r="AI261" s="117" t="s">
        <v>450</v>
      </c>
      <c r="AJ261" s="115" t="s">
        <v>77</v>
      </c>
      <c r="AK261" s="73">
        <v>974</v>
      </c>
      <c r="AL261" s="116">
        <f>AK261*L261</f>
        <v>184086000</v>
      </c>
      <c r="AM261" s="116">
        <v>33</v>
      </c>
      <c r="AN261" s="116">
        <v>5704700</v>
      </c>
      <c r="AO261" s="116">
        <v>313</v>
      </c>
      <c r="AP261" s="116">
        <v>55677236</v>
      </c>
      <c r="AQ261" s="116">
        <f t="shared" si="36"/>
        <v>644.16000000000008</v>
      </c>
      <c r="AR261" s="116">
        <f t="shared" si="37"/>
        <v>112006540.80000001</v>
      </c>
      <c r="AS261" s="118">
        <v>0.66135523613963043</v>
      </c>
    </row>
    <row r="262" spans="1:45" x14ac:dyDescent="0.3">
      <c r="A262" s="1" t="str">
        <f>B262&amp;I262</f>
        <v>DXDV53056BKS</v>
      </c>
      <c r="B262" s="126" t="s">
        <v>733</v>
      </c>
      <c r="C262" s="98" t="str">
        <f>MID(B262,3,5)</f>
        <v>DV530</v>
      </c>
      <c r="D262" s="98" t="s">
        <v>55</v>
      </c>
      <c r="E262" s="98" t="str">
        <f>MID($B262,2,1)</f>
        <v>X</v>
      </c>
      <c r="F262" s="98" t="str">
        <f>MID($B262,3,2)</f>
        <v>DV</v>
      </c>
      <c r="G262" s="98" t="s">
        <v>56</v>
      </c>
      <c r="H262" s="115" t="s">
        <v>734</v>
      </c>
      <c r="I262" s="98" t="s">
        <v>78</v>
      </c>
      <c r="J262" s="115">
        <f t="shared" si="32"/>
        <v>1</v>
      </c>
      <c r="K262" s="115">
        <v>1</v>
      </c>
      <c r="L262" s="121">
        <v>239000</v>
      </c>
      <c r="M262" s="78" t="s">
        <v>509</v>
      </c>
      <c r="N262" s="98" t="s">
        <v>691</v>
      </c>
      <c r="O262" s="98" t="s">
        <v>143</v>
      </c>
      <c r="P262" s="98">
        <v>100</v>
      </c>
      <c r="Q262" s="32" t="s">
        <v>62</v>
      </c>
      <c r="R262" s="98" t="s">
        <v>692</v>
      </c>
      <c r="S262" s="32" t="s">
        <v>693</v>
      </c>
      <c r="T262" s="98" t="s">
        <v>65</v>
      </c>
      <c r="U262" s="98"/>
      <c r="V262" s="98" t="s">
        <v>66</v>
      </c>
      <c r="W262" s="98"/>
      <c r="X262" s="78" t="s">
        <v>67</v>
      </c>
      <c r="Y262" s="98" t="s">
        <v>68</v>
      </c>
      <c r="Z262" s="32" t="s">
        <v>536</v>
      </c>
      <c r="AA262" s="32" t="s">
        <v>90</v>
      </c>
      <c r="AB262" s="78" t="s">
        <v>71</v>
      </c>
      <c r="AC262" s="98" t="s">
        <v>62</v>
      </c>
      <c r="AD262" s="98" t="s">
        <v>72</v>
      </c>
      <c r="AE262" s="65" t="s">
        <v>137</v>
      </c>
      <c r="AF262" s="39" t="s">
        <v>343</v>
      </c>
      <c r="AG262" s="98" t="s">
        <v>75</v>
      </c>
      <c r="AH262" s="115">
        <v>650</v>
      </c>
      <c r="AI262" s="117" t="s">
        <v>450</v>
      </c>
      <c r="AJ262" s="115" t="s">
        <v>241</v>
      </c>
      <c r="AK262" s="73">
        <v>1994</v>
      </c>
      <c r="AL262" s="116">
        <f>AK262*L262</f>
        <v>476566000</v>
      </c>
      <c r="AM262" s="116">
        <v>23</v>
      </c>
      <c r="AN262" s="116">
        <v>5082767</v>
      </c>
      <c r="AO262" s="116">
        <v>233</v>
      </c>
      <c r="AP262" s="116">
        <v>51949500</v>
      </c>
      <c r="AQ262" s="116">
        <f>AK262*AS262</f>
        <v>910.96</v>
      </c>
      <c r="AR262" s="116">
        <f>(AL262*AS262)*0.92</f>
        <v>200301884.80000001</v>
      </c>
      <c r="AS262" s="118">
        <v>0.45685055165496491</v>
      </c>
    </row>
    <row r="263" spans="1:45" x14ac:dyDescent="0.3">
      <c r="A263" s="1" t="str">
        <f>B263&amp;I263</f>
        <v>DXDV53056DGS</v>
      </c>
      <c r="B263" s="126" t="s">
        <v>733</v>
      </c>
      <c r="C263" s="98" t="str">
        <f>MID(B263,3,5)</f>
        <v>DV530</v>
      </c>
      <c r="D263" s="98" t="s">
        <v>55</v>
      </c>
      <c r="E263" s="98" t="str">
        <f>MID($B263,2,1)</f>
        <v>X</v>
      </c>
      <c r="F263" s="98" t="str">
        <f>MID($B263,3,2)</f>
        <v>DV</v>
      </c>
      <c r="G263" s="98" t="s">
        <v>56</v>
      </c>
      <c r="H263" s="115" t="s">
        <v>734</v>
      </c>
      <c r="I263" s="98" t="s">
        <v>435</v>
      </c>
      <c r="J263" s="115" t="str">
        <f t="shared" si="32"/>
        <v/>
      </c>
      <c r="K263" s="115">
        <v>1</v>
      </c>
      <c r="L263" s="121">
        <v>239000</v>
      </c>
      <c r="M263" s="78" t="s">
        <v>509</v>
      </c>
      <c r="N263" s="98" t="s">
        <v>691</v>
      </c>
      <c r="O263" s="98" t="s">
        <v>143</v>
      </c>
      <c r="P263" s="98">
        <v>100</v>
      </c>
      <c r="Q263" s="32" t="s">
        <v>62</v>
      </c>
      <c r="R263" s="98" t="s">
        <v>692</v>
      </c>
      <c r="S263" s="32" t="s">
        <v>693</v>
      </c>
      <c r="T263" s="98" t="s">
        <v>65</v>
      </c>
      <c r="U263" s="98"/>
      <c r="V263" s="98" t="s">
        <v>66</v>
      </c>
      <c r="W263" s="98"/>
      <c r="X263" s="78" t="s">
        <v>67</v>
      </c>
      <c r="Y263" s="98" t="s">
        <v>68</v>
      </c>
      <c r="Z263" s="32" t="s">
        <v>536</v>
      </c>
      <c r="AA263" s="32" t="s">
        <v>90</v>
      </c>
      <c r="AB263" s="78" t="s">
        <v>71</v>
      </c>
      <c r="AC263" s="98" t="s">
        <v>62</v>
      </c>
      <c r="AD263" s="98" t="s">
        <v>72</v>
      </c>
      <c r="AE263" s="65" t="s">
        <v>137</v>
      </c>
      <c r="AF263" s="39" t="s">
        <v>343</v>
      </c>
      <c r="AG263" s="98" t="s">
        <v>75</v>
      </c>
      <c r="AH263" s="115">
        <v>650</v>
      </c>
      <c r="AI263" s="117" t="s">
        <v>450</v>
      </c>
      <c r="AJ263" s="115" t="s">
        <v>241</v>
      </c>
      <c r="AK263" s="73">
        <v>798</v>
      </c>
      <c r="AL263" s="116">
        <f>AK263*L263</f>
        <v>190722000</v>
      </c>
      <c r="AM263" s="116">
        <v>6</v>
      </c>
      <c r="AN263" s="116">
        <v>1261253</v>
      </c>
      <c r="AO263" s="116">
        <v>87</v>
      </c>
      <c r="AP263" s="116">
        <v>19390249</v>
      </c>
      <c r="AQ263" s="116">
        <f>AK263*AS263</f>
        <v>358.32</v>
      </c>
      <c r="AR263" s="116">
        <f>(AL263*AS263)*0.92</f>
        <v>78787401.600000009</v>
      </c>
      <c r="AS263" s="118">
        <v>0.44902255639097743</v>
      </c>
    </row>
  </sheetData>
  <autoFilter ref="A4:AU263" xr:uid="{B8DDEA28-6230-441F-8352-C144B54614EF}"/>
  <phoneticPr fontId="3" type="noConversion"/>
  <conditionalFormatting sqref="M5:U263 X5:AG263">
    <cfRule type="cellIs" dxfId="3" priority="24" operator="equal">
      <formula>0</formula>
    </cfRule>
  </conditionalFormatting>
  <conditionalFormatting sqref="AI5:AJ263">
    <cfRule type="cellIs" dxfId="2" priority="21" operator="equal">
      <formula>0</formula>
    </cfRule>
  </conditionalFormatting>
  <conditionalFormatting sqref="AK1:AS1">
    <cfRule type="cellIs" dxfId="1" priority="8" operator="lessThan">
      <formula>0</formula>
    </cfRule>
    <cfRule type="cellIs" dxfId="0" priority="9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LIST_DX</vt:lpstr>
      <vt:lpstr>RAW_DX(DJ)</vt:lpstr>
      <vt:lpstr>DJ 2024 FW</vt:lpstr>
      <vt:lpstr>DJ 2025 FW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INO(김인호) F/KR/DX/MD/MD</dc:creator>
  <cp:keywords/>
  <dc:description/>
  <cp:lastModifiedBy>judy.(배지은) F/KR/DD/PRCS/AX</cp:lastModifiedBy>
  <cp:revision/>
  <dcterms:created xsi:type="dcterms:W3CDTF">2025-11-05T10:48:44Z</dcterms:created>
  <dcterms:modified xsi:type="dcterms:W3CDTF">2026-01-14T09:37:57Z</dcterms:modified>
  <cp:category/>
  <cp:contentStatus/>
</cp:coreProperties>
</file>